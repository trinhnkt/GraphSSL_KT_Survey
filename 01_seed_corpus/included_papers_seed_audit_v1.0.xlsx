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38dc11b7a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_Audit" sheetId="1" r:id="R6877ba85045940be"/>
    <x:sheet xmlns:r="http://schemas.openxmlformats.org/officeDocument/2006/relationships" name="Summary" sheetId="2" r:id="R1c0e419fa2e0438a"/>
    <x:sheet xmlns:r="http://schemas.openxmlformats.org/officeDocument/2006/relationships" name="Decision_Rules" sheetId="3" r:id="R92e6f745ebd9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96bb622774188" /><Relationship Type="http://schemas.openxmlformats.org/officeDocument/2006/relationships/theme" Target="/xl/theme/theme1.xml" Id="Rdda4a61a94cb4107" /><Relationship Type="http://schemas.openxmlformats.org/officeDocument/2006/relationships/sharedStrings" Target="/xl/sharedStrings.xml" Id="Rf25411457aaf4844" /><Relationship Type="http://schemas.openxmlformats.org/officeDocument/2006/relationships/worksheet" Target="/xl/worksheets/sheet1.xml" Id="R6877ba85045940be" /><Relationship Type="http://schemas.openxmlformats.org/officeDocument/2006/relationships/worksheet" Target="/xl/worksheets/sheet2.xml" Id="R1c0e419fa2e0438a" /><Relationship Type="http://schemas.openxmlformats.org/officeDocument/2006/relationships/worksheet" Target="/xl/worksheets/sheet3.xml" Id="R92e6f745ebd94afb" /></Relationships>
</file>

<file path=xl/tables/table1.xml><?xml version="1.0" encoding="utf-8"?>
<x:table xmlns:x="http://schemas.openxmlformats.org/spreadsheetml/2006/main" id="1" name="SeedAuditTable" displayName="SeedAuditTable" ref="A1:R76" headerRowCount="1" totalsRowCount="0" totalsRowShown="0">
  <x:tableColumns count="18">
    <x:tableColumn id="1" name="Legacy ID"/>
    <x:tableColumn id="2" name="Year"/>
    <x:tableColumn id="3" name="Authors"/>
    <x:tableColumn id="4" name="Title"/>
    <x:tableColumn id="5" name="Venue"/>
    <x:tableColumn id="6" name="Legacy DOI/Identifier"/>
    <x:tableColumn id="7" name="Old preliminary status"/>
    <x:tableColumn id="8" name="Seed classification v1.0"/>
    <x:tableColumn id="9" name="Adjacent subtype"/>
    <x:tableColumn id="10" name="G criterion"/>
    <x:tableColumn id="11" name="S criterion"/>
    <x:tableColumn id="12" name="Sparse-concept lens"/>
    <x:tableColumn id="13" name="RQ support"/>
    <x:tableColumn id="14" name="Confidence"/>
    <x:tableColumn id="15" name="Full-text check"/>
    <x:tableColumn id="16" name="Metadata check"/>
    <x:tableColumn id="17" name="Decision note"/>
    <x:tableColumn id="18" name="Verification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19b59951cc455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20" hidden="0" customWidth="1"/>
    <x:col min="4" max="4" width="46" hidden="0" customWidth="1"/>
    <x:col min="5" max="5" width="22" hidden="0" customWidth="1"/>
    <x:col min="6" max="6" width="28" hidden="0" customWidth="1"/>
    <x:col min="7" max="7" width="19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22" hidden="0" customWidth="1"/>
    <x:col min="13" max="13" width="16" hidden="0" customWidth="1"/>
    <x:col min="14" max="14" width="12" hidden="0" customWidth="1"/>
    <x:col min="15" max="15" width="13" hidden="0" customWidth="1"/>
    <x:col min="16" max="16" width="13" hidden="0" customWidth="1"/>
    <x:col min="17" max="17" width="58" hidden="0" customWidth="1"/>
    <x:col min="18" max="18" width="42" hidden="0" customWidth="1"/>
  </x:cols>
  <x:sheetData>
    <x:row r="1">
      <x:c r="A1" s="14" t="str">
        <x:v>Legacy ID</x:v>
      </x:c>
      <x:c r="B1" s="14" t="str">
        <x:v>Year</x:v>
      </x:c>
      <x:c r="C1" s="14" t="str">
        <x:v>Authors</x:v>
      </x:c>
      <x:c r="D1" s="14" t="str">
        <x:v>Title</x:v>
      </x:c>
      <x:c r="E1" s="14" t="str">
        <x:v>Venue</x:v>
      </x:c>
      <x:c r="F1" s="14" t="str">
        <x:v>Legacy DOI/Identifier</x:v>
      </x:c>
      <x:c r="G1" s="14" t="str">
        <x:v>Old preliminary status</x:v>
      </x:c>
      <x:c r="H1" s="14" t="str">
        <x:v>Seed classification v1.0</x:v>
      </x:c>
      <x:c r="I1" s="14" t="str">
        <x:v>Adjacent subtype</x:v>
      </x:c>
      <x:c r="J1" s="14" t="str">
        <x:v>G criterion</x:v>
      </x:c>
      <x:c r="K1" s="14" t="str">
        <x:v>S criterion</x:v>
      </x:c>
      <x:c r="L1" s="14" t="str">
        <x:v>Sparse-concept lens</x:v>
      </x:c>
      <x:c r="M1" s="14" t="str">
        <x:v>RQ support</x:v>
      </x:c>
      <x:c r="N1" s="14" t="str">
        <x:v>Confidence</x:v>
      </x:c>
      <x:c r="O1" s="14" t="str">
        <x:v>Full-text check</x:v>
      </x:c>
      <x:c r="P1" s="14" t="str">
        <x:v>Metadata check</x:v>
      </x:c>
      <x:c r="Q1" s="14" t="str">
        <x:v>Decision note</x:v>
      </x:c>
      <x:c r="R1" s="14" t="str">
        <x:v>Verification source</x:v>
      </x:c>
    </x:row>
    <x:row r="2">
      <x:c r="A2" s="15" t="str">
        <x:v>KT001</x:v>
      </x:c>
      <x:c r="B2" s="15" t="n">
        <x:v>2015</x:v>
      </x:c>
      <x:c r="C2" s="15" t="str">
        <x:v>Piech et al.</x:v>
      </x:c>
      <x:c r="D2" s="15" t="str">
        <x:v>Deep Knowledge Tracing</x:v>
      </x:c>
      <x:c r="E2" s="15" t="str">
        <x:v>NeurIPS</x:v>
      </x:c>
      <x:c r="F2" s="15" t="str">
        <x:v>10.48550/arXiv.1506.05908</x:v>
      </x:c>
      <x:c r="G2" s="15" t="str">
        <x:v>BACKGROUND</x:v>
      </x:c>
      <x:c r="H2" s="15" t="str">
        <x:v>BACKGROUND</x:v>
      </x:c>
      <x:c r="I2" s="15" t="str"/>
      <x:c r="J2" s="15" t="str">
        <x:v>NO</x:v>
      </x:c>
      <x:c r="K2" s="15" t="str">
        <x:v>NO</x:v>
      </x:c>
      <x:c r="L2" s="15" t="str">
        <x:v>NO_EXPLICIT_FOCUS</x:v>
      </x:c>
      <x:c r="M2" s="15" t="str"/>
      <x:c r="N2" s="15" t="str">
        <x:v>MEDIUM</x:v>
      </x:c>
      <x:c r="O2" s="15" t="str">
        <x:v>YES</x:v>
      </x:c>
      <x:c r="P2" s="15" t="str">
        <x:v>YES</x:v>
      </x:c>
      <x:c r="Q2" s="15" t="str">
        <x:v>BACKGROUND: sequence/probabilistic KT baseline without a verified Graph-Based or Self-Supervised mechanism.</x:v>
      </x:c>
      <x:c r="R2" s="15" t="str"/>
    </x:row>
    <x:row r="3">
      <x:c r="A3" s="15" t="str">
        <x:v>KT002</x:v>
      </x:c>
      <x:c r="B3" s="15" t="n">
        <x:v>2017</x:v>
      </x:c>
      <x:c r="C3" s="15" t="str">
        <x:v>Zhang et al.</x:v>
      </x:c>
      <x:c r="D3" s="15" t="str">
        <x:v>Dynamic Key-Value Memory Networks for Knowledge Tracing</x:v>
      </x:c>
      <x:c r="E3" s="15" t="str">
        <x:v>WWW</x:v>
      </x:c>
      <x:c r="F3" s="15" t="str">
        <x:v>10.1145/3038912.3052580</x:v>
      </x:c>
      <x:c r="G3" s="15" t="str">
        <x:v>BACKGROUND</x:v>
      </x:c>
      <x:c r="H3" s="15" t="str">
        <x:v>BACKGROUND</x:v>
      </x:c>
      <x:c r="I3" s="15" t="str"/>
      <x:c r="J3" s="15" t="str">
        <x:v>NO</x:v>
      </x:c>
      <x:c r="K3" s="15" t="str">
        <x:v>NO</x:v>
      </x:c>
      <x:c r="L3" s="15" t="str">
        <x:v>NO_EXPLICIT_FOCUS</x:v>
      </x:c>
      <x:c r="M3" s="15" t="str"/>
      <x:c r="N3" s="15" t="str">
        <x:v>MEDIUM</x:v>
      </x:c>
      <x:c r="O3" s="15" t="str">
        <x:v>YES</x:v>
      </x:c>
      <x:c r="P3" s="15" t="str">
        <x:v>YES</x:v>
      </x:c>
      <x:c r="Q3" s="15" t="str">
        <x:v>BACKGROUND: sequence/probabilistic KT baseline without a verified Graph-Based or Self-Supervised mechanism.</x:v>
      </x:c>
      <x:c r="R3" s="15" t="str"/>
    </x:row>
    <x:row r="4">
      <x:c r="A4" s="15" t="str">
        <x:v>KT003</x:v>
      </x:c>
      <x:c r="B4" s="15" t="n">
        <x:v>2021</x:v>
      </x:c>
      <x:c r="C4" s="15" t="str">
        <x:v>Liu et al.</x:v>
      </x:c>
      <x:c r="D4" s="15" t="str">
        <x:v>EKT: Exercise-Aware Knowledge Tracing for Student Performance Prediction</x:v>
      </x:c>
      <x:c r="E4" s="15" t="str">
        <x:v>IEEE TKDE</x:v>
      </x:c>
      <x:c r="F4" s="15" t="str">
        <x:v>10.1109/TKDE.2019.2924374</x:v>
      </x:c>
      <x:c r="G4" s="15" t="str">
        <x:v>BACKGROUND</x:v>
      </x:c>
      <x:c r="H4" s="15" t="str">
        <x:v>BACKGROUND</x:v>
      </x:c>
      <x:c r="I4" s="15" t="str"/>
      <x:c r="J4" s="15" t="str">
        <x:v>NO</x:v>
      </x:c>
      <x:c r="K4" s="15" t="str">
        <x:v>NO</x:v>
      </x:c>
      <x:c r="L4" s="15" t="str">
        <x:v>NO_EXPLICIT_FOCUS</x:v>
      </x:c>
      <x:c r="M4" s="15" t="str"/>
      <x:c r="N4" s="15" t="str">
        <x:v>MEDIUM</x:v>
      </x:c>
      <x:c r="O4" s="15" t="str">
        <x:v>YES</x:v>
      </x:c>
      <x:c r="P4" s="15" t="str">
        <x:v>YES</x:v>
      </x:c>
      <x:c r="Q4" s="15" t="str">
        <x:v>BACKGROUND: sequence/probabilistic KT baseline without a verified Graph-Based or Self-Supervised mechanism.</x:v>
      </x:c>
      <x:c r="R4" s="15" t="str"/>
    </x:row>
    <x:row r="5">
      <x:c r="A5" s="15" t="str">
        <x:v>KT004</x:v>
      </x:c>
      <x:c r="B5" s="15" t="n">
        <x:v>2019</x:v>
      </x:c>
      <x:c r="C5" s="15" t="str">
        <x:v>Nakagawa et al.</x:v>
      </x:c>
      <x:c r="D5" s="15" t="str">
        <x:v>Graph-Based Knowledge Tracing: Modeling Student Proficiency Using Graph Neural Network</x:v>
      </x:c>
      <x:c r="E5" s="15" t="str">
        <x:v>IEEE/WIC/ACM WI</x:v>
      </x:c>
      <x:c r="F5" s="15" t="str">
        <x:v>10.1145/3350546.3352513</x:v>
      </x:c>
      <x:c r="G5" s="15" t="str">
        <x:v>POTENTIAL_CORE</x:v>
      </x:c>
      <x:c r="H5" s="15" t="str">
        <x:v>PRIMARY_CORE</x:v>
      </x:c>
      <x:c r="I5" s="15" t="str"/>
      <x:c r="J5" s="15" t="str">
        <x:v>YES</x:v>
      </x:c>
      <x:c r="K5" s="15" t="str">
        <x:v>NO</x:v>
      </x:c>
      <x:c r="L5" s="15" t="str">
        <x:v>NO_EXPLICIT_FOCUS</x:v>
      </x:c>
      <x:c r="M5" s="15" t="str">
        <x:v>RQ1,RQ2,RQ5</x:v>
      </x:c>
      <x:c r="N5" s="15" t="str">
        <x:v>HIGH</x:v>
      </x:c>
      <x:c r="O5" s="15" t="str">
        <x:v>YES</x:v>
      </x:c>
      <x:c r="P5" s="15" t="str">
        <x:v>YES</x:v>
      </x:c>
      <x:c r="Q5" s="15" t="str">
        <x:v>PRIMARY_CORE because it satisfies the Graph-Based KT criterion; full-text coding is still required before final corpus freeze.</x:v>
      </x:c>
      <x:c r="R5" s="15" t="str"/>
    </x:row>
    <x:row r="6">
      <x:c r="A6" s="15" t="str">
        <x:v>KT005</x:v>
      </x:c>
      <x:c r="B6" s="15" t="n">
        <x:v>2023</x:v>
      </x:c>
      <x:c r="C6" s="15" t="str">
        <x:v>Abdelrahman et al.</x:v>
      </x:c>
      <x:c r="D6" s="15" t="str">
        <x:v>Knowledge Tracing: A Survey</x:v>
      </x:c>
      <x:c r="E6" s="15" t="str">
        <x:v>ACM Computing Surveys</x:v>
      </x:c>
      <x:c r="F6" s="15" t="str">
        <x:v>10.1145/3569576</x:v>
      </x:c>
      <x:c r="G6" s="15" t="str">
        <x:v>BACKGROUND</x:v>
      </x:c>
      <x:c r="H6" s="15" t="str">
        <x:v>BACKGROUND</x:v>
      </x:c>
      <x:c r="I6" s="15" t="str"/>
      <x:c r="J6" s="15" t="str">
        <x:v>NO</x:v>
      </x:c>
      <x:c r="K6" s="15" t="str">
        <x:v>NO</x:v>
      </x:c>
      <x:c r="L6" s="15" t="str">
        <x:v>NO_EXPLICIT_FOCUS</x:v>
      </x:c>
      <x:c r="M6" s="15" t="str"/>
      <x:c r="N6" s="15" t="str">
        <x:v>MEDIUM</x:v>
      </x:c>
      <x:c r="O6" s="15" t="str">
        <x:v>YES</x:v>
      </x:c>
      <x:c r="P6" s="15" t="str">
        <x:v>YES</x:v>
      </x:c>
      <x:c r="Q6" s="15" t="str">
        <x:v>BACKGROUND: prior survey used for positioning, taxonomy comparison, and snowballing.</x:v>
      </x:c>
      <x:c r="R6" s="15" t="str"/>
    </x:row>
    <x:row r="7">
      <x:c r="A7" s="15" t="str">
        <x:v>KT006</x:v>
      </x:c>
      <x:c r="B7" s="15" t="n">
        <x:v>2018</x:v>
      </x:c>
      <x:c r="C7" s="15" t="str">
        <x:v>Yeung et al.</x:v>
      </x:c>
      <x:c r="D7" s="15" t="str">
        <x:v>Addressing Two Problems in Deep Knowledge Tracing via Prediction-Consistent Regularization</x:v>
      </x:c>
      <x:c r="E7" s="15" t="str">
        <x:v>ACM L@S</x:v>
      </x:c>
      <x:c r="F7" s="15" t="str">
        <x:v>10.1145/3231644.3231647</x:v>
      </x:c>
      <x:c r="G7" s="15" t="str">
        <x:v>BACKGROUND</x:v>
      </x:c>
      <x:c r="H7" s="15" t="str">
        <x:v>BACKGROUND</x:v>
      </x:c>
      <x:c r="I7" s="15" t="str"/>
      <x:c r="J7" s="15" t="str">
        <x:v>NO</x:v>
      </x:c>
      <x:c r="K7" s="15" t="str">
        <x:v>NO</x:v>
      </x:c>
      <x:c r="L7" s="15" t="str">
        <x:v>NO_EXPLICIT_FOCUS</x:v>
      </x:c>
      <x:c r="M7" s="15" t="str"/>
      <x:c r="N7" s="15" t="str">
        <x:v>MEDIUM</x:v>
      </x:c>
      <x:c r="O7" s="15" t="str">
        <x:v>YES</x:v>
      </x:c>
      <x:c r="P7" s="15" t="str">
        <x:v>YES</x:v>
      </x:c>
      <x:c r="Q7" s="15" t="str">
        <x:v>BACKGROUND: sequence/probabilistic KT baseline without a verified Graph-Based or Self-Supervised mechanism.</x:v>
      </x:c>
      <x:c r="R7" s="15" t="str"/>
    </x:row>
    <x:row r="8">
      <x:c r="A8" s="15" t="str">
        <x:v>KT007</x:v>
      </x:c>
      <x:c r="B8" s="15" t="n">
        <x:v>2019</x:v>
      </x:c>
      <x:c r="C8" s="15" t="str">
        <x:v>Pandey &amp; Karypis</x:v>
      </x:c>
      <x:c r="D8" s="15" t="str">
        <x:v>A Self-Attentive Model for Knowledge Tracing</x:v>
      </x:c>
      <x:c r="E8" s="15" t="str">
        <x:v>EDM</x:v>
      </x:c>
      <x:c r="F8" s="15" t="str">
        <x:v>10.48550/arXiv.1907.06837</x:v>
      </x:c>
      <x:c r="G8" s="15" t="str">
        <x:v>BACKGROUND</x:v>
      </x:c>
      <x:c r="H8" s="15" t="str">
        <x:v>BACKGROUND</x:v>
      </x:c>
      <x:c r="I8" s="15" t="str"/>
      <x:c r="J8" s="15" t="str">
        <x:v>NO</x:v>
      </x:c>
      <x:c r="K8" s="15" t="str">
        <x:v>NO</x:v>
      </x:c>
      <x:c r="L8" s="15" t="str">
        <x:v>NO_EXPLICIT_FOCUS</x:v>
      </x:c>
      <x:c r="M8" s="15" t="str"/>
      <x:c r="N8" s="15" t="str">
        <x:v>MEDIUM</x:v>
      </x:c>
      <x:c r="O8" s="15" t="str">
        <x:v>YES</x:v>
      </x:c>
      <x:c r="P8" s="15" t="str">
        <x:v>YES</x:v>
      </x:c>
      <x:c r="Q8" s="15" t="str">
        <x:v>BACKGROUND: sequence/probabilistic KT baseline without a verified Graph-Based or Self-Supervised mechanism.</x:v>
      </x:c>
      <x:c r="R8" s="15" t="str"/>
    </x:row>
    <x:row r="9">
      <x:c r="A9" s="15" t="str">
        <x:v>KT008</x:v>
      </x:c>
      <x:c r="B9" s="15" t="n">
        <x:v>2019</x:v>
      </x:c>
      <x:c r="C9" s="15" t="str">
        <x:v>Nagatani et al.</x:v>
      </x:c>
      <x:c r="D9" s="15" t="str">
        <x:v>Augmenting Knowledge Tracing by Considering Forgetting Behavior</x:v>
      </x:c>
      <x:c r="E9" s="15" t="str">
        <x:v>WWW</x:v>
      </x:c>
      <x:c r="F9" s="15" t="str">
        <x:v>10.1145/3308558.3313565</x:v>
      </x:c>
      <x:c r="G9" s="15" t="str">
        <x:v>BACKGROUND</x:v>
      </x:c>
      <x:c r="H9" s="15" t="str">
        <x:v>BACKGROUND</x:v>
      </x:c>
      <x:c r="I9" s="15" t="str"/>
      <x:c r="J9" s="15" t="str">
        <x:v>NO</x:v>
      </x:c>
      <x:c r="K9" s="15" t="str">
        <x:v>NO</x:v>
      </x:c>
      <x:c r="L9" s="15" t="str">
        <x:v>NO_EXPLICIT_FOCUS</x:v>
      </x:c>
      <x:c r="M9" s="15" t="str"/>
      <x:c r="N9" s="15" t="str">
        <x:v>MEDIUM</x:v>
      </x:c>
      <x:c r="O9" s="15" t="str">
        <x:v>YES</x:v>
      </x:c>
      <x:c r="P9" s="15" t="str">
        <x:v>YES</x:v>
      </x:c>
      <x:c r="Q9" s="15" t="str">
        <x:v>BACKGROUND: sequence/probabilistic KT baseline without a verified Graph-Based or Self-Supervised mechanism.</x:v>
      </x:c>
      <x:c r="R9" s="15" t="str"/>
    </x:row>
    <x:row r="10">
      <x:c r="A10" s="15" t="str">
        <x:v>KT009</x:v>
      </x:c>
      <x:c r="B10" s="15" t="n">
        <x:v>2019</x:v>
      </x:c>
      <x:c r="C10" s="15" t="str">
        <x:v>Abdelrahman et al.</x:v>
      </x:c>
      <x:c r="D10" s="15" t="str">
        <x:v>Knowledge Tracing with Sequential Key-Value Memory Networks</x:v>
      </x:c>
      <x:c r="E10" s="15" t="str">
        <x:v>SIGIR</x:v>
      </x:c>
      <x:c r="F10" s="15" t="str">
        <x:v>10.1145/3331184.3331195</x:v>
      </x:c>
      <x:c r="G10" s="15" t="str">
        <x:v>BACKGROUND</x:v>
      </x:c>
      <x:c r="H10" s="15" t="str">
        <x:v>BACKGROUND</x:v>
      </x:c>
      <x:c r="I10" s="15" t="str"/>
      <x:c r="J10" s="15" t="str">
        <x:v>NO</x:v>
      </x:c>
      <x:c r="K10" s="15" t="str">
        <x:v>NO</x:v>
      </x:c>
      <x:c r="L10" s="15" t="str">
        <x:v>NO_EXPLICIT_FOCUS</x:v>
      </x:c>
      <x:c r="M10" s="15" t="str"/>
      <x:c r="N10" s="15" t="str">
        <x:v>MEDIUM</x:v>
      </x:c>
      <x:c r="O10" s="15" t="str">
        <x:v>YES</x:v>
      </x:c>
      <x:c r="P10" s="15" t="str">
        <x:v>YES</x:v>
      </x:c>
      <x:c r="Q10" s="15" t="str">
        <x:v>BACKGROUND: sequence/probabilistic KT baseline without a verified Graph-Based or Self-Supervised mechanism.</x:v>
      </x:c>
      <x:c r="R10" s="15" t="str"/>
    </x:row>
    <x:row r="11">
      <x:c r="A11" s="15" t="str">
        <x:v>KT010</x:v>
      </x:c>
      <x:c r="B11" s="15" t="n">
        <x:v>2021</x:v>
      </x:c>
      <x:c r="C11" s="15" t="str">
        <x:v>Yang et al.</x:v>
      </x:c>
      <x:c r="D11" s="15" t="str">
        <x:v>GIKT: A Graph-Based Interaction Model for Knowledge Tracing</x:v>
      </x:c>
      <x:c r="E11" s="15" t="str">
        <x:v>ECML-PKDD</x:v>
      </x:c>
      <x:c r="F11" s="15" t="str">
        <x:v>10.1007/978-3-030-67658-2_18</x:v>
      </x:c>
      <x:c r="G11" s="15" t="str">
        <x:v>POTENTIAL_CORE</x:v>
      </x:c>
      <x:c r="H11" s="15" t="str">
        <x:v>PRIMARY_CORE</x:v>
      </x:c>
      <x:c r="I11" s="15" t="str"/>
      <x:c r="J11" s="15" t="str">
        <x:v>YES</x:v>
      </x:c>
      <x:c r="K11" s="15" t="str">
        <x:v>NO</x:v>
      </x:c>
      <x:c r="L11" s="15" t="str">
        <x:v>NO_EXPLICIT_FOCUS</x:v>
      </x:c>
      <x:c r="M11" s="15" t="str">
        <x:v>RQ1,RQ2,RQ5</x:v>
      </x:c>
      <x:c r="N11" s="15" t="str">
        <x:v>HIGH</x:v>
      </x:c>
      <x:c r="O11" s="15" t="str">
        <x:v>YES</x:v>
      </x:c>
      <x:c r="P11" s="15" t="str">
        <x:v>YES</x:v>
      </x:c>
      <x:c r="Q11" s="15" t="str">
        <x:v>PRIMARY_CORE because it satisfies the Graph-Based KT criterion; full-text coding is still required before final corpus freeze.</x:v>
      </x:c>
      <x:c r="R11" s="15" t="str"/>
    </x:row>
    <x:row r="12">
      <x:c r="A12" s="15" t="str">
        <x:v>KT011</x:v>
      </x:c>
      <x:c r="B12" s="15" t="n">
        <x:v>2022</x:v>
      </x:c>
      <x:c r="C12" s="15" t="str">
        <x:v>Song et al.</x:v>
      </x:c>
      <x:c r="D12" s="15" t="str">
        <x:v>Bi-CLKT: Bi-Graph Contrastive Learning Based Knowledge Tracing</x:v>
      </x:c>
      <x:c r="E12" s="15" t="str">
        <x:v>Knowledge-Based Systems</x:v>
      </x:c>
      <x:c r="F12" s="15" t="str">
        <x:v>10.1016/j.knosys.2022.108274</x:v>
      </x:c>
      <x:c r="G12" s="15" t="str">
        <x:v>POTENTIAL_CORE</x:v>
      </x:c>
      <x:c r="H12" s="15" t="str">
        <x:v>PRIMARY_CORE</x:v>
      </x:c>
      <x:c r="I12" s="15" t="str"/>
      <x:c r="J12" s="15" t="str">
        <x:v>YES</x:v>
      </x:c>
      <x:c r="K12" s="15" t="str">
        <x:v>YES</x:v>
      </x:c>
      <x:c r="L12" s="15" t="str">
        <x:v>NO_EXPLICIT_FOCUS</x:v>
      </x:c>
      <x:c r="M12" s="15" t="str">
        <x:v>RQ1,RQ2,RQ3,RQ5</x:v>
      </x:c>
      <x:c r="N12" s="15" t="str">
        <x:v>HIGH</x:v>
      </x:c>
      <x:c r="O12" s="15" t="str">
        <x:v>YES</x:v>
      </x:c>
      <x:c r="P12" s="15" t="str">
        <x:v>YES</x:v>
      </x:c>
      <x:c r="Q12" s="15" t="str">
        <x:v>PRIMARY_CORE because it satisfies the Graph-Based KT criterion and satisfies the Self-Supervised KT criterion; full-text coding is still required before final corpus freeze.</x:v>
      </x:c>
      <x:c r="R12" s="15" t="str"/>
    </x:row>
    <x:row r="13">
      <x:c r="A13" s="15" t="str">
        <x:v>KT012</x:v>
      </x:c>
      <x:c r="B13" s="15" t="n">
        <x:v>2021</x:v>
      </x:c>
      <x:c r="C13" s="15" t="str">
        <x:v>Song et al.</x:v>
      </x:c>
      <x:c r="D13" s="15" t="str">
        <x:v>JKT: A Joint Graph Convolutional Network Based Deep Knowledge Tracing</x:v>
      </x:c>
      <x:c r="E13" s="15" t="str">
        <x:v>Information Sciences</x:v>
      </x:c>
      <x:c r="F13" s="15" t="str">
        <x:v>10.1016/j.ins.2021.08.100</x:v>
      </x:c>
      <x:c r="G13" s="15" t="str">
        <x:v>POTENTIAL_CORE</x:v>
      </x:c>
      <x:c r="H13" s="15" t="str">
        <x:v>PRIMARY_CORE</x:v>
      </x:c>
      <x:c r="I13" s="15" t="str"/>
      <x:c r="J13" s="15" t="str">
        <x:v>YES</x:v>
      </x:c>
      <x:c r="K13" s="15" t="str">
        <x:v>NO</x:v>
      </x:c>
      <x:c r="L13" s="15" t="str">
        <x:v>NO_EXPLICIT_FOCUS</x:v>
      </x:c>
      <x:c r="M13" s="15" t="str">
        <x:v>RQ1,RQ2,RQ5</x:v>
      </x:c>
      <x:c r="N13" s="15" t="str">
        <x:v>HIGH</x:v>
      </x:c>
      <x:c r="O13" s="15" t="str">
        <x:v>YES</x:v>
      </x:c>
      <x:c r="P13" s="15" t="str">
        <x:v>YES</x:v>
      </x:c>
      <x:c r="Q13" s="15" t="str">
        <x:v>PRIMARY_CORE because it satisfies the Graph-Based KT criterion; full-text coding is still required before final corpus freeze.</x:v>
      </x:c>
      <x:c r="R13" s="15" t="str"/>
    </x:row>
    <x:row r="14">
      <x:c r="A14" s="15" t="str">
        <x:v>KT013</x:v>
      </x:c>
      <x:c r="B14" s="15" t="n">
        <x:v>2016</x:v>
      </x:c>
      <x:c r="C14" s="15" t="str">
        <x:v>Xiong et al.</x:v>
      </x:c>
      <x:c r="D14" s="15" t="str">
        <x:v>Going Deeper with Deep Knowledge Tracing</x:v>
      </x:c>
      <x:c r="E14" s="15" t="str">
        <x:v>EDM</x:v>
      </x:c>
      <x:c r="F14" s="15" t="str">
        <x:v>TBD_VERIFY</x:v>
      </x:c>
      <x:c r="G14" s="15" t="str">
        <x:v>BACKGROUND</x:v>
      </x:c>
      <x:c r="H14" s="15" t="str">
        <x:v>BACKGROUND</x:v>
      </x:c>
      <x:c r="I14" s="15" t="str"/>
      <x:c r="J14" s="15" t="str">
        <x:v>NO</x:v>
      </x:c>
      <x:c r="K14" s="15" t="str">
        <x:v>NO</x:v>
      </x:c>
      <x:c r="L14" s="15" t="str">
        <x:v>NO_EXPLICIT_FOCUS</x:v>
      </x:c>
      <x:c r="M14" s="15" t="str"/>
      <x:c r="N14" s="15" t="str">
        <x:v>MEDIUM</x:v>
      </x:c>
      <x:c r="O14" s="15" t="str">
        <x:v>YES</x:v>
      </x:c>
      <x:c r="P14" s="15" t="str">
        <x:v>YES</x:v>
      </x:c>
      <x:c r="Q14" s="15" t="str">
        <x:v>BACKGROUND: sequence/probabilistic KT baseline without a verified Graph-Based or Self-Supervised mechanism.</x:v>
      </x:c>
      <x:c r="R14" s="15" t="str"/>
    </x:row>
    <x:row r="15">
      <x:c r="A15" s="15" t="str">
        <x:v>KT014</x:v>
      </x:c>
      <x:c r="B15" s="15" t="n">
        <x:v>2018</x:v>
      </x:c>
      <x:c r="C15" s="15" t="str">
        <x:v>Chen et al.</x:v>
      </x:c>
      <x:c r="D15" s="15" t="str">
        <x:v>Prerequisite-Driven Deep Knowledge Tracing</x:v>
      </x:c>
      <x:c r="E15" s="15" t="str">
        <x:v>ICDM</x:v>
      </x:c>
      <x:c r="F15" s="15" t="str">
        <x:v>10.1109/ICDM.2018.00019</x:v>
      </x:c>
      <x:c r="G15" s="15" t="str">
        <x:v>POTENTIAL_CORE</x:v>
      </x:c>
      <x:c r="H15" s="15" t="str">
        <x:v>PRIMARY_CORE</x:v>
      </x:c>
      <x:c r="I15" s="15" t="str"/>
      <x:c r="J15" s="15" t="str">
        <x:v>YES</x:v>
      </x:c>
      <x:c r="K15" s="15" t="str">
        <x:v>NO</x:v>
      </x:c>
      <x:c r="L15" s="15" t="str">
        <x:v>YES</x:v>
      </x:c>
      <x:c r="M15" s="15" t="str">
        <x:v>RQ1,RQ2,RQ4,RQ5</x:v>
      </x:c>
      <x:c r="N15" s="15" t="str">
        <x:v>HIGH</x:v>
      </x:c>
      <x:c r="O15" s="15" t="str">
        <x:v>YES</x:v>
      </x:c>
      <x:c r="P15" s="15" t="str">
        <x:v>YES</x:v>
      </x:c>
      <x:c r="Q15" s="15" t="str">
        <x:v>PRIMARY_CORE. The paper explicitly defines a prerequisite matrix that creates a concept prerequisite graph and uses prerequisite relations in the KT objective.</x:v>
      </x:c>
      <x:c r="R15" s="15" t="str">
        <x:v>https://doi.org/10.1109/ICDM.2018.00019</x:v>
      </x:c>
    </x:row>
    <x:row r="16">
      <x:c r="A16" s="15" t="str">
        <x:v>KT015</x:v>
      </x:c>
      <x:c r="B16" s="15" t="n">
        <x:v>2018</x:v>
      </x:c>
      <x:c r="C16" s="15" t="str">
        <x:v>Minn et al.</x:v>
      </x:c>
      <x:c r="D16" s="15" t="str">
        <x:v>Deep Knowledge Tracing and Dynamic Student Classification for Knowledge Tracing</x:v>
      </x:c>
      <x:c r="E16" s="15" t="str">
        <x:v>ICDM</x:v>
      </x:c>
      <x:c r="F16" s="15" t="str">
        <x:v>10.1109/ICDM.2018.00156</x:v>
      </x:c>
      <x:c r="G16" s="15" t="str">
        <x:v>BACKGROUND</x:v>
      </x:c>
      <x:c r="H16" s="15" t="str">
        <x:v>BACKGROUND</x:v>
      </x:c>
      <x:c r="I16" s="15" t="str"/>
      <x:c r="J16" s="15" t="str">
        <x:v>NO</x:v>
      </x:c>
      <x:c r="K16" s="15" t="str">
        <x:v>NO</x:v>
      </x:c>
      <x:c r="L16" s="15" t="str">
        <x:v>NO_EXPLICIT_FOCUS</x:v>
      </x:c>
      <x:c r="M16" s="15" t="str"/>
      <x:c r="N16" s="15" t="str">
        <x:v>MEDIUM</x:v>
      </x:c>
      <x:c r="O16" s="15" t="str">
        <x:v>YES</x:v>
      </x:c>
      <x:c r="P16" s="15" t="str">
        <x:v>YES</x:v>
      </x:c>
      <x:c r="Q16" s="15" t="str">
        <x:v>BACKGROUND: sequence/probabilistic KT baseline without a verified Graph-Based or Self-Supervised mechanism.</x:v>
      </x:c>
      <x:c r="R16" s="15" t="str"/>
    </x:row>
    <x:row r="17">
      <x:c r="A17" s="15" t="str">
        <x:v>KT016</x:v>
      </x:c>
      <x:c r="B17" s="15" t="n">
        <x:v>2020</x:v>
      </x:c>
      <x:c r="C17" s="15" t="str">
        <x:v>Tong et al.</x:v>
      </x:c>
      <x:c r="D17" s="15" t="str">
        <x:v>Structure-Based Knowledge Tracing: An Influence Propagation View</x:v>
      </x:c>
      <x:c r="E17" s="15" t="str">
        <x:v>ICDM</x:v>
      </x:c>
      <x:c r="F17" s="15" t="str">
        <x:v>10.1109/ICDM50108.2020.00063</x:v>
      </x:c>
      <x:c r="G17" s="15" t="str">
        <x:v>POTENTIAL_CORE</x:v>
      </x:c>
      <x:c r="H17" s="15" t="str">
        <x:v>PRIMARY_CORE</x:v>
      </x:c>
      <x:c r="I17" s="15" t="str"/>
      <x:c r="J17" s="15" t="str">
        <x:v>YES</x:v>
      </x:c>
      <x:c r="K17" s="15" t="str">
        <x:v>NO</x:v>
      </x:c>
      <x:c r="L17" s="15" t="str">
        <x:v>NO_EXPLICIT_FOCUS</x:v>
      </x:c>
      <x:c r="M17" s="15" t="str">
        <x:v>RQ1,RQ2,RQ5</x:v>
      </x:c>
      <x:c r="N17" s="15" t="str">
        <x:v>MEDIUM</x:v>
      </x:c>
      <x:c r="O17" s="15" t="str">
        <x:v>YES</x:v>
      </x:c>
      <x:c r="P17" s="15" t="str">
        <x:v>YES</x:v>
      </x:c>
      <x:c r="Q17" s="15" t="str">
        <x:v>PRIMARY_CORE because it satisfies the Graph-Based KT criterion; full-text coding is still required before final corpus freeze.</x:v>
      </x:c>
      <x:c r="R17" s="15" t="str"/>
    </x:row>
    <x:row r="18">
      <x:c r="A18" s="15" t="str">
        <x:v>KT017</x:v>
      </x:c>
      <x:c r="B18" s="15" t="n">
        <x:v>2022</x:v>
      </x:c>
      <x:c r="C18" s="15" t="str">
        <x:v>Minn</x:v>
      </x:c>
      <x:c r="D18" s="15" t="str">
        <x:v>AI-Assisted Knowledge Assessment Techniques for Adaptive Learning Environments</x:v>
      </x:c>
      <x:c r="E18" s="15" t="str">
        <x:v>Computers &amp; Education: Artificial Intelligence</x:v>
      </x:c>
      <x:c r="F18" s="15" t="str">
        <x:v>10.1016/j.caeai.2022.100050</x:v>
      </x:c>
      <x:c r="G18" s="15" t="str">
        <x:v>SCREEN_FULL_TEXT</x:v>
      </x:c>
      <x:c r="H18" s="15" t="str">
        <x:v>BACKGROUND</x:v>
      </x:c>
      <x:c r="I18" s="15" t="str"/>
      <x:c r="J18" s="15" t="str">
        <x:v>NO</x:v>
      </x:c>
      <x:c r="K18" s="15" t="str">
        <x:v>NO</x:v>
      </x:c>
      <x:c r="L18" s="15" t="str">
        <x:v>NO_EXPLICIT_FOCUS</x:v>
      </x:c>
      <x:c r="M18" s="15" t="str"/>
      <x:c r="N18" s="15" t="str">
        <x:v>MEDIUM</x:v>
      </x:c>
      <x:c r="O18" s="15" t="str">
        <x:v>YES</x:v>
      </x:c>
      <x:c r="P18" s="15" t="str">
        <x:v>YES</x:v>
      </x:c>
      <x:c r="Q18" s="15" t="str">
        <x:v>BACKGROUND: useful KT/context paper, but the seed evidence does not currently satisfy the frozen Graph-Based or Self-Supervised gateway.</x:v>
      </x:c>
      <x:c r="R18" s="15" t="str"/>
    </x:row>
    <x:row r="19">
      <x:c r="A19" s="15" t="str">
        <x:v>KT018</x:v>
      </x:c>
      <x:c r="B19" s="15" t="n">
        <x:v>2022</x:v>
      </x:c>
      <x:c r="C19" s="15" t="str">
        <x:v>Song et al.</x:v>
      </x:c>
      <x:c r="D19" s="15" t="str">
        <x:v>A Survey on Deep Learning Based Knowledge Tracing</x:v>
      </x:c>
      <x:c r="E19" s="15" t="str">
        <x:v>Knowledge-Based Systems</x:v>
      </x:c>
      <x:c r="F19" s="15" t="str">
        <x:v>10.1016/j.knosys.2022.110036</x:v>
      </x:c>
      <x:c r="G19" s="15" t="str">
        <x:v>BACKGROUND</x:v>
      </x:c>
      <x:c r="H19" s="15" t="str">
        <x:v>BACKGROUND</x:v>
      </x:c>
      <x:c r="I19" s="15" t="str"/>
      <x:c r="J19" s="15" t="str">
        <x:v>NO</x:v>
      </x:c>
      <x:c r="K19" s="15" t="str">
        <x:v>NO</x:v>
      </x:c>
      <x:c r="L19" s="15" t="str">
        <x:v>NO_EXPLICIT_FOCUS</x:v>
      </x:c>
      <x:c r="M19" s="15" t="str"/>
      <x:c r="N19" s="15" t="str">
        <x:v>MEDIUM</x:v>
      </x:c>
      <x:c r="O19" s="15" t="str">
        <x:v>YES</x:v>
      </x:c>
      <x:c r="P19" s="15" t="str">
        <x:v>YES</x:v>
      </x:c>
      <x:c r="Q19" s="15" t="str">
        <x:v>BACKGROUND: prior survey used for positioning, taxonomy comparison, and snowballing.</x:v>
      </x:c>
      <x:c r="R19" s="15" t="str"/>
    </x:row>
    <x:row r="20">
      <x:c r="A20" s="15" t="str">
        <x:v>KT019</x:v>
      </x:c>
      <x:c r="B20" s="15" t="n">
        <x:v>2020</x:v>
      </x:c>
      <x:c r="C20" s="15" t="str">
        <x:v>Pandey &amp; Srivastava</x:v>
      </x:c>
      <x:c r="D20" s="15" t="str">
        <x:v>RKT: Relation-Aware Self-Attention for Knowledge Tracing</x:v>
      </x:c>
      <x:c r="E20" s="15" t="str">
        <x:v>CIKM</x:v>
      </x:c>
      <x:c r="F20" s="15" t="str">
        <x:v>10.1145/3340531.3411994</x:v>
      </x:c>
      <x:c r="G20" s="15" t="str">
        <x:v>SCREEN_FULL_TEXT</x:v>
      </x:c>
      <x:c r="H20" s="15" t="str">
        <x:v>BACKGROUND</x:v>
      </x:c>
      <x:c r="I20" s="15" t="str"/>
      <x:c r="J20" s="15" t="str">
        <x:v>NO</x:v>
      </x:c>
      <x:c r="K20" s="15" t="str">
        <x:v>NO</x:v>
      </x:c>
      <x:c r="L20" s="15" t="str">
        <x:v>NO_EXPLICIT_FOCUS</x:v>
      </x:c>
      <x:c r="M20" s="15" t="str"/>
      <x:c r="N20" s="15" t="str">
        <x:v>HIGH</x:v>
      </x:c>
      <x:c r="O20" s="15" t="str">
        <x:v>YES</x:v>
      </x:c>
      <x:c r="P20" s="15" t="str">
        <x:v>YES</x:v>
      </x:c>
      <x:c r="Q20" s="15" t="str">
        <x:v>BACKGROUND. Relation-aware self-attention uses exercise-relation/context signals, but the reviewed abstract does not establish an explicit graph/hypergraph mechanism under the frozen G-criterion.</x:v>
      </x:c>
      <x:c r="R20" s="15" t="str">
        <x:v>https://doi.org/10.1145/3340531.3411994</x:v>
      </x:c>
    </x:row>
    <x:row r="21">
      <x:c r="A21" s="15" t="str">
        <x:v>KT020</x:v>
      </x:c>
      <x:c r="B21" s="15" t="n">
        <x:v>2020</x:v>
      </x:c>
      <x:c r="C21" s="15" t="str">
        <x:v>Shen et al.</x:v>
      </x:c>
      <x:c r="D21" s="15" t="str">
        <x:v>Convolutional Knowledge Tracing: Modeling Individualization in Student Learning Process</x:v>
      </x:c>
      <x:c r="E21" s="15" t="str">
        <x:v>SIGIR</x:v>
      </x:c>
      <x:c r="F21" s="15" t="str">
        <x:v>10.1145/3397271.3401288</x:v>
      </x:c>
      <x:c r="G21" s="15" t="str">
        <x:v>BACKGROUND</x:v>
      </x:c>
      <x:c r="H21" s="15" t="str">
        <x:v>BACKGROUND</x:v>
      </x:c>
      <x:c r="I21" s="15" t="str"/>
      <x:c r="J21" s="15" t="str">
        <x:v>NO</x:v>
      </x:c>
      <x:c r="K21" s="15" t="str">
        <x:v>NO</x:v>
      </x:c>
      <x:c r="L21" s="15" t="str">
        <x:v>NO_EXPLICIT_FOCUS</x:v>
      </x:c>
      <x:c r="M21" s="15" t="str"/>
      <x:c r="N21" s="15" t="str">
        <x:v>MEDIUM</x:v>
      </x:c>
      <x:c r="O21" s="15" t="str">
        <x:v>YES</x:v>
      </x:c>
      <x:c r="P21" s="15" t="str">
        <x:v>YES</x:v>
      </x:c>
      <x:c r="Q21" s="15" t="str">
        <x:v>BACKGROUND: sequence/probabilistic KT baseline without a verified Graph-Based or Self-Supervised mechanism.</x:v>
      </x:c>
      <x:c r="R21" s="15" t="str"/>
    </x:row>
    <x:row r="22">
      <x:c r="A22" s="15" t="str">
        <x:v>KT021</x:v>
      </x:c>
      <x:c r="B22" s="15" t="n">
        <x:v>2016</x:v>
      </x:c>
      <x:c r="C22" s="15" t="str">
        <x:v>Khajah et al.</x:v>
      </x:c>
      <x:c r="D22" s="15" t="str">
        <x:v>How Deep Is Knowledge Tracing?</x:v>
      </x:c>
      <x:c r="E22" s="15" t="str">
        <x:v>EDM</x:v>
      </x:c>
      <x:c r="F22" s="15" t="str">
        <x:v>10.48550/arXiv.1604.02416</x:v>
      </x:c>
      <x:c r="G22" s="15" t="str">
        <x:v>BACKGROUND</x:v>
      </x:c>
      <x:c r="H22" s="15" t="str">
        <x:v>BACKGROUND</x:v>
      </x:c>
      <x:c r="I22" s="15" t="str"/>
      <x:c r="J22" s="15" t="str">
        <x:v>NO</x:v>
      </x:c>
      <x:c r="K22" s="15" t="str">
        <x:v>NO</x:v>
      </x:c>
      <x:c r="L22" s="15" t="str">
        <x:v>NO_EXPLICIT_FOCUS</x:v>
      </x:c>
      <x:c r="M22" s="15" t="str"/>
      <x:c r="N22" s="15" t="str">
        <x:v>MEDIUM</x:v>
      </x:c>
      <x:c r="O22" s="15" t="str">
        <x:v>YES</x:v>
      </x:c>
      <x:c r="P22" s="15" t="str">
        <x:v>YES</x:v>
      </x:c>
      <x:c r="Q22" s="15" t="str">
        <x:v>BACKGROUND: sequence/probabilistic KT baseline without a verified Graph-Based or Self-Supervised mechanism.</x:v>
      </x:c>
      <x:c r="R22" s="15" t="str"/>
    </x:row>
    <x:row r="23">
      <x:c r="A23" s="15" t="str">
        <x:v>KT022</x:v>
      </x:c>
      <x:c r="B23" s="15" t="n">
        <x:v>2020</x:v>
      </x:c>
      <x:c r="C23" s="15" t="str">
        <x:v>Gervet et al.</x:v>
      </x:c>
      <x:c r="D23" s="15" t="str">
        <x:v>When Is Deep Learning the Best Approach to Knowledge Tracing?</x:v>
      </x:c>
      <x:c r="E23" s="15" t="str">
        <x:v>Journal of Educational Data Mining</x:v>
      </x:c>
      <x:c r="F23" s="15" t="str">
        <x:v>10.5281/zenodo.4143614</x:v>
      </x:c>
      <x:c r="G23" s="15" t="str">
        <x:v>BACKGROUND</x:v>
      </x:c>
      <x:c r="H23" s="15" t="str">
        <x:v>PRIMARY_ADJACENT</x:v>
      </x:c>
      <x:c r="I23" s="15" t="str">
        <x:v>EVALUATION_METHOD</x:v>
      </x:c>
      <x:c r="J23" s="15" t="str">
        <x:v>NO</x:v>
      </x:c>
      <x:c r="K23" s="15" t="str">
        <x:v>NO</x:v>
      </x:c>
      <x:c r="L23" s="15" t="str">
        <x:v>NO_EXPLICIT_FOCUS</x:v>
      </x:c>
      <x:c r="M23" s="15" t="str">
        <x:v>RQ5</x:v>
      </x:c>
      <x:c r="N23" s="15" t="str">
        <x:v>MEDIUM</x:v>
      </x:c>
      <x:c r="O23" s="15" t="str">
        <x:v>YES</x:v>
      </x:c>
      <x:c r="P23" s="15" t="str">
        <x:v>YES</x:v>
      </x:c>
      <x:c r="Q23" s="15" t="str">
        <x:v>PRIMARY_ADJACENT (EVALUATION_METHOD): useful for RQ4/RQ5 context but does not currently satisfy the primary Graph/SSL gateway.</x:v>
      </x:c>
      <x:c r="R23" s="15" t="str"/>
    </x:row>
    <x:row r="24">
      <x:c r="A24" s="15" t="str">
        <x:v>KT023</x:v>
      </x:c>
      <x:c r="B24" s="15" t="n">
        <x:v>2022</x:v>
      </x:c>
      <x:c r="C24" s="15" t="str">
        <x:v>Wu et al.</x:v>
      </x:c>
      <x:c r="D24" s="15" t="str">
        <x:v>SGKT: Session Graph-Based Knowledge Tracing for Student Performance Prediction</x:v>
      </x:c>
      <x:c r="E24" s="15" t="str">
        <x:v>Expert Systems with Applications</x:v>
      </x:c>
      <x:c r="F24" s="15" t="str">
        <x:v>10.1016/j.eswa.2022.117681</x:v>
      </x:c>
      <x:c r="G24" s="15" t="str">
        <x:v>POTENTIAL_CORE</x:v>
      </x:c>
      <x:c r="H24" s="15" t="str">
        <x:v>PRIMARY_CORE</x:v>
      </x:c>
      <x:c r="I24" s="15" t="str"/>
      <x:c r="J24" s="15" t="str">
        <x:v>YES</x:v>
      </x:c>
      <x:c r="K24" s="15" t="str">
        <x:v>NO</x:v>
      </x:c>
      <x:c r="L24" s="15" t="str">
        <x:v>NO_EXPLICIT_FOCUS</x:v>
      </x:c>
      <x:c r="M24" s="15" t="str">
        <x:v>RQ1,RQ2,RQ5</x:v>
      </x:c>
      <x:c r="N24" s="15" t="str">
        <x:v>HIGH</x:v>
      </x:c>
      <x:c r="O24" s="15" t="str">
        <x:v>YES</x:v>
      </x:c>
      <x:c r="P24" s="15" t="str">
        <x:v>YES</x:v>
      </x:c>
      <x:c r="Q24" s="15" t="str">
        <x:v>PRIMARY_CORE because it satisfies the Graph-Based KT criterion; full-text coding is still required before final corpus freeze.</x:v>
      </x:c>
      <x:c r="R24" s="15" t="str"/>
    </x:row>
    <x:row r="25">
      <x:c r="A25" s="15" t="str">
        <x:v>KT024</x:v>
      </x:c>
      <x:c r="B25" s="15" t="n">
        <x:v>2020</x:v>
      </x:c>
      <x:c r="C25" s="15" t="str">
        <x:v>Wu et al.</x:v>
      </x:c>
      <x:c r="D25" s="15" t="str">
        <x:v>Exercise Recommendation Based on Knowledge Concept Prediction</x:v>
      </x:c>
      <x:c r="E25" s="15" t="str">
        <x:v>Knowledge-Based Systems</x:v>
      </x:c>
      <x:c r="F25" s="15" t="str">
        <x:v>10.1016/j.knosys.2020.106481</x:v>
      </x:c>
      <x:c r="G25" s="15" t="str">
        <x:v>BACKGROUND</x:v>
      </x:c>
      <x:c r="H25" s="15" t="str">
        <x:v>BACKGROUND</x:v>
      </x:c>
      <x:c r="I25" s="15" t="str"/>
      <x:c r="J25" s="15" t="str">
        <x:v>NO</x:v>
      </x:c>
      <x:c r="K25" s="15" t="str">
        <x:v>NO</x:v>
      </x:c>
      <x:c r="L25" s="15" t="str">
        <x:v>NO_EXPLICIT_FOCUS</x:v>
      </x:c>
      <x:c r="M25" s="15" t="str"/>
      <x:c r="N25" s="15" t="str">
        <x:v>MEDIUM</x:v>
      </x:c>
      <x:c r="O25" s="15" t="str">
        <x:v>YES</x:v>
      </x:c>
      <x:c r="P25" s="15" t="str">
        <x:v>YES</x:v>
      </x:c>
      <x:c r="Q25" s="15" t="str">
        <x:v>BACKGROUND: downstream recommendation/path context, not a primary Graph/SSL survey paper.</x:v>
      </x:c>
      <x:c r="R25" s="15" t="str"/>
    </x:row>
    <x:row r="26">
      <x:c r="A26" s="15" t="str">
        <x:v>KT025</x:v>
      </x:c>
      <x:c r="B26" s="15" t="n">
        <x:v>2019</x:v>
      </x:c>
      <x:c r="C26" s="15" t="str">
        <x:v>Lee et al.</x:v>
      </x:c>
      <x:c r="D26" s="15" t="str">
        <x:v>Knowledge Query Network for Knowledge Tracing: How Knowledge Interacts with Skills</x:v>
      </x:c>
      <x:c r="E26" s="15" t="str">
        <x:v>LAK</x:v>
      </x:c>
      <x:c r="F26" s="15" t="str">
        <x:v>10.1145/3303772.3303786</x:v>
      </x:c>
      <x:c r="G26" s="15" t="str">
        <x:v>BACKGROUND</x:v>
      </x:c>
      <x:c r="H26" s="15" t="str">
        <x:v>BACKGROUND</x:v>
      </x:c>
      <x:c r="I26" s="15" t="str"/>
      <x:c r="J26" s="15" t="str">
        <x:v>NO</x:v>
      </x:c>
      <x:c r="K26" s="15" t="str">
        <x:v>NO</x:v>
      </x:c>
      <x:c r="L26" s="15" t="str">
        <x:v>NO_EXPLICIT_FOCUS</x:v>
      </x:c>
      <x:c r="M26" s="15" t="str"/>
      <x:c r="N26" s="15" t="str">
        <x:v>MEDIUM</x:v>
      </x:c>
      <x:c r="O26" s="15" t="str">
        <x:v>YES</x:v>
      </x:c>
      <x:c r="P26" s="15" t="str">
        <x:v>YES</x:v>
      </x:c>
      <x:c r="Q26" s="15" t="str">
        <x:v>BACKGROUND: sequence/probabilistic KT baseline without a verified Graph-Based or Self-Supervised mechanism.</x:v>
      </x:c>
      <x:c r="R26" s="15" t="str"/>
    </x:row>
    <x:row r="27">
      <x:c r="A27" s="15" t="str">
        <x:v>KT026</x:v>
      </x:c>
      <x:c r="B27" s="15" t="n">
        <x:v>2020</x:v>
      </x:c>
      <x:c r="C27" s="15" t="str">
        <x:v>Liu et al.</x:v>
      </x:c>
      <x:c r="D27" s="15" t="str">
        <x:v>Improving Knowledge Tracing via Pre-Training Question Embeddings</x:v>
      </x:c>
      <x:c r="E27" s="15" t="str">
        <x:v>IJCAI</x:v>
      </x:c>
      <x:c r="F27" s="15" t="str">
        <x:v>10.24963/ijcai.2020/219</x:v>
      </x:c>
      <x:c r="G27" s="15" t="str">
        <x:v>SCREEN_FULL_TEXT</x:v>
      </x:c>
      <x:c r="H27" s="15" t="str">
        <x:v>PRIMARY_CORE</x:v>
      </x:c>
      <x:c r="I27" s="15" t="str"/>
      <x:c r="J27" s="15" t="str">
        <x:v>YES</x:v>
      </x:c>
      <x:c r="K27" s="15" t="str">
        <x:v>NO</x:v>
      </x:c>
      <x:c r="L27" s="15" t="str">
        <x:v>YES</x:v>
      </x:c>
      <x:c r="M27" s="15" t="str">
        <x:v>RQ1,RQ2,RQ4,RQ5</x:v>
      </x:c>
      <x:c r="N27" s="15" t="str">
        <x:v>HIGH</x:v>
      </x:c>
      <x:c r="O27" s="15" t="str">
        <x:v>YES</x:v>
      </x:c>
      <x:c r="P27" s="15" t="str">
        <x:v>YES</x:v>
      </x:c>
      <x:c r="Q27" s="15" t="str">
        <x:v>PRIMARY_CORE. Full text explicitly formulates question-skill relations as a bipartite graph and learns graph-derived question embeddings for KT.</x:v>
      </x:c>
      <x:c r="R27" s="15" t="str">
        <x:v>https://www.ijcai.org/proceedings/2020/0219.pdf</x:v>
      </x:c>
    </x:row>
    <x:row r="28">
      <x:c r="A28" s="15" t="str">
        <x:v>KT027</x:v>
      </x:c>
      <x:c r="B28" s="15" t="n">
        <x:v>2024</x:v>
      </x:c>
      <x:c r="C28" s="15" t="str">
        <x:v>Huang et al.</x:v>
      </x:c>
      <x:c r="D28" s="15" t="str">
        <x:v>XKT: Toward Explainable Knowledge Tracing Model With Cognitive Learning Theories for Questions of Multiple Knowledge Concepts</x:v>
      </x:c>
      <x:c r="E28" s="15" t="str">
        <x:v>IEEE TKDE</x:v>
      </x:c>
      <x:c r="F28" s="15" t="str">
        <x:v>10.1109/TKDE.2024.3418098</x:v>
      </x:c>
      <x:c r="G28" s="15" t="str">
        <x:v>SCREEN_FULL_TEXT</x:v>
      </x:c>
      <x:c r="H28" s="15" t="str">
        <x:v>BACKGROUND</x:v>
      </x:c>
      <x:c r="I28" s="15" t="str"/>
      <x:c r="J28" s="15" t="str">
        <x:v>NO</x:v>
      </x:c>
      <x:c r="K28" s="15" t="str">
        <x:v>NO</x:v>
      </x:c>
      <x:c r="L28" s="15" t="str">
        <x:v>NO_EXPLICIT_FOCUS</x:v>
      </x:c>
      <x:c r="M28" s="15" t="str"/>
      <x:c r="N28" s="15" t="str">
        <x:v>MEDIUM</x:v>
      </x:c>
      <x:c r="O28" s="15" t="str">
        <x:v>YES</x:v>
      </x:c>
      <x:c r="P28" s="15" t="str">
        <x:v>YES</x:v>
      </x:c>
      <x:c r="Q28" s="15" t="str">
        <x:v>BACKGROUND: useful KT/context paper, but the seed evidence does not currently satisfy the frozen Graph-Based or Self-Supervised gateway.</x:v>
      </x:c>
      <x:c r="R28" s="15" t="str"/>
    </x:row>
    <x:row r="29">
      <x:c r="A29" s="15" t="str">
        <x:v>KT028</x:v>
      </x:c>
      <x:c r="B29" s="15" t="n">
        <x:v>2019</x:v>
      </x:c>
      <x:c r="C29" s="15" t="str">
        <x:v>Ai et al.</x:v>
      </x:c>
      <x:c r="D29" s="15" t="str">
        <x:v>Concept-Aware Deep Knowledge Tracing and Exercise Recommendation in an Online Learning System</x:v>
      </x:c>
      <x:c r="E29" s="15" t="str">
        <x:v>EDM</x:v>
      </x:c>
      <x:c r="F29" s="15" t="str">
        <x:v>TBD_VERIFY</x:v>
      </x:c>
      <x:c r="G29" s="15" t="str">
        <x:v>BACKGROUND</x:v>
      </x:c>
      <x:c r="H29" s="15" t="str">
        <x:v>BACKGROUND</x:v>
      </x:c>
      <x:c r="I29" s="15" t="str"/>
      <x:c r="J29" s="15" t="str">
        <x:v>NO</x:v>
      </x:c>
      <x:c r="K29" s="15" t="str">
        <x:v>NO</x:v>
      </x:c>
      <x:c r="L29" s="15" t="str">
        <x:v>NO_EXPLICIT_FOCUS</x:v>
      </x:c>
      <x:c r="M29" s="15" t="str"/>
      <x:c r="N29" s="15" t="str">
        <x:v>MEDIUM</x:v>
      </x:c>
      <x:c r="O29" s="15" t="str">
        <x:v>YES</x:v>
      </x:c>
      <x:c r="P29" s="15" t="str">
        <x:v>YES</x:v>
      </x:c>
      <x:c r="Q29" s="15" t="str">
        <x:v>BACKGROUND: downstream recommendation/path context, not a primary Graph/SSL survey paper.</x:v>
      </x:c>
      <x:c r="R29" s="15" t="str"/>
    </x:row>
    <x:row r="30">
      <x:c r="A30" s="15" t="str">
        <x:v>KT029</x:v>
      </x:c>
      <x:c r="B30" s="15" t="n">
        <x:v>2024</x:v>
      </x:c>
      <x:c r="C30" s="15" t="str">
        <x:v>Cui et al.</x:v>
      </x:c>
      <x:c r="D30" s="15" t="str">
        <x:v>DGEKT: A Dual Graph Ensemble Learning Method for Knowledge Tracing</x:v>
      </x:c>
      <x:c r="E30" s="15" t="str">
        <x:v>ACM Transactions on Information Systems</x:v>
      </x:c>
      <x:c r="F30" s="15" t="str">
        <x:v>10.1145/3638350</x:v>
      </x:c>
      <x:c r="G30" s="15" t="str">
        <x:v>POTENTIAL_CORE</x:v>
      </x:c>
      <x:c r="H30" s="15" t="str">
        <x:v>PRIMARY_CORE</x:v>
      </x:c>
      <x:c r="I30" s="15" t="str"/>
      <x:c r="J30" s="15" t="str">
        <x:v>YES</x:v>
      </x:c>
      <x:c r="K30" s="15" t="str">
        <x:v>NO</x:v>
      </x:c>
      <x:c r="L30" s="15" t="str">
        <x:v>NO_EXPLICIT_FOCUS</x:v>
      </x:c>
      <x:c r="M30" s="15" t="str">
        <x:v>RQ1,RQ2,RQ5</x:v>
      </x:c>
      <x:c r="N30" s="15" t="str">
        <x:v>HIGH</x:v>
      </x:c>
      <x:c r="O30" s="15" t="str">
        <x:v>YES</x:v>
      </x:c>
      <x:c r="P30" s="15" t="str">
        <x:v>YES</x:v>
      </x:c>
      <x:c r="Q30" s="15" t="str">
        <x:v>PRIMARY_CORE because it satisfies the Graph-Based KT criterion; full-text coding is still required before final corpus freeze.</x:v>
      </x:c>
      <x:c r="R30" s="15" t="str"/>
    </x:row>
    <x:row r="31">
      <x:c r="A31" s="15" t="str">
        <x:v>KT030</x:v>
      </x:c>
      <x:c r="B31" s="15" t="n">
        <x:v>2019</x:v>
      </x:c>
      <x:c r="C31" s="15" t="str">
        <x:v>Wang et al.</x:v>
      </x:c>
      <x:c r="D31" s="15" t="str">
        <x:v>Deep Hierarchical Knowledge Tracing</x:v>
      </x:c>
      <x:c r="E31" s="15" t="str">
        <x:v>EDM</x:v>
      </x:c>
      <x:c r="F31" s="15" t="str">
        <x:v>TBD_VERIFY</x:v>
      </x:c>
      <x:c r="G31" s="15" t="str">
        <x:v>SCREEN_FULL_TEXT</x:v>
      </x:c>
      <x:c r="H31" s="15" t="str">
        <x:v>BACKGROUND</x:v>
      </x:c>
      <x:c r="I31" s="15" t="str"/>
      <x:c r="J31" s="15" t="str">
        <x:v>NO</x:v>
      </x:c>
      <x:c r="K31" s="15" t="str">
        <x:v>NO</x:v>
      </x:c>
      <x:c r="L31" s="15" t="str">
        <x:v>NO_EXPLICIT_FOCUS</x:v>
      </x:c>
      <x:c r="M31" s="15" t="str"/>
      <x:c r="N31" s="15" t="str">
        <x:v>HIGH</x:v>
      </x:c>
      <x:c r="O31" s="15" t="str">
        <x:v>YES</x:v>
      </x:c>
      <x:c r="P31" s="15" t="str">
        <x:v>YES</x:v>
      </x:c>
      <x:c r="Q31" s="15" t="str">
        <x:v>BACKGROUND. The hierarchical relation is modeled with a hinge loss over concept/item embeddings; this does not by itself satisfy the frozen explicit Graph-KT criterion.</x:v>
      </x:c>
      <x:c r="R31" s="15" t="str">
        <x:v>https://pure.psu.edu/en/publications/deep-hierarchical-knowledge-tracing/</x:v>
      </x:c>
    </x:row>
    <x:row r="32">
      <x:c r="A32" s="15" t="str">
        <x:v>KT031</x:v>
      </x:c>
      <x:c r="B32" s="15" t="n">
        <x:v>2022</x:v>
      </x:c>
      <x:c r="C32" s="15" t="str">
        <x:v>Gan et al.</x:v>
      </x:c>
      <x:c r="D32" s="15" t="str">
        <x:v>Knowledge Structure Enhanced Graph Representation Learning Model for Attentive Knowledge Tracing</x:v>
      </x:c>
      <x:c r="E32" s="15" t="str">
        <x:v>International Journal of Intelligent Systems</x:v>
      </x:c>
      <x:c r="F32" s="15" t="str">
        <x:v>10.1002/int.22763</x:v>
      </x:c>
      <x:c r="G32" s="15" t="str">
        <x:v>POTENTIAL_CORE</x:v>
      </x:c>
      <x:c r="H32" s="15" t="str">
        <x:v>PRIMARY_CORE</x:v>
      </x:c>
      <x:c r="I32" s="15" t="str"/>
      <x:c r="J32" s="15" t="str">
        <x:v>YES</x:v>
      </x:c>
      <x:c r="K32" s="15" t="str">
        <x:v>NO</x:v>
      </x:c>
      <x:c r="L32" s="15" t="str">
        <x:v>NO_EXPLICIT_FOCUS</x:v>
      </x:c>
      <x:c r="M32" s="15" t="str">
        <x:v>RQ1,RQ2,RQ5</x:v>
      </x:c>
      <x:c r="N32" s="15" t="str">
        <x:v>HIGH</x:v>
      </x:c>
      <x:c r="O32" s="15" t="str">
        <x:v>YES</x:v>
      </x:c>
      <x:c r="P32" s="15" t="str">
        <x:v>YES</x:v>
      </x:c>
      <x:c r="Q32" s="15" t="str">
        <x:v>PRIMARY_CORE because it satisfies the Graph-Based KT criterion; full-text coding is still required before final corpus freeze.</x:v>
      </x:c>
      <x:c r="R32" s="15" t="str"/>
    </x:row>
    <x:row r="33">
      <x:c r="A33" s="15" t="str">
        <x:v>KT032</x:v>
      </x:c>
      <x:c r="B33" s="15" t="n">
        <x:v>2021</x:v>
      </x:c>
      <x:c r="C33" s="15" t="str">
        <x:v>Zhang et al.</x:v>
      </x:c>
      <x:c r="D33" s="15" t="str">
        <x:v>Multi-Factors Aware Dual-Attentional Knowledge Tracing</x:v>
      </x:c>
      <x:c r="E33" s="15" t="str">
        <x:v>CIKM</x:v>
      </x:c>
      <x:c r="F33" s="15" t="str">
        <x:v>10.1145/3459637.3482372</x:v>
      </x:c>
      <x:c r="G33" s="15" t="str">
        <x:v>BACKGROUND</x:v>
      </x:c>
      <x:c r="H33" s="15" t="str">
        <x:v>BACKGROUND</x:v>
      </x:c>
      <x:c r="I33" s="15" t="str"/>
      <x:c r="J33" s="15" t="str">
        <x:v>NO</x:v>
      </x:c>
      <x:c r="K33" s="15" t="str">
        <x:v>NO</x:v>
      </x:c>
      <x:c r="L33" s="15" t="str">
        <x:v>NO_EXPLICIT_FOCUS</x:v>
      </x:c>
      <x:c r="M33" s="15" t="str"/>
      <x:c r="N33" s="15" t="str">
        <x:v>MEDIUM</x:v>
      </x:c>
      <x:c r="O33" s="15" t="str">
        <x:v>YES</x:v>
      </x:c>
      <x:c r="P33" s="15" t="str">
        <x:v>YES</x:v>
      </x:c>
      <x:c r="Q33" s="15" t="str">
        <x:v>BACKGROUND: sequence/probabilistic KT baseline without a verified Graph-Based or Self-Supervised mechanism.</x:v>
      </x:c>
      <x:c r="R33" s="15" t="str"/>
    </x:row>
    <x:row r="34">
      <x:c r="A34" s="15" t="str">
        <x:v>KT033</x:v>
      </x:c>
      <x:c r="B34" s="15" t="n">
        <x:v>2023</x:v>
      </x:c>
      <x:c r="C34" s="15" t="str">
        <x:v>Abdelrahman et al.</x:v>
      </x:c>
      <x:c r="D34" s="15" t="str">
        <x:v>Deep Graph Memory Networks for Forgetting-Robust Knowledge Tracing</x:v>
      </x:c>
      <x:c r="E34" s="15" t="str">
        <x:v>IEEE TKDE</x:v>
      </x:c>
      <x:c r="F34" s="15" t="str">
        <x:v>10.1109/TKDE.2022.3206447</x:v>
      </x:c>
      <x:c r="G34" s="15" t="str">
        <x:v>POTENTIAL_CORE</x:v>
      </x:c>
      <x:c r="H34" s="15" t="str">
        <x:v>PRIMARY_CORE</x:v>
      </x:c>
      <x:c r="I34" s="15" t="str"/>
      <x:c r="J34" s="15" t="str">
        <x:v>YES</x:v>
      </x:c>
      <x:c r="K34" s="15" t="str">
        <x:v>NO</x:v>
      </x:c>
      <x:c r="L34" s="15" t="str">
        <x:v>NO_EXPLICIT_FOCUS</x:v>
      </x:c>
      <x:c r="M34" s="15" t="str">
        <x:v>RQ1,RQ2,RQ5</x:v>
      </x:c>
      <x:c r="N34" s="15" t="str">
        <x:v>HIGH</x:v>
      </x:c>
      <x:c r="O34" s="15" t="str">
        <x:v>YES</x:v>
      </x:c>
      <x:c r="P34" s="15" t="str">
        <x:v>YES</x:v>
      </x:c>
      <x:c r="Q34" s="15" t="str">
        <x:v>PRIMARY_CORE because it satisfies the Graph-Based KT criterion; full-text coding is still required before final corpus freeze.</x:v>
      </x:c>
      <x:c r="R34" s="15" t="str"/>
    </x:row>
    <x:row r="35">
      <x:c r="A35" s="15" t="str">
        <x:v>KT034</x:v>
      </x:c>
      <x:c r="B35" s="15" t="n">
        <x:v>2019</x:v>
      </x:c>
      <x:c r="C35" s="15" t="str">
        <x:v>Wang et al.</x:v>
      </x:c>
      <x:c r="D35" s="15" t="str">
        <x:v>Deep Knowledge Tracing with Side Information</x:v>
      </x:c>
      <x:c r="E35" s="15" t="str">
        <x:v>AIED</x:v>
      </x:c>
      <x:c r="F35" s="15" t="str">
        <x:v>10.1007/978-3-030-23207-8_56</x:v>
      </x:c>
      <x:c r="G35" s="15" t="str">
        <x:v>BACKGROUND</x:v>
      </x:c>
      <x:c r="H35" s="15" t="str">
        <x:v>BACKGROUND</x:v>
      </x:c>
      <x:c r="I35" s="15" t="str"/>
      <x:c r="J35" s="15" t="str">
        <x:v>NO</x:v>
      </x:c>
      <x:c r="K35" s="15" t="str">
        <x:v>NO</x:v>
      </x:c>
      <x:c r="L35" s="15" t="str">
        <x:v>NO_EXPLICIT_FOCUS</x:v>
      </x:c>
      <x:c r="M35" s="15" t="str"/>
      <x:c r="N35" s="15" t="str">
        <x:v>MEDIUM</x:v>
      </x:c>
      <x:c r="O35" s="15" t="str">
        <x:v>YES</x:v>
      </x:c>
      <x:c r="P35" s="15" t="str">
        <x:v>YES</x:v>
      </x:c>
      <x:c r="Q35" s="15" t="str">
        <x:v>BACKGROUND: sequence/probabilistic KT baseline without a verified Graph-Based or Self-Supervised mechanism.</x:v>
      </x:c>
      <x:c r="R35" s="15" t="str"/>
    </x:row>
    <x:row r="36">
      <x:c r="A36" s="15" t="str">
        <x:v>KT035</x:v>
      </x:c>
      <x:c r="B36" s="15" t="n">
        <x:v>2023</x:v>
      </x:c>
      <x:c r="C36" s="15" t="str">
        <x:v>Ni et al.</x:v>
      </x:c>
      <x:c r="D36" s="15" t="str">
        <x:v>HHSKT: A Learner–Question Interactions Based Heterogeneous Graph Neural Network Model for Knowledge Tracing</x:v>
      </x:c>
      <x:c r="E36" s="15" t="str">
        <x:v>Expert Systems with Applications</x:v>
      </x:c>
      <x:c r="F36" s="15" t="str">
        <x:v>10.1016/j.eswa.2022.119334</x:v>
      </x:c>
      <x:c r="G36" s="15" t="str">
        <x:v>POTENTIAL_CORE</x:v>
      </x:c>
      <x:c r="H36" s="15" t="str">
        <x:v>PRIMARY_CORE</x:v>
      </x:c>
      <x:c r="I36" s="15" t="str"/>
      <x:c r="J36" s="15" t="str">
        <x:v>YES</x:v>
      </x:c>
      <x:c r="K36" s="15" t="str">
        <x:v>NO</x:v>
      </x:c>
      <x:c r="L36" s="15" t="str">
        <x:v>NO_EXPLICIT_FOCUS</x:v>
      </x:c>
      <x:c r="M36" s="15" t="str">
        <x:v>RQ1,RQ2,RQ5</x:v>
      </x:c>
      <x:c r="N36" s="15" t="str">
        <x:v>HIGH</x:v>
      </x:c>
      <x:c r="O36" s="15" t="str">
        <x:v>YES</x:v>
      </x:c>
      <x:c r="P36" s="15" t="str">
        <x:v>YES</x:v>
      </x:c>
      <x:c r="Q36" s="15" t="str">
        <x:v>PRIMARY_CORE because it satisfies the Graph-Based KT criterion; full-text coding is still required before final corpus freeze.</x:v>
      </x:c>
      <x:c r="R36" s="15" t="str"/>
    </x:row>
    <x:row r="37">
      <x:c r="A37" s="15" t="str">
        <x:v>KT036</x:v>
      </x:c>
      <x:c r="B37" s="15" t="n">
        <x:v>2024</x:v>
      </x:c>
      <x:c r="C37" s="15" t="str">
        <x:v>Yang et al.</x:v>
      </x:c>
      <x:c r="D37" s="15" t="str">
        <x:v>Heterogeneous Graph-Based Knowledge Tracing with Spatiotemporal Evolution</x:v>
      </x:c>
      <x:c r="E37" s="15" t="str">
        <x:v>Expert Systems with Applications</x:v>
      </x:c>
      <x:c r="F37" s="15" t="str">
        <x:v>10.1016/j.eswa.2023.122249</x:v>
      </x:c>
      <x:c r="G37" s="15" t="str">
        <x:v>POTENTIAL_CORE</x:v>
      </x:c>
      <x:c r="H37" s="15" t="str">
        <x:v>PRIMARY_CORE</x:v>
      </x:c>
      <x:c r="I37" s="15" t="str"/>
      <x:c r="J37" s="15" t="str">
        <x:v>YES</x:v>
      </x:c>
      <x:c r="K37" s="15" t="str">
        <x:v>NO</x:v>
      </x:c>
      <x:c r="L37" s="15" t="str">
        <x:v>NO_EXPLICIT_FOCUS</x:v>
      </x:c>
      <x:c r="M37" s="15" t="str">
        <x:v>RQ1,RQ2,RQ5</x:v>
      </x:c>
      <x:c r="N37" s="15" t="str">
        <x:v>HIGH</x:v>
      </x:c>
      <x:c r="O37" s="15" t="str">
        <x:v>YES</x:v>
      </x:c>
      <x:c r="P37" s="15" t="str">
        <x:v>YES</x:v>
      </x:c>
      <x:c r="Q37" s="15" t="str">
        <x:v>PRIMARY_CORE because it satisfies the Graph-Based KT criterion; full-text coding is still required before final corpus freeze.</x:v>
      </x:c>
      <x:c r="R37" s="15" t="str"/>
    </x:row>
    <x:row r="38">
      <x:c r="A38" s="15" t="str">
        <x:v>KT037</x:v>
      </x:c>
      <x:c r="B38" s="15" t="n">
        <x:v>2022</x:v>
      </x:c>
      <x:c r="C38" s="15" t="str">
        <x:v>Lu et al.</x:v>
      </x:c>
      <x:c r="D38" s="15" t="str">
        <x:v>CMKT: Concept Map Driven Knowledge Tracing</x:v>
      </x:c>
      <x:c r="E38" s="15" t="str">
        <x:v>IEEE Transactions on Learning Technologies</x:v>
      </x:c>
      <x:c r="F38" s="15" t="str">
        <x:v>10.1109/TLT.2022.3196355</x:v>
      </x:c>
      <x:c r="G38" s="15" t="str">
        <x:v>POTENTIAL_CORE</x:v>
      </x:c>
      <x:c r="H38" s="15" t="str">
        <x:v>PRIMARY_CORE</x:v>
      </x:c>
      <x:c r="I38" s="15" t="str"/>
      <x:c r="J38" s="15" t="str">
        <x:v>YES</x:v>
      </x:c>
      <x:c r="K38" s="15" t="str">
        <x:v>NO</x:v>
      </x:c>
      <x:c r="L38" s="15" t="str">
        <x:v>YES</x:v>
      </x:c>
      <x:c r="M38" s="15" t="str">
        <x:v>RQ1,RQ2,RQ4,RQ5</x:v>
      </x:c>
      <x:c r="N38" s="15" t="str">
        <x:v>HIGH</x:v>
      </x:c>
      <x:c r="O38" s="15" t="str">
        <x:v>YES</x:v>
      </x:c>
      <x:c r="P38" s="15" t="str">
        <x:v>YES</x:v>
      </x:c>
      <x:c r="Q38" s="15" t="str">
        <x:v>PRIMARY_CORE because it satisfies the Graph-Based KT criterion; full-text coding is still required before final corpus freeze.</x:v>
      </x:c>
      <x:c r="R38" s="15" t="str"/>
    </x:row>
    <x:row r="39">
      <x:c r="A39" s="15" t="str">
        <x:v>KT038</x:v>
      </x:c>
      <x:c r="B39" s="15" t="n">
        <x:v>2024</x:v>
      </x:c>
      <x:c r="C39" s="15" t="str">
        <x:v>Nie/Cheng et al.</x:v>
      </x:c>
      <x:c r="D39" s="15" t="str">
        <x:v>DyGKT: Dynamic Graph Learning for Knowledge Tracing</x:v>
      </x:c>
      <x:c r="E39" s="15" t="str">
        <x:v>KDD</x:v>
      </x:c>
      <x:c r="F39" s="15" t="str">
        <x:v>TBD_VERIFY_CONFLICT</x:v>
      </x:c>
      <x:c r="G39" s="15" t="str">
        <x:v>POTENTIAL_CORE</x:v>
      </x:c>
      <x:c r="H39" s="15" t="str">
        <x:v>PRIMARY_CORE</x:v>
      </x:c>
      <x:c r="I39" s="15" t="str"/>
      <x:c r="J39" s="15" t="str">
        <x:v>YES</x:v>
      </x:c>
      <x:c r="K39" s="15" t="str">
        <x:v>NO</x:v>
      </x:c>
      <x:c r="L39" s="15" t="str">
        <x:v>NO_EXPLICIT_FOCUS</x:v>
      </x:c>
      <x:c r="M39" s="15" t="str">
        <x:v>RQ1,RQ2,RQ5</x:v>
      </x:c>
      <x:c r="N39" s="15" t="str">
        <x:v>HIGH</x:v>
      </x:c>
      <x:c r="O39" s="15" t="str">
        <x:v>YES</x:v>
      </x:c>
      <x:c r="P39" s="15" t="str">
        <x:v>YES</x:v>
      </x:c>
      <x:c r="Q39" s="15" t="str">
        <x:v>PRIMARY_CORE because it satisfies the Graph-Based KT criterion; full-text coding is still required before final corpus freeze.</x:v>
      </x:c>
      <x:c r="R39" s="15" t="str"/>
    </x:row>
    <x:row r="40">
      <x:c r="A40" s="15" t="str">
        <x:v>KT039</x:v>
      </x:c>
      <x:c r="B40" s="15" t="n">
        <x:v>2022</x:v>
      </x:c>
      <x:c r="C40" s="15" t="str">
        <x:v>Lee et al.</x:v>
      </x:c>
      <x:c r="D40" s="15" t="str">
        <x:v>Contrastive Learning for Knowledge Tracing</x:v>
      </x:c>
      <x:c r="E40" s="15" t="str">
        <x:v>The Web Conference</x:v>
      </x:c>
      <x:c r="F40" s="15" t="str">
        <x:v>10.1145/3485447.3512105</x:v>
      </x:c>
      <x:c r="G40" s="15" t="str">
        <x:v>POTENTIAL_CORE</x:v>
      </x:c>
      <x:c r="H40" s="15" t="str">
        <x:v>PRIMARY_CORE</x:v>
      </x:c>
      <x:c r="I40" s="15" t="str"/>
      <x:c r="J40" s="15" t="str">
        <x:v>NO</x:v>
      </x:c>
      <x:c r="K40" s="15" t="str">
        <x:v>YES</x:v>
      </x:c>
      <x:c r="L40" s="15" t="str">
        <x:v>NO_EXPLICIT_FOCUS</x:v>
      </x:c>
      <x:c r="M40" s="15" t="str">
        <x:v>RQ3,RQ5</x:v>
      </x:c>
      <x:c r="N40" s="15" t="str">
        <x:v>HIGH</x:v>
      </x:c>
      <x:c r="O40" s="15" t="str">
        <x:v>YES</x:v>
      </x:c>
      <x:c r="P40" s="15" t="str">
        <x:v>YES</x:v>
      </x:c>
      <x:c r="Q40" s="15" t="str">
        <x:v>PRIMARY_CORE because it satisfies the Self-Supervised KT criterion; full-text coding is still required before final corpus freeze.</x:v>
      </x:c>
      <x:c r="R40" s="15" t="str"/>
    </x:row>
    <x:row r="41">
      <x:c r="A41" s="15" t="str">
        <x:v>KT040</x:v>
      </x:c>
      <x:c r="B41" s="15" t="n">
        <x:v>2023</x:v>
      </x:c>
      <x:c r="C41" s="15" t="str">
        <x:v>Yin et al.</x:v>
      </x:c>
      <x:c r="D41" s="15" t="str">
        <x:v>Tracing Knowledge Instead of Patterns: Stable Knowledge Tracing with Diagnostic Transformer</x:v>
      </x:c>
      <x:c r="E41" s="15" t="str">
        <x:v>The Web Conference</x:v>
      </x:c>
      <x:c r="F41" s="15" t="str">
        <x:v>10.1145/3543507.3583255</x:v>
      </x:c>
      <x:c r="G41" s="15" t="str">
        <x:v>BACKGROUND</x:v>
      </x:c>
      <x:c r="H41" s="15" t="str">
        <x:v>BACKGROUND</x:v>
      </x:c>
      <x:c r="I41" s="15" t="str"/>
      <x:c r="J41" s="15" t="str">
        <x:v>NO</x:v>
      </x:c>
      <x:c r="K41" s="15" t="str">
        <x:v>NO</x:v>
      </x:c>
      <x:c r="L41" s="15" t="str">
        <x:v>NO_EXPLICIT_FOCUS</x:v>
      </x:c>
      <x:c r="M41" s="15" t="str"/>
      <x:c r="N41" s="15" t="str">
        <x:v>MEDIUM</x:v>
      </x:c>
      <x:c r="O41" s="15" t="str">
        <x:v>YES</x:v>
      </x:c>
      <x:c r="P41" s="15" t="str">
        <x:v>YES</x:v>
      </x:c>
      <x:c r="Q41" s="15" t="str">
        <x:v>BACKGROUND: sequence/probabilistic KT baseline without a verified Graph-Based or Self-Supervised mechanism.</x:v>
      </x:c>
      <x:c r="R41" s="15" t="str"/>
    </x:row>
    <x:row r="42">
      <x:c r="A42" s="15" t="str">
        <x:v>KT041</x:v>
      </x:c>
      <x:c r="B42" s="15" t="n">
        <x:v>2023</x:v>
      </x:c>
      <x:c r="C42" s="15" t="str">
        <x:v>Huang et al.</x:v>
      </x:c>
      <x:c r="D42" s="15" t="str">
        <x:v>Towards Robust Knowledge Tracing Models via k-Sparse Attention</x:v>
      </x:c>
      <x:c r="E42" s="15" t="str">
        <x:v>SIGIR</x:v>
      </x:c>
      <x:c r="F42" s="15" t="str">
        <x:v>10.1145/3539618.3592073</x:v>
      </x:c>
      <x:c r="G42" s="15" t="str">
        <x:v>BACKGROUND</x:v>
      </x:c>
      <x:c r="H42" s="15" t="str">
        <x:v>BACKGROUND</x:v>
      </x:c>
      <x:c r="I42" s="15" t="str"/>
      <x:c r="J42" s="15" t="str">
        <x:v>NO</x:v>
      </x:c>
      <x:c r="K42" s="15" t="str">
        <x:v>NO</x:v>
      </x:c>
      <x:c r="L42" s="15" t="str">
        <x:v>TERM_AMBIGUITY_ONLY</x:v>
      </x:c>
      <x:c r="M42" s="15" t="str"/>
      <x:c r="N42" s="15" t="str">
        <x:v>MEDIUM</x:v>
      </x:c>
      <x:c r="O42" s="15" t="str">
        <x:v>YES</x:v>
      </x:c>
      <x:c r="P42" s="15" t="str">
        <x:v>YES</x:v>
      </x:c>
      <x:c r="Q42" s="15" t="str">
        <x:v>BACKGROUND. 'Sparse' refers to k-sparse attention architecture; do not treat as sparse-KC evidence unless a separate low-frequency-KC analysis is verified.</x:v>
      </x:c>
      <x:c r="R42" s="15" t="str"/>
    </x:row>
    <x:row r="43">
      <x:c r="A43" s="15" t="str">
        <x:v>KT042</x:v>
      </x:c>
      <x:c r="B43" s="15" t="n">
        <x:v>2023</x:v>
      </x:c>
      <x:c r="C43" s="15" t="str">
        <x:v>Wu et al.</x:v>
      </x:c>
      <x:c r="D43" s="15" t="str">
        <x:v>Self-Supervised Heterogeneous Hypergraph Network for Knowledge Tracing</x:v>
      </x:c>
      <x:c r="E43" s="15" t="str">
        <x:v>Information Sciences</x:v>
      </x:c>
      <x:c r="F43" s="15" t="str">
        <x:v>10.1016/j.ins.2022.12.075</x:v>
      </x:c>
      <x:c r="G43" s="15" t="str">
        <x:v>POTENTIAL_CORE</x:v>
      </x:c>
      <x:c r="H43" s="15" t="str">
        <x:v>PRIMARY_CORE</x:v>
      </x:c>
      <x:c r="I43" s="15" t="str"/>
      <x:c r="J43" s="15" t="str">
        <x:v>YES</x:v>
      </x:c>
      <x:c r="K43" s="15" t="str">
        <x:v>YES</x:v>
      </x:c>
      <x:c r="L43" s="15" t="str">
        <x:v>NO_EXPLICIT_FOCUS</x:v>
      </x:c>
      <x:c r="M43" s="15" t="str">
        <x:v>RQ1,RQ2,RQ3,RQ5</x:v>
      </x:c>
      <x:c r="N43" s="15" t="str">
        <x:v>HIGH</x:v>
      </x:c>
      <x:c r="O43" s="15" t="str">
        <x:v>YES</x:v>
      </x:c>
      <x:c r="P43" s="15" t="str">
        <x:v>YES</x:v>
      </x:c>
      <x:c r="Q43" s="15" t="str">
        <x:v>PRIMARY_CORE because it satisfies the Graph-Based KT criterion and satisfies the Self-Supervised KT criterion; full-text coding is still required before final corpus freeze.</x:v>
      </x:c>
      <x:c r="R43" s="15" t="str"/>
    </x:row>
    <x:row r="44">
      <x:c r="A44" s="15" t="str">
        <x:v>KT043</x:v>
      </x:c>
      <x:c r="B44" s="15" t="n">
        <x:v>2024</x:v>
      </x:c>
      <x:c r="C44" s="15" t="str">
        <x:v>Sun et al.</x:v>
      </x:c>
      <x:c r="D44" s="15" t="str">
        <x:v>Weighted Heterogeneous Graph-Based Three-View Contrastive Learning for Knowledge Tracing</x:v>
      </x:c>
      <x:c r="E44" s="15" t="str">
        <x:v>IEEE Transactions on Consumer Electronics</x:v>
      </x:c>
      <x:c r="F44" s="15" t="str">
        <x:v>10.1109/TCE.2023.3293953</x:v>
      </x:c>
      <x:c r="G44" s="15" t="str">
        <x:v>POTENTIAL_CORE</x:v>
      </x:c>
      <x:c r="H44" s="15" t="str">
        <x:v>PRIMARY_CORE</x:v>
      </x:c>
      <x:c r="I44" s="15" t="str"/>
      <x:c r="J44" s="15" t="str">
        <x:v>YES</x:v>
      </x:c>
      <x:c r="K44" s="15" t="str">
        <x:v>YES</x:v>
      </x:c>
      <x:c r="L44" s="15" t="str">
        <x:v>NO_EXPLICIT_FOCUS</x:v>
      </x:c>
      <x:c r="M44" s="15" t="str">
        <x:v>RQ1,RQ2,RQ3,RQ5</x:v>
      </x:c>
      <x:c r="N44" s="15" t="str">
        <x:v>HIGH</x:v>
      </x:c>
      <x:c r="O44" s="15" t="str">
        <x:v>YES</x:v>
      </x:c>
      <x:c r="P44" s="15" t="str">
        <x:v>YES</x:v>
      </x:c>
      <x:c r="Q44" s="15" t="str">
        <x:v>PRIMARY_CORE because it satisfies the Graph-Based KT criterion and satisfies the Self-Supervised KT criterion; full-text coding is still required before final corpus freeze.</x:v>
      </x:c>
      <x:c r="R44" s="15" t="str"/>
    </x:row>
    <x:row r="45">
      <x:c r="A45" s="15" t="str">
        <x:v>KT044</x:v>
      </x:c>
      <x:c r="B45" s="15" t="n">
        <x:v>2024</x:v>
      </x:c>
      <x:c r="C45" s="15" t="str">
        <x:v>Fu et al.</x:v>
      </x:c>
      <x:c r="D45" s="15" t="str">
        <x:v>SINKT: A Structure-Aware Inductive Knowledge Tracing Model with Large Language Model</x:v>
      </x:c>
      <x:c r="E45" s="15" t="str">
        <x:v>CIKM</x:v>
      </x:c>
      <x:c r="F45" s="15" t="str">
        <x:v>10.1145/3627673.3679760</x:v>
      </x:c>
      <x:c r="G45" s="15" t="str">
        <x:v>POTENTIAL_CORE</x:v>
      </x:c>
      <x:c r="H45" s="15" t="str">
        <x:v>PRIMARY_CORE</x:v>
      </x:c>
      <x:c r="I45" s="15" t="str"/>
      <x:c r="J45" s="15" t="str">
        <x:v>YES</x:v>
      </x:c>
      <x:c r="K45" s="15" t="str">
        <x:v>NO</x:v>
      </x:c>
      <x:c r="L45" s="15" t="str">
        <x:v>YES</x:v>
      </x:c>
      <x:c r="M45" s="15" t="str">
        <x:v>RQ1,RQ2,RQ4,RQ5</x:v>
      </x:c>
      <x:c r="N45" s="15" t="str">
        <x:v>HIGH</x:v>
      </x:c>
      <x:c r="O45" s="15" t="str">
        <x:v>YES</x:v>
      </x:c>
      <x:c r="P45" s="15" t="str">
        <x:v>YES</x:v>
      </x:c>
      <x:c r="Q45" s="15" t="str">
        <x:v>PRIMARY_CORE. SINKT explicitly constructs a heterogeneous graph of concepts and questions and evaluates inductive/cold-start behavior.</x:v>
      </x:c>
      <x:c r="R45" s="15" t="str">
        <x:v>https://doi.org/10.1145/3627673.3679760</x:v>
      </x:c>
    </x:row>
    <x:row r="46">
      <x:c r="A46" s="15" t="str">
        <x:v>KT045</x:v>
      </x:c>
      <x:c r="B46" s="15" t="n">
        <x:v>2019</x:v>
      </x:c>
      <x:c r="C46" s="15" t="str">
        <x:v>Ding et al.</x:v>
      </x:c>
      <x:c r="D46" s="15" t="str">
        <x:v>Why Deep Knowledge Tracing Has Less Depth Than Anticipated</x:v>
      </x:c>
      <x:c r="E46" s="15" t="str">
        <x:v>EDM</x:v>
      </x:c>
      <x:c r="F46" s="15" t="str">
        <x:v>TBD_VERIFY</x:v>
      </x:c>
      <x:c r="G46" s="15" t="str">
        <x:v>BACKGROUND</x:v>
      </x:c>
      <x:c r="H46" s="15" t="str">
        <x:v>PRIMARY_ADJACENT</x:v>
      </x:c>
      <x:c r="I46" s="15" t="str">
        <x:v>EVALUATION_METHOD</x:v>
      </x:c>
      <x:c r="J46" s="15" t="str">
        <x:v>NO</x:v>
      </x:c>
      <x:c r="K46" s="15" t="str">
        <x:v>NO</x:v>
      </x:c>
      <x:c r="L46" s="15" t="str">
        <x:v>NO_EXPLICIT_FOCUS</x:v>
      </x:c>
      <x:c r="M46" s="15" t="str">
        <x:v>RQ5</x:v>
      </x:c>
      <x:c r="N46" s="15" t="str">
        <x:v>MEDIUM</x:v>
      </x:c>
      <x:c r="O46" s="15" t="str">
        <x:v>YES</x:v>
      </x:c>
      <x:c r="P46" s="15" t="str">
        <x:v>YES</x:v>
      </x:c>
      <x:c r="Q46" s="15" t="str">
        <x:v>PRIMARY_ADJACENT (EVALUATION_METHOD): useful for RQ4/RQ5 context but does not currently satisfy the primary Graph/SSL gateway.</x:v>
      </x:c>
      <x:c r="R46" s="15" t="str"/>
    </x:row>
    <x:row r="47">
      <x:c r="A47" s="15" t="str">
        <x:v>KT046</x:v>
      </x:c>
      <x:c r="B47" s="15" t="n">
        <x:v>2020</x:v>
      </x:c>
      <x:c r="C47" s="15" t="str">
        <x:v>Zhao et al.</x:v>
      </x:c>
      <x:c r="D47" s="15" t="str">
        <x:v>Cold Start Knowledge Tracing with Attentive Neural Turing Machine</x:v>
      </x:c>
      <x:c r="E47" s="15" t="str">
        <x:v>ACM L@S</x:v>
      </x:c>
      <x:c r="F47" s="15" t="str">
        <x:v>10.1145/3386527.3406741</x:v>
      </x:c>
      <x:c r="G47" s="15" t="str">
        <x:v>SCREEN_FULL_TEXT</x:v>
      </x:c>
      <x:c r="H47" s="15" t="str">
        <x:v>PRIMARY_ADJACENT</x:v>
      </x:c>
      <x:c r="I47" s="15" t="str">
        <x:v>SPARSE_COLDSTART</x:v>
      </x:c>
      <x:c r="J47" s="15" t="str">
        <x:v>NO</x:v>
      </x:c>
      <x:c r="K47" s="15" t="str">
        <x:v>NO</x:v>
      </x:c>
      <x:c r="L47" s="15" t="str">
        <x:v>YES</x:v>
      </x:c>
      <x:c r="M47" s="15" t="str">
        <x:v>RQ4,RQ5</x:v>
      </x:c>
      <x:c r="N47" s="15" t="str">
        <x:v>MEDIUM</x:v>
      </x:c>
      <x:c r="O47" s="15" t="str">
        <x:v>YES</x:v>
      </x:c>
      <x:c r="P47" s="15" t="str">
        <x:v>YES</x:v>
      </x:c>
      <x:c r="Q47" s="15" t="str">
        <x:v>PRIMARY_ADJACENT (SPARSE_COLDSTART): useful for RQ4/RQ5 context but does not currently satisfy the primary Graph/SSL gateway.</x:v>
      </x:c>
      <x:c r="R47" s="15" t="str"/>
    </x:row>
    <x:row r="48">
      <x:c r="A48" s="15" t="str">
        <x:v>KT047</x:v>
      </x:c>
      <x:c r="B48" s="15" t="n">
        <x:v>2023</x:v>
      </x:c>
      <x:c r="C48" s="15" t="str">
        <x:v>Wu et al.</x:v>
      </x:c>
      <x:c r="D48" s="15" t="str">
        <x:v>Fusing Hybrid Attentive Network with Self-Supervised Dual-Channel Heterogeneous Graph for Knowledge Tracing</x:v>
      </x:c>
      <x:c r="E48" s="15" t="str">
        <x:v>Expert Systems with Applications</x:v>
      </x:c>
      <x:c r="F48" s="15" t="str">
        <x:v>10.1016/j.eswa.2023.120212</x:v>
      </x:c>
      <x:c r="G48" s="15" t="str">
        <x:v>POTENTIAL_CORE</x:v>
      </x:c>
      <x:c r="H48" s="15" t="str">
        <x:v>PRIMARY_CORE</x:v>
      </x:c>
      <x:c r="I48" s="15" t="str"/>
      <x:c r="J48" s="15" t="str">
        <x:v>YES</x:v>
      </x:c>
      <x:c r="K48" s="15" t="str">
        <x:v>YES</x:v>
      </x:c>
      <x:c r="L48" s="15" t="str">
        <x:v>NO_EXPLICIT_FOCUS</x:v>
      </x:c>
      <x:c r="M48" s="15" t="str">
        <x:v>RQ1,RQ2,RQ3,RQ5</x:v>
      </x:c>
      <x:c r="N48" s="15" t="str">
        <x:v>HIGH</x:v>
      </x:c>
      <x:c r="O48" s="15" t="str">
        <x:v>YES</x:v>
      </x:c>
      <x:c r="P48" s="15" t="str">
        <x:v>YES</x:v>
      </x:c>
      <x:c r="Q48" s="15" t="str">
        <x:v>PRIMARY_CORE because it satisfies the Graph-Based KT criterion and satisfies the Self-Supervised KT criterion; full-text coding is still required before final corpus freeze.</x:v>
      </x:c>
      <x:c r="R48" s="15" t="str"/>
    </x:row>
    <x:row r="49">
      <x:c r="A49" s="15" t="str">
        <x:v>KT048</x:v>
      </x:c>
      <x:c r="B49" s="15" t="n">
        <x:v>2024</x:v>
      </x:c>
      <x:c r="C49" s="15" t="str">
        <x:v>Yu et al.</x:v>
      </x:c>
      <x:c r="D49" s="15" t="str">
        <x:v>RIGL: A Unified Reciprocal Approach for Tracing the Independent and Group Learning</x:v>
      </x:c>
      <x:c r="E49" s="15" t="str">
        <x:v>KDD</x:v>
      </x:c>
      <x:c r="F49" s="15" t="str">
        <x:v>10.1145/3637528.3671711</x:v>
      </x:c>
      <x:c r="G49" s="15" t="str">
        <x:v>BACKGROUND</x:v>
      </x:c>
      <x:c r="H49" s="15" t="str">
        <x:v>BACKGROUND</x:v>
      </x:c>
      <x:c r="I49" s="15" t="str"/>
      <x:c r="J49" s="15" t="str">
        <x:v>NO</x:v>
      </x:c>
      <x:c r="K49" s="15" t="str">
        <x:v>NO</x:v>
      </x:c>
      <x:c r="L49" s="15" t="str">
        <x:v>NO_EXPLICIT_FOCUS</x:v>
      </x:c>
      <x:c r="M49" s="15" t="str"/>
      <x:c r="N49" s="15" t="str">
        <x:v>MEDIUM</x:v>
      </x:c>
      <x:c r="O49" s="15" t="str">
        <x:v>YES</x:v>
      </x:c>
      <x:c r="P49" s="15" t="str">
        <x:v>YES</x:v>
      </x:c>
      <x:c r="Q49" s="15" t="str">
        <x:v>BACKGROUND: useful KT/context paper, but the seed evidence does not currently satisfy the frozen Graph-Based or Self-Supervised gateway.</x:v>
      </x:c>
      <x:c r="R49" s="15" t="str"/>
    </x:row>
    <x:row r="50">
      <x:c r="A50" s="15" t="str">
        <x:v>KT049</x:v>
      </x:c>
      <x:c r="B50" s="15" t="n">
        <x:v>2024</x:v>
      </x:c>
      <x:c r="C50" s="15" t="str">
        <x:v>Guo et al.</x:v>
      </x:c>
      <x:c r="D50" s="15" t="str">
        <x:v>Mitigating Cold-Start Problems in Knowledge Tracing with Large Language Models</x:v>
      </x:c>
      <x:c r="E50" s="15" t="str">
        <x:v>CIKM</x:v>
      </x:c>
      <x:c r="F50" s="15" t="str">
        <x:v>10.1145/3627673.3679664</x:v>
      </x:c>
      <x:c r="G50" s="15" t="str">
        <x:v>POTENTIAL_CORE</x:v>
      </x:c>
      <x:c r="H50" s="15" t="str">
        <x:v>PRIMARY_ADJACENT</x:v>
      </x:c>
      <x:c r="I50" s="15" t="str">
        <x:v>SPARSE_COLDSTART</x:v>
      </x:c>
      <x:c r="J50" s="15" t="str">
        <x:v>NO</x:v>
      </x:c>
      <x:c r="K50" s="15" t="str">
        <x:v>NO</x:v>
      </x:c>
      <x:c r="L50" s="15" t="str">
        <x:v>YES</x:v>
      </x:c>
      <x:c r="M50" s="15" t="str">
        <x:v>RQ4,RQ5</x:v>
      </x:c>
      <x:c r="N50" s="15" t="str">
        <x:v>MEDIUM</x:v>
      </x:c>
      <x:c r="O50" s="15" t="str">
        <x:v>YES</x:v>
      </x:c>
      <x:c r="P50" s="15" t="str">
        <x:v>YES</x:v>
      </x:c>
      <x:c r="Q50" s="15" t="str">
        <x:v>PRIMARY_ADJACENT (SPARSE_COLDSTART): useful for RQ4/RQ5 context but does not currently satisfy the primary Graph/SSL gateway.</x:v>
      </x:c>
      <x:c r="R50" s="15" t="str"/>
    </x:row>
    <x:row r="51">
      <x:c r="A51" s="15" t="str">
        <x:v>KT050</x:v>
      </x:c>
      <x:c r="B51" s="15" t="n">
        <x:v>2023</x:v>
      </x:c>
      <x:c r="C51" s="15" t="str">
        <x:v>Wang et al.</x:v>
      </x:c>
      <x:c r="D51" s="15" t="str">
        <x:v>GraphCA: Learning from Graph Counterfactual Augmentation for Knowledge Tracing</x:v>
      </x:c>
      <x:c r="E51" s="15" t="str">
        <x:v>IEEE/CAA Journal of Automatica Sinica</x:v>
      </x:c>
      <x:c r="F51" s="15" t="str">
        <x:v>10.1109/JAS.2023.123678</x:v>
      </x:c>
      <x:c r="G51" s="15" t="str">
        <x:v>POTENTIAL_CORE</x:v>
      </x:c>
      <x:c r="H51" s="15" t="str">
        <x:v>PRIMARY_CORE</x:v>
      </x:c>
      <x:c r="I51" s="15" t="str"/>
      <x:c r="J51" s="15" t="str">
        <x:v>YES</x:v>
      </x:c>
      <x:c r="K51" s="15" t="str">
        <x:v>NO</x:v>
      </x:c>
      <x:c r="L51" s="15" t="str">
        <x:v>NO_EXPLICIT_FOCUS</x:v>
      </x:c>
      <x:c r="M51" s="15" t="str">
        <x:v>RQ1,RQ2,RQ5</x:v>
      </x:c>
      <x:c r="N51" s="15" t="str">
        <x:v>HIGH</x:v>
      </x:c>
      <x:c r="O51" s="15" t="str">
        <x:v>YES</x:v>
      </x:c>
      <x:c r="P51" s="15" t="str">
        <x:v>YES</x:v>
      </x:c>
      <x:c r="Q51" s="15" t="str">
        <x:v>PRIMARY_CORE because it satisfies the Graph-Based KT criterion; full-text coding is still required before final corpus freeze.</x:v>
      </x:c>
      <x:c r="R51" s="15" t="str"/>
    </x:row>
    <x:row r="52">
      <x:c r="A52" s="15" t="str">
        <x:v>KT051</x:v>
      </x:c>
      <x:c r="B52" s="15" t="n">
        <x:v>2025</x:v>
      </x:c>
      <x:c r="C52" s="15" t="str">
        <x:v>Zhang et al.</x:v>
      </x:c>
      <x:c r="D52" s="15" t="str">
        <x:v>Data Augmentation for Sparse Multidimensional Learning Performance Data Using Generative AI</x:v>
      </x:c>
      <x:c r="E52" s="15" t="str">
        <x:v>IEEE Transactions on Learning Technologies</x:v>
      </x:c>
      <x:c r="F52" s="15" t="str">
        <x:v>10.1109/TLT.2025.3526582</x:v>
      </x:c>
      <x:c r="G52" s="15" t="str">
        <x:v>SCREEN_FULL_TEXT</x:v>
      </x:c>
      <x:c r="H52" s="15" t="str">
        <x:v>PRIMARY_ADJACENT</x:v>
      </x:c>
      <x:c r="I52" s="15" t="str">
        <x:v>SPARSE_DATA_AUGMENTATION</x:v>
      </x:c>
      <x:c r="J52" s="15" t="str">
        <x:v>NO</x:v>
      </x:c>
      <x:c r="K52" s="15" t="str">
        <x:v>NO</x:v>
      </x:c>
      <x:c r="L52" s="15" t="str">
        <x:v>YES</x:v>
      </x:c>
      <x:c r="M52" s="15" t="str">
        <x:v>RQ4,RQ5</x:v>
      </x:c>
      <x:c r="N52" s="15" t="str">
        <x:v>HIGH</x:v>
      </x:c>
      <x:c r="O52" s="15" t="str">
        <x:v>YES</x:v>
      </x:c>
      <x:c r="P52" s="15" t="str">
        <x:v>YES</x:v>
      </x:c>
      <x:c r="Q52" s="15" t="str">
        <x:v>PRIMARY_ADJACENT. It addresses sparse learning-performance/KT data using generative augmentation, but it is not currently coded as Graph-KT or SSL-KT under the frozen operational definitions.</x:v>
      </x:c>
      <x:c r="R52" s="15" t="str">
        <x:v>https://doi.org/10.1109/TLT.2025.3526582</x:v>
      </x:c>
    </x:row>
    <x:row r="53">
      <x:c r="A53" s="15" t="str">
        <x:v>KT052</x:v>
      </x:c>
      <x:c r="B53" s="15" t="n">
        <x:v>2022</x:v>
      </x:c>
      <x:c r="C53" s="15" t="str">
        <x:v>He et al.</x:v>
      </x:c>
      <x:c r="D53" s="15" t="str">
        <x:v>Modeling Knowledge Proficiency Using Multi-Hierarchical Capsule Graph Neural Network</x:v>
      </x:c>
      <x:c r="E53" s="15" t="str">
        <x:v>Applied Intelligence</x:v>
      </x:c>
      <x:c r="F53" s="15" t="str">
        <x:v>10.1007/s10489-021-02765-w</x:v>
      </x:c>
      <x:c r="G53" s="15" t="str">
        <x:v>POTENTIAL_CORE</x:v>
      </x:c>
      <x:c r="H53" s="15" t="str">
        <x:v>PRIMARY_CORE</x:v>
      </x:c>
      <x:c r="I53" s="15" t="str"/>
      <x:c r="J53" s="15" t="str">
        <x:v>YES</x:v>
      </x:c>
      <x:c r="K53" s="15" t="str">
        <x:v>NO</x:v>
      </x:c>
      <x:c r="L53" s="15" t="str">
        <x:v>NO_EXPLICIT_FOCUS</x:v>
      </x:c>
      <x:c r="M53" s="15" t="str">
        <x:v>RQ1,RQ2,RQ5</x:v>
      </x:c>
      <x:c r="N53" s="15" t="str">
        <x:v>HIGH</x:v>
      </x:c>
      <x:c r="O53" s="15" t="str">
        <x:v>YES</x:v>
      </x:c>
      <x:c r="P53" s="15" t="str">
        <x:v>YES</x:v>
      </x:c>
      <x:c r="Q53" s="15" t="str">
        <x:v>PRIMARY_CORE because it satisfies the Graph-Based KT criterion; full-text coding is still required before final corpus freeze.</x:v>
      </x:c>
      <x:c r="R53" s="15" t="str"/>
    </x:row>
    <x:row r="54">
      <x:c r="A54" s="15" t="str">
        <x:v>KT053</x:v>
      </x:c>
      <x:c r="B54" s="15" t="n">
        <x:v>2021</x:v>
      </x:c>
      <x:c r="C54" s="15" t="str">
        <x:v>Wang et al.</x:v>
      </x:c>
      <x:c r="D54" s="15" t="str">
        <x:v>GASKT: A Graph-Based Attentive Knowledge-Search Model for Knowledge Tracing</x:v>
      </x:c>
      <x:c r="E54" s="15" t="str">
        <x:v>AIED</x:v>
      </x:c>
      <x:c r="F54" s="15" t="str">
        <x:v>10.1007/978-3-030-82136-4_22</x:v>
      </x:c>
      <x:c r="G54" s="15" t="str">
        <x:v>POTENTIAL_CORE</x:v>
      </x:c>
      <x:c r="H54" s="15" t="str">
        <x:v>PRIMARY_CORE</x:v>
      </x:c>
      <x:c r="I54" s="15" t="str"/>
      <x:c r="J54" s="15" t="str">
        <x:v>YES</x:v>
      </x:c>
      <x:c r="K54" s="15" t="str">
        <x:v>NO</x:v>
      </x:c>
      <x:c r="L54" s="15" t="str">
        <x:v>NO_EXPLICIT_FOCUS</x:v>
      </x:c>
      <x:c r="M54" s="15" t="str">
        <x:v>RQ1,RQ2,RQ5</x:v>
      </x:c>
      <x:c r="N54" s="15" t="str">
        <x:v>HIGH</x:v>
      </x:c>
      <x:c r="O54" s="15" t="str">
        <x:v>YES</x:v>
      </x:c>
      <x:c r="P54" s="15" t="str">
        <x:v>YES</x:v>
      </x:c>
      <x:c r="Q54" s="15" t="str">
        <x:v>PRIMARY_CORE because it satisfies the Graph-Based KT criterion; full-text coding is still required before final corpus freeze.</x:v>
      </x:c>
      <x:c r="R54" s="15" t="str"/>
    </x:row>
    <x:row r="55">
      <x:c r="A55" s="15" t="str">
        <x:v>KT054</x:v>
      </x:c>
      <x:c r="B55" s="15" t="n">
        <x:v>2022</x:v>
      </x:c>
      <x:c r="C55" s="15" t="str">
        <x:v>Long et al.</x:v>
      </x:c>
      <x:c r="D55" s="15" t="str">
        <x:v>Interpretable Knowledge Tracing: Simple and Efficient Student Modeling with Causal Relations</x:v>
      </x:c>
      <x:c r="E55" s="15" t="str">
        <x:v>AAAI</x:v>
      </x:c>
      <x:c r="F55" s="15" t="str">
        <x:v>10.1609/aaai.v36i11.21560</x:v>
      </x:c>
      <x:c r="G55" s="15" t="str">
        <x:v>SCREEN_FULL_TEXT</x:v>
      </x:c>
      <x:c r="H55" s="15" t="str">
        <x:v>BACKGROUND</x:v>
      </x:c>
      <x:c r="I55" s="15" t="str"/>
      <x:c r="J55" s="15" t="str">
        <x:v>NO</x:v>
      </x:c>
      <x:c r="K55" s="15" t="str">
        <x:v>NO</x:v>
      </x:c>
      <x:c r="L55" s="15" t="str">
        <x:v>NO_EXPLICIT_FOCUS</x:v>
      </x:c>
      <x:c r="M55" s="15" t="str"/>
      <x:c r="N55" s="15" t="str">
        <x:v>HIGH</x:v>
      </x:c>
      <x:c r="O55" s="15" t="str">
        <x:v>YES</x:v>
      </x:c>
      <x:c r="P55" s="15" t="str">
        <x:v>YES</x:v>
      </x:c>
      <x:c r="Q55" s="15" t="str">
        <x:v>BACKGROUND. Interpretable KT uses meaningful latent features and a Tree-Augmented Naive Bayes classifier; it is useful interpretability context but not primary Graph/SSL evidence.</x:v>
      </x:c>
      <x:c r="R55" s="15" t="str">
        <x:v>https://cdn.aaai.org/ojs/21560/21560-13-25573-1-2-20220628.pdf</x:v>
      </x:c>
    </x:row>
    <x:row r="56">
      <x:c r="A56" s="15" t="str">
        <x:v>KT055</x:v>
      </x:c>
      <x:c r="B56" s="15" t="n">
        <x:v>2021</x:v>
      </x:c>
      <x:c r="C56" s="15" t="str">
        <x:v>Ma et al.</x:v>
      </x:c>
      <x:c r="D56" s="15" t="str">
        <x:v>GKT-CD: Make Cognitive Diagnosis Model Enhanced by Graph-Based Knowledge Tracing</x:v>
      </x:c>
      <x:c r="E56" s="15" t="str">
        <x:v>IJCNN</x:v>
      </x:c>
      <x:c r="F56" s="15" t="str">
        <x:v>10.1109/IJCNN52387.2021.9533298</x:v>
      </x:c>
      <x:c r="G56" s="15" t="str">
        <x:v>SCREEN_FULL_TEXT</x:v>
      </x:c>
      <x:c r="H56" s="15" t="str">
        <x:v>EXCLUDE</x:v>
      </x:c>
      <x:c r="I56" s="15" t="str"/>
      <x:c r="J56" s="15" t="str">
        <x:v>NO</x:v>
      </x:c>
      <x:c r="K56" s="15" t="str">
        <x:v>NO</x:v>
      </x:c>
      <x:c r="L56" s="15" t="str">
        <x:v>NO_EXPLICIT_FOCUS</x:v>
      </x:c>
      <x:c r="M56" s="15" t="str"/>
      <x:c r="N56" s="15" t="str">
        <x:v>MEDIUM</x:v>
      </x:c>
      <x:c r="O56" s="15" t="str">
        <x:v>YES</x:v>
      </x:c>
      <x:c r="P56" s="15" t="str">
        <x:v>YES</x:v>
      </x:c>
      <x:c r="Q56" s="15" t="str">
        <x:v>EXCLUDE. The title/metadata position cognitive diagnosis as the central task and Graph-Based KT as an enhancer; full text should be checked once before permanent removal.</x:v>
      </x:c>
      <x:c r="R56" s="15" t="str">
        <x:v>https://doi.org/10.1109/IJCNN52387.2021.9533298</x:v>
      </x:c>
    </x:row>
    <x:row r="57">
      <x:c r="A57" s="15" t="str">
        <x:v>KT056</x:v>
      </x:c>
      <x:c r="B57" s="15" t="n">
        <x:v>2025</x:v>
      </x:c>
      <x:c r="C57" s="15" t="str">
        <x:v>Yu et al.</x:v>
      </x:c>
      <x:c r="D57" s="15" t="str">
        <x:v>Exploring Long- and Short-Term Knowledge State Graph Representations with Adaptive Temporal Dynamics for Knowledge Tracing</x:v>
      </x:c>
      <x:c r="E57" s="15" t="str">
        <x:v>Information Processing &amp; Management</x:v>
      </x:c>
      <x:c r="F57" s="15" t="str">
        <x:v>10.1016/j.ipm.2025.104074</x:v>
      </x:c>
      <x:c r="G57" s="15" t="str">
        <x:v>POTENTIAL_CORE</x:v>
      </x:c>
      <x:c r="H57" s="15" t="str">
        <x:v>PRIMARY_CORE</x:v>
      </x:c>
      <x:c r="I57" s="15" t="str"/>
      <x:c r="J57" s="15" t="str">
        <x:v>YES</x:v>
      </x:c>
      <x:c r="K57" s="15" t="str">
        <x:v>NO</x:v>
      </x:c>
      <x:c r="L57" s="15" t="str">
        <x:v>NO_EXPLICIT_FOCUS</x:v>
      </x:c>
      <x:c r="M57" s="15" t="str">
        <x:v>RQ1,RQ2,RQ5</x:v>
      </x:c>
      <x:c r="N57" s="15" t="str">
        <x:v>HIGH</x:v>
      </x:c>
      <x:c r="O57" s="15" t="str">
        <x:v>YES</x:v>
      </x:c>
      <x:c r="P57" s="15" t="str">
        <x:v>YES</x:v>
      </x:c>
      <x:c r="Q57" s="15" t="str">
        <x:v>PRIMARY_CORE because it satisfies the Graph-Based KT criterion; full-text coding is still required before final corpus freeze.</x:v>
      </x:c>
      <x:c r="R57" s="15" t="str"/>
    </x:row>
    <x:row r="58">
      <x:c r="A58" s="15" t="str">
        <x:v>KT057</x:v>
      </x:c>
      <x:c r="B58" s="15" t="n">
        <x:v>2025</x:v>
      </x:c>
      <x:c r="C58" s="15" t="str">
        <x:v>Scarlatos et al.</x:v>
      </x:c>
      <x:c r="D58" s="15" t="str">
        <x:v>Exploring Knowledge Tracing in Tutor-Student Dialogues Using LLMs</x:v>
      </x:c>
      <x:c r="E58" s="15" t="str">
        <x:v>LAK</x:v>
      </x:c>
      <x:c r="F58" s="15" t="str">
        <x:v>10.1145/3706468.3706501</x:v>
      </x:c>
      <x:c r="G58" s="15" t="str">
        <x:v>BACKGROUND</x:v>
      </x:c>
      <x:c r="H58" s="15" t="str">
        <x:v>BACKGROUND</x:v>
      </x:c>
      <x:c r="I58" s="15" t="str"/>
      <x:c r="J58" s="15" t="str">
        <x:v>NO</x:v>
      </x:c>
      <x:c r="K58" s="15" t="str">
        <x:v>NO</x:v>
      </x:c>
      <x:c r="L58" s="15" t="str">
        <x:v>NO_EXPLICIT_FOCUS</x:v>
      </x:c>
      <x:c r="M58" s="15" t="str"/>
      <x:c r="N58" s="15" t="str">
        <x:v>MEDIUM</x:v>
      </x:c>
      <x:c r="O58" s="15" t="str">
        <x:v>YES</x:v>
      </x:c>
      <x:c r="P58" s="15" t="str">
        <x:v>YES</x:v>
      </x:c>
      <x:c r="Q58" s="15" t="str">
        <x:v>BACKGROUND: useful KT/context paper, but the seed evidence does not currently satisfy the frozen Graph-Based or Self-Supervised gateway.</x:v>
      </x:c>
      <x:c r="R58" s="15" t="str"/>
    </x:row>
    <x:row r="59">
      <x:c r="A59" s="15" t="str">
        <x:v>KT058</x:v>
      </x:c>
      <x:c r="B59" s="15" t="n">
        <x:v>2025</x:v>
      </x:c>
      <x:c r="C59" s="15" t="str">
        <x:v>Sun et al.</x:v>
      </x:c>
      <x:c r="D59" s="15" t="str">
        <x:v>Harnessing Code Domain Insights: Enhancing Programming Knowledge Tracing with Code Features</x:v>
      </x:c>
      <x:c r="E59" s="15" t="str">
        <x:v>Knowledge-Based Systems</x:v>
      </x:c>
      <x:c r="F59" s="15" t="str">
        <x:v>10.1016/j.knosys.2025.113396</x:v>
      </x:c>
      <x:c r="G59" s="15" t="str">
        <x:v>BACKGROUND</x:v>
      </x:c>
      <x:c r="H59" s="15" t="str">
        <x:v>BACKGROUND</x:v>
      </x:c>
      <x:c r="I59" s="15" t="str"/>
      <x:c r="J59" s="15" t="str">
        <x:v>NO</x:v>
      </x:c>
      <x:c r="K59" s="15" t="str">
        <x:v>NO</x:v>
      </x:c>
      <x:c r="L59" s="15" t="str">
        <x:v>NO_EXPLICIT_FOCUS</x:v>
      </x:c>
      <x:c r="M59" s="15" t="str"/>
      <x:c r="N59" s="15" t="str">
        <x:v>MEDIUM</x:v>
      </x:c>
      <x:c r="O59" s="15" t="str">
        <x:v>YES</x:v>
      </x:c>
      <x:c r="P59" s="15" t="str">
        <x:v>YES</x:v>
      </x:c>
      <x:c r="Q59" s="15" t="str">
        <x:v>BACKGROUND: useful KT/context paper, but the seed evidence does not currently satisfy the frozen Graph-Based or Self-Supervised gateway.</x:v>
      </x:c>
      <x:c r="R59" s="15" t="str"/>
    </x:row>
    <x:row r="60">
      <x:c r="A60" s="15" t="str">
        <x:v>KT059</x:v>
      </x:c>
      <x:c r="B60" s="15" t="n">
        <x:v>2025</x:v>
      </x:c>
      <x:c r="C60" s="15" t="str">
        <x:v>Li et al.</x:v>
      </x:c>
      <x:c r="D60" s="15" t="str">
        <x:v>Dual-View Multi-Scale Cognitive Representation for Deep Knowledge Tracing</x:v>
      </x:c>
      <x:c r="E60" s="15" t="str">
        <x:v>Knowledge-Based Systems</x:v>
      </x:c>
      <x:c r="F60" s="15" t="str">
        <x:v>10.1016/j.knosys.2025.113010</x:v>
      </x:c>
      <x:c r="G60" s="15" t="str">
        <x:v>SCREEN_FULL_TEXT</x:v>
      </x:c>
      <x:c r="H60" s="15" t="str">
        <x:v>BACKGROUND</x:v>
      </x:c>
      <x:c r="I60" s="15" t="str"/>
      <x:c r="J60" s="15" t="str">
        <x:v>NO</x:v>
      </x:c>
      <x:c r="K60" s="15" t="str">
        <x:v>NO</x:v>
      </x:c>
      <x:c r="L60" s="15" t="str">
        <x:v>NO_EXPLICIT_FOCUS</x:v>
      </x:c>
      <x:c r="M60" s="15" t="str"/>
      <x:c r="N60" s="15" t="str">
        <x:v>MEDIUM</x:v>
      </x:c>
      <x:c r="O60" s="15" t="str">
        <x:v>YES</x:v>
      </x:c>
      <x:c r="P60" s="15" t="str">
        <x:v>YES</x:v>
      </x:c>
      <x:c r="Q60" s="15" t="str">
        <x:v>BACKGROUND: useful KT/context paper, but the seed evidence does not currently satisfy the frozen Graph-Based or Self-Supervised gateway.</x:v>
      </x:c>
      <x:c r="R60" s="15" t="str"/>
    </x:row>
    <x:row r="61">
      <x:c r="A61" s="15" t="str">
        <x:v>KT060</x:v>
      </x:c>
      <x:c r="B61" s="15" t="n">
        <x:v>2025</x:v>
      </x:c>
      <x:c r="C61" s="15" t="str">
        <x:v>Li et al.</x:v>
      </x:c>
      <x:c r="D61" s="15" t="str">
        <x:v>STHKT: Spatiotemporal Knowledge Tracing with Topological Hawkes Process</x:v>
      </x:c>
      <x:c r="E61" s="15" t="str">
        <x:v>Expert Systems with Applications</x:v>
      </x:c>
      <x:c r="F61" s="15" t="str">
        <x:v>10.1016/j.eswa.2024.125248</x:v>
      </x:c>
      <x:c r="G61" s="15" t="str">
        <x:v>POTENTIAL_CORE</x:v>
      </x:c>
      <x:c r="H61" s="15" t="str">
        <x:v>PRIMARY_CORE</x:v>
      </x:c>
      <x:c r="I61" s="15" t="str"/>
      <x:c r="J61" s="15" t="str">
        <x:v>YES</x:v>
      </x:c>
      <x:c r="K61" s="15" t="str">
        <x:v>NO</x:v>
      </x:c>
      <x:c r="L61" s="15" t="str">
        <x:v>NO_EXPLICIT_FOCUS</x:v>
      </x:c>
      <x:c r="M61" s="15" t="str">
        <x:v>RQ1,RQ2,RQ5</x:v>
      </x:c>
      <x:c r="N61" s="15" t="str">
        <x:v>HIGH</x:v>
      </x:c>
      <x:c r="O61" s="15" t="str">
        <x:v>YES</x:v>
      </x:c>
      <x:c r="P61" s="15" t="str">
        <x:v>YES</x:v>
      </x:c>
      <x:c r="Q61" s="15" t="str">
        <x:v>PRIMARY_CORE. STHKT uses topological Hawkes processes together with graph neural networks.</x:v>
      </x:c>
      <x:c r="R61" s="15" t="str">
        <x:v>https://doi.org/10.1016/j.eswa.2024.125248</x:v>
      </x:c>
    </x:row>
    <x:row r="62">
      <x:c r="A62" s="15" t="str">
        <x:v>KT061</x:v>
      </x:c>
      <x:c r="B62" s="15" t="n">
        <x:v>2025</x:v>
      </x:c>
      <x:c r="C62" s="15" t="str">
        <x:v>Zhou et al.</x:v>
      </x:c>
      <x:c r="D62" s="15" t="str">
        <x:v>Disentangled Knowledge Tracing for Alleviating Cognitive Bias</x:v>
      </x:c>
      <x:c r="E62" s="15" t="str">
        <x:v>The Web Conference</x:v>
      </x:c>
      <x:c r="F62" s="15" t="str">
        <x:v>10.1145/3696410.3714607</x:v>
      </x:c>
      <x:c r="G62" s="15" t="str">
        <x:v>BACKGROUND</x:v>
      </x:c>
      <x:c r="H62" s="15" t="str">
        <x:v>BACKGROUND</x:v>
      </x:c>
      <x:c r="I62" s="15" t="str"/>
      <x:c r="J62" s="15" t="str">
        <x:v>NO</x:v>
      </x:c>
      <x:c r="K62" s="15" t="str">
        <x:v>NO</x:v>
      </x:c>
      <x:c r="L62" s="15" t="str">
        <x:v>NO_EXPLICIT_FOCUS</x:v>
      </x:c>
      <x:c r="M62" s="15" t="str"/>
      <x:c r="N62" s="15" t="str">
        <x:v>MEDIUM</x:v>
      </x:c>
      <x:c r="O62" s="15" t="str">
        <x:v>YES</x:v>
      </x:c>
      <x:c r="P62" s="15" t="str">
        <x:v>YES</x:v>
      </x:c>
      <x:c r="Q62" s="15" t="str">
        <x:v>BACKGROUND: useful KT/context paper, but the seed evidence does not currently satisfy the frozen Graph-Based or Self-Supervised gateway.</x:v>
      </x:c>
      <x:c r="R62" s="15" t="str"/>
    </x:row>
    <x:row r="63">
      <x:c r="A63" s="15" t="str">
        <x:v>KT062</x:v>
      </x:c>
      <x:c r="B63" s="15" t="n">
        <x:v>2025</x:v>
      </x:c>
      <x:c r="C63" s="15" t="str">
        <x:v>Sun et al.</x:v>
      </x:c>
      <x:c r="D63" s="15" t="str">
        <x:v>LGS-KT: Integrating Logical and Grammatical Skills for Effective Programming Knowledge Tracing</x:v>
      </x:c>
      <x:c r="E63" s="15" t="str">
        <x:v>Neural Networks</x:v>
      </x:c>
      <x:c r="F63" s="15" t="str">
        <x:v>10.1016/j.neunet.2025.107164</x:v>
      </x:c>
      <x:c r="G63" s="15" t="str">
        <x:v>SCREEN_FULL_TEXT</x:v>
      </x:c>
      <x:c r="H63" s="15" t="str">
        <x:v>PRIMARY_CORE</x:v>
      </x:c>
      <x:c r="I63" s="15" t="str"/>
      <x:c r="J63" s="15" t="str">
        <x:v>YES</x:v>
      </x:c>
      <x:c r="K63" s="15" t="str">
        <x:v>NO</x:v>
      </x:c>
      <x:c r="L63" s="15" t="str">
        <x:v>NO_EXPLICIT_FOCUS</x:v>
      </x:c>
      <x:c r="M63" s="15" t="str">
        <x:v>RQ1,RQ2,RQ5</x:v>
      </x:c>
      <x:c r="N63" s="15" t="str">
        <x:v>HIGH</x:v>
      </x:c>
      <x:c r="O63" s="15" t="str">
        <x:v>YES</x:v>
      </x:c>
      <x:c r="P63" s="15" t="str">
        <x:v>YES</x:v>
      </x:c>
      <x:c r="Q63" s="15" t="str">
        <x:v>PRIMARY_CORE. The paper constructs a graph based on knowledge-concept similarity, satisfying the G-criterion.</x:v>
      </x:c>
      <x:c r="R63" s="15" t="str">
        <x:v>https://doi.org/10.1016/j.neunet.2025.107164</x:v>
      </x:c>
    </x:row>
    <x:row r="64">
      <x:c r="A64" s="15" t="str">
        <x:v>KT063</x:v>
      </x:c>
      <x:c r="B64" s="15" t="n">
        <x:v>2025</x:v>
      </x:c>
      <x:c r="C64" s="15" t="str">
        <x:v>Yang et al.</x:v>
      </x:c>
      <x:c r="D64" s="15" t="str">
        <x:v>MAHKT: Knowledge Tracing with Multi-Association Heterogeneous Graph Embedding Based on Knowledge Transfer</x:v>
      </x:c>
      <x:c r="E64" s="15" t="str">
        <x:v>Knowledge-Based Systems</x:v>
      </x:c>
      <x:c r="F64" s="15" t="str">
        <x:v>10.1016/j.knosys.2025.112958</x:v>
      </x:c>
      <x:c r="G64" s="15" t="str">
        <x:v>POTENTIAL_CORE</x:v>
      </x:c>
      <x:c r="H64" s="15" t="str">
        <x:v>PRIMARY_CORE</x:v>
      </x:c>
      <x:c r="I64" s="15" t="str"/>
      <x:c r="J64" s="15" t="str">
        <x:v>YES</x:v>
      </x:c>
      <x:c r="K64" s="15" t="str">
        <x:v>NO</x:v>
      </x:c>
      <x:c r="L64" s="15" t="str">
        <x:v>NO_EXPLICIT_FOCUS</x:v>
      </x:c>
      <x:c r="M64" s="15" t="str">
        <x:v>RQ1,RQ2,RQ5</x:v>
      </x:c>
      <x:c r="N64" s="15" t="str">
        <x:v>HIGH</x:v>
      </x:c>
      <x:c r="O64" s="15" t="str">
        <x:v>YES</x:v>
      </x:c>
      <x:c r="P64" s="15" t="str">
        <x:v>YES</x:v>
      </x:c>
      <x:c r="Q64" s="15" t="str">
        <x:v>PRIMARY_CORE because it satisfies the Graph-Based KT criterion; full-text coding is still required before final corpus freeze.</x:v>
      </x:c>
      <x:c r="R64" s="15" t="str"/>
    </x:row>
    <x:row r="65">
      <x:c r="A65" s="15" t="str">
        <x:v>KT064</x:v>
      </x:c>
      <x:c r="B65" s="15" t="n">
        <x:v>2025</x:v>
      </x:c>
      <x:c r="C65" s="15" t="str">
        <x:v>Wang et al.</x:v>
      </x:c>
      <x:c r="D65" s="15" t="str">
        <x:v>Multi-Granularity Ensemble Interaction Graph Modeling for Knowledge Tracing</x:v>
      </x:c>
      <x:c r="E65" s="15" t="str">
        <x:v>Knowledge-Based Systems</x:v>
      </x:c>
      <x:c r="F65" s="15" t="str">
        <x:v>10.1016/j.knosys.2024.112834</x:v>
      </x:c>
      <x:c r="G65" s="15" t="str">
        <x:v>POTENTIAL_CORE</x:v>
      </x:c>
      <x:c r="H65" s="15" t="str">
        <x:v>PRIMARY_CORE</x:v>
      </x:c>
      <x:c r="I65" s="15" t="str"/>
      <x:c r="J65" s="15" t="str">
        <x:v>YES</x:v>
      </x:c>
      <x:c r="K65" s="15" t="str">
        <x:v>NO</x:v>
      </x:c>
      <x:c r="L65" s="15" t="str">
        <x:v>NO_EXPLICIT_FOCUS</x:v>
      </x:c>
      <x:c r="M65" s="15" t="str">
        <x:v>RQ1,RQ2,RQ5</x:v>
      </x:c>
      <x:c r="N65" s="15" t="str">
        <x:v>HIGH</x:v>
      </x:c>
      <x:c r="O65" s="15" t="str">
        <x:v>YES</x:v>
      </x:c>
      <x:c r="P65" s="15" t="str">
        <x:v>YES</x:v>
      </x:c>
      <x:c r="Q65" s="15" t="str">
        <x:v>PRIMARY_CORE because it satisfies the Graph-Based KT criterion; full-text coding is still required before final corpus freeze.</x:v>
      </x:c>
      <x:c r="R65" s="15" t="str"/>
    </x:row>
    <x:row r="66">
      <x:c r="A66" s="15" t="str">
        <x:v>KT065</x:v>
      </x:c>
      <x:c r="B66" s="15" t="n">
        <x:v>2025</x:v>
      </x:c>
      <x:c r="C66" s="15" t="str">
        <x:v>Wu et al.</x:v>
      </x:c>
      <x:c r="D66" s="15" t="str">
        <x:v>Graph Knowledge Tracing in Cognitive Situation: Validation of Classic Assertions in Cognitive Psychology</x:v>
      </x:c>
      <x:c r="E66" s="15" t="str">
        <x:v>Knowledge-Based Systems</x:v>
      </x:c>
      <x:c r="F66" s="15" t="str">
        <x:v>10.1016/j.knosys.2025.113281</x:v>
      </x:c>
      <x:c r="G66" s="15" t="str">
        <x:v>POTENTIAL_CORE</x:v>
      </x:c>
      <x:c r="H66" s="15" t="str">
        <x:v>PRIMARY_CORE</x:v>
      </x:c>
      <x:c r="I66" s="15" t="str"/>
      <x:c r="J66" s="15" t="str">
        <x:v>YES</x:v>
      </x:c>
      <x:c r="K66" s="15" t="str">
        <x:v>NO</x:v>
      </x:c>
      <x:c r="L66" s="15" t="str">
        <x:v>NO_EXPLICIT_FOCUS</x:v>
      </x:c>
      <x:c r="M66" s="15" t="str">
        <x:v>RQ1,RQ2,RQ5</x:v>
      </x:c>
      <x:c r="N66" s="15" t="str">
        <x:v>HIGH</x:v>
      </x:c>
      <x:c r="O66" s="15" t="str">
        <x:v>YES</x:v>
      </x:c>
      <x:c r="P66" s="15" t="str">
        <x:v>YES</x:v>
      </x:c>
      <x:c r="Q66" s="15" t="str">
        <x:v>PRIMARY_CORE because it satisfies the Graph-Based KT criterion; full-text coding is still required before final corpus freeze.</x:v>
      </x:c>
      <x:c r="R66" s="15" t="str"/>
    </x:row>
    <x:row r="67">
      <x:c r="A67" s="15" t="str">
        <x:v>KT066</x:v>
      </x:c>
      <x:c r="B67" s="15" t="n">
        <x:v>2025</x:v>
      </x:c>
      <x:c r="C67" s="15" t="str">
        <x:v>Li et al.</x:v>
      </x:c>
      <x:c r="D67" s="15" t="str">
        <x:v>Dual-Channel Adaptive Scale Hypergraph Encoders With Cross-View Contrastive Learning for Knowledge Tracing</x:v>
      </x:c>
      <x:c r="E67" s="15" t="str">
        <x:v>IEEE Transactions on Neural Networks and Learning Systems</x:v>
      </x:c>
      <x:c r="F67" s="15" t="str">
        <x:v>10.1109/TNNLS.2024.3386810</x:v>
      </x:c>
      <x:c r="G67" s="15" t="str">
        <x:v>POTENTIAL_CORE</x:v>
      </x:c>
      <x:c r="H67" s="15" t="str">
        <x:v>PRIMARY_CORE</x:v>
      </x:c>
      <x:c r="I67" s="15" t="str"/>
      <x:c r="J67" s="15" t="str">
        <x:v>YES</x:v>
      </x:c>
      <x:c r="K67" s="15" t="str">
        <x:v>YES</x:v>
      </x:c>
      <x:c r="L67" s="15" t="str">
        <x:v>NO_EXPLICIT_FOCUS</x:v>
      </x:c>
      <x:c r="M67" s="15" t="str">
        <x:v>RQ1,RQ2,RQ3,RQ5</x:v>
      </x:c>
      <x:c r="N67" s="15" t="str">
        <x:v>HIGH</x:v>
      </x:c>
      <x:c r="O67" s="15" t="str">
        <x:v>YES</x:v>
      </x:c>
      <x:c r="P67" s="15" t="str">
        <x:v>YES</x:v>
      </x:c>
      <x:c r="Q67" s="15" t="str">
        <x:v>PRIMARY_CORE because it satisfies the Graph-Based KT criterion and satisfies the Self-Supervised KT criterion; full-text coding is still required before final corpus freeze.</x:v>
      </x:c>
      <x:c r="R67" s="15" t="str"/>
    </x:row>
    <x:row r="68">
      <x:c r="A68" s="15" t="str">
        <x:v>KT067</x:v>
      </x:c>
      <x:c r="B68" s="15" t="n">
        <x:v>2025</x:v>
      </x:c>
      <x:c r="C68" s="15" t="str">
        <x:v>Yang et al.</x:v>
      </x:c>
      <x:c r="D68" s="15" t="str">
        <x:v>Graph-Based Effective Knowledge Tracing via Subject Knowledge Mapping</x:v>
      </x:c>
      <x:c r="E68" s="15" t="str">
        <x:v>Education and Information Technologies</x:v>
      </x:c>
      <x:c r="F68" s="15" t="str">
        <x:v>10.1007/s10639-024-13069-0</x:v>
      </x:c>
      <x:c r="G68" s="15" t="str">
        <x:v>POTENTIAL_CORE</x:v>
      </x:c>
      <x:c r="H68" s="15" t="str">
        <x:v>PRIMARY_CORE</x:v>
      </x:c>
      <x:c r="I68" s="15" t="str"/>
      <x:c r="J68" s="15" t="str">
        <x:v>YES</x:v>
      </x:c>
      <x:c r="K68" s="15" t="str">
        <x:v>NO</x:v>
      </x:c>
      <x:c r="L68" s="15" t="str">
        <x:v>NO_EXPLICIT_FOCUS</x:v>
      </x:c>
      <x:c r="M68" s="15" t="str">
        <x:v>RQ1,RQ2,RQ5</x:v>
      </x:c>
      <x:c r="N68" s="15" t="str">
        <x:v>HIGH</x:v>
      </x:c>
      <x:c r="O68" s="15" t="str">
        <x:v>YES</x:v>
      </x:c>
      <x:c r="P68" s="15" t="str">
        <x:v>YES</x:v>
      </x:c>
      <x:c r="Q68" s="15" t="str">
        <x:v>PRIMARY_CORE because it satisfies the Graph-Based KT criterion; full-text coding is still required before final corpus freeze.</x:v>
      </x:c>
      <x:c r="R68" s="15" t="str"/>
    </x:row>
    <x:row r="69">
      <x:c r="A69" s="15" t="str">
        <x:v>KT068</x:v>
      </x:c>
      <x:c r="B69" s="15" t="n">
        <x:v>2025</x:v>
      </x:c>
      <x:c r="C69" s="15" t="str">
        <x:v>Li et al.</x:v>
      </x:c>
      <x:c r="D69" s="15" t="str">
        <x:v>HKT: Hierarchical Structure-Based Knowledge Tracing</x:v>
      </x:c>
      <x:c r="E69" s="15" t="str">
        <x:v>Information Processing &amp; Management</x:v>
      </x:c>
      <x:c r="F69" s="15" t="str">
        <x:v>10.1016/j.ipm.2025.104206</x:v>
      </x:c>
      <x:c r="G69" s="15" t="str">
        <x:v>POTENTIAL_CORE</x:v>
      </x:c>
      <x:c r="H69" s="15" t="str">
        <x:v>PRIMARY_CORE</x:v>
      </x:c>
      <x:c r="I69" s="15" t="str"/>
      <x:c r="J69" s="15" t="str">
        <x:v>YES</x:v>
      </x:c>
      <x:c r="K69" s="15" t="str">
        <x:v>YES</x:v>
      </x:c>
      <x:c r="L69" s="15" t="str">
        <x:v>NO_EXPLICIT_FOCUS</x:v>
      </x:c>
      <x:c r="M69" s="15" t="str">
        <x:v>RQ1,RQ2,RQ3,RQ5</x:v>
      </x:c>
      <x:c r="N69" s="15" t="str">
        <x:v>MEDIUM</x:v>
      </x:c>
      <x:c r="O69" s="15" t="str">
        <x:v>YES</x:v>
      </x:c>
      <x:c r="P69" s="15" t="str">
        <x:v>YES</x:v>
      </x:c>
      <x:c r="Q69" s="15" t="str">
        <x:v>PRIMARY_CORE. Available abstract/search evidence indicates hierarchical/cross-graph modeling and contrastive learning; retain as core, with full-text coding still required.</x:v>
      </x:c>
      <x:c r="R69" s="15" t="str">
        <x:v>https://doi.org/10.1016/j.ipm.2025.104206</x:v>
      </x:c>
    </x:row>
    <x:row r="70">
      <x:c r="A70" s="15" t="str">
        <x:v>KT069</x:v>
      </x:c>
      <x:c r="B70" s="15" t="n">
        <x:v>2025</x:v>
      </x:c>
      <x:c r="C70" s="15" t="str">
        <x:v>Wu et al.</x:v>
      </x:c>
      <x:c r="D70" s="15" t="str">
        <x:v>A Cross-Domain Knowledge Tracing Model Based on Graph Optimal Transport</x:v>
      </x:c>
      <x:c r="E70" s="15" t="str">
        <x:v>World Wide Web</x:v>
      </x:c>
      <x:c r="F70" s="15" t="str">
        <x:v>10.1007/s11280-024-01311-1</x:v>
      </x:c>
      <x:c r="G70" s="15" t="str">
        <x:v>POTENTIAL_CORE</x:v>
      </x:c>
      <x:c r="H70" s="15" t="str">
        <x:v>PRIMARY_CORE</x:v>
      </x:c>
      <x:c r="I70" s="15" t="str"/>
      <x:c r="J70" s="15" t="str">
        <x:v>YES</x:v>
      </x:c>
      <x:c r="K70" s="15" t="str">
        <x:v>NO</x:v>
      </x:c>
      <x:c r="L70" s="15" t="str">
        <x:v>NO_EXPLICIT_FOCUS</x:v>
      </x:c>
      <x:c r="M70" s="15" t="str">
        <x:v>RQ1,RQ2,RQ5</x:v>
      </x:c>
      <x:c r="N70" s="15" t="str">
        <x:v>HIGH</x:v>
      </x:c>
      <x:c r="O70" s="15" t="str">
        <x:v>YES</x:v>
      </x:c>
      <x:c r="P70" s="15" t="str">
        <x:v>YES</x:v>
      </x:c>
      <x:c r="Q70" s="15" t="str">
        <x:v>PRIMARY_CORE because it satisfies the Graph-Based KT criterion; full-text coding is still required before final corpus freeze.</x:v>
      </x:c>
      <x:c r="R70" s="15" t="str"/>
    </x:row>
    <x:row r="71">
      <x:c r="A71" s="15" t="str">
        <x:v>KT070</x:v>
      </x:c>
      <x:c r="B71" s="15" t="n">
        <x:v>2025</x:v>
      </x:c>
      <x:c r="C71" s="15" t="str">
        <x:v>Gao et al.</x:v>
      </x:c>
      <x:c r="D71" s="15" t="str">
        <x:v>Denoising Programming Knowledge Tracing with a Code Graph-Based Tuning Adapter</x:v>
      </x:c>
      <x:c r="E71" s="15" t="str">
        <x:v>KDD</x:v>
      </x:c>
      <x:c r="F71" s="15" t="str">
        <x:v>10.1145/3690624.3709172</x:v>
      </x:c>
      <x:c r="G71" s="15" t="str">
        <x:v>POTENTIAL_CORE</x:v>
      </x:c>
      <x:c r="H71" s="15" t="str">
        <x:v>PRIMARY_CORE</x:v>
      </x:c>
      <x:c r="I71" s="15" t="str"/>
      <x:c r="J71" s="15" t="str">
        <x:v>YES</x:v>
      </x:c>
      <x:c r="K71" s="15" t="str">
        <x:v>NO</x:v>
      </x:c>
      <x:c r="L71" s="15" t="str">
        <x:v>NO_EXPLICIT_FOCUS</x:v>
      </x:c>
      <x:c r="M71" s="15" t="str">
        <x:v>RQ1,RQ2,RQ5</x:v>
      </x:c>
      <x:c r="N71" s="15" t="str">
        <x:v>HIGH</x:v>
      </x:c>
      <x:c r="O71" s="15" t="str">
        <x:v>YES</x:v>
      </x:c>
      <x:c r="P71" s="15" t="str">
        <x:v>YES</x:v>
      </x:c>
      <x:c r="Q71" s="15" t="str">
        <x:v>PRIMARY_CORE because it satisfies the Graph-Based KT criterion; full-text coding is still required before final corpus freeze.</x:v>
      </x:c>
      <x:c r="R71" s="15" t="str"/>
    </x:row>
    <x:row r="72">
      <x:c r="A72" s="15" t="str">
        <x:v>KT071</x:v>
      </x:c>
      <x:c r="B72" s="15" t="n">
        <x:v>1994</x:v>
      </x:c>
      <x:c r="C72" s="15" t="str">
        <x:v>Corbett &amp; Anderson</x:v>
      </x:c>
      <x:c r="D72" s="15" t="str">
        <x:v>Knowledge Tracing: Modeling the Acquisition of Procedural Knowledge</x:v>
      </x:c>
      <x:c r="E72" s="15" t="str">
        <x:v>User Modeling and User-Adapted Interaction</x:v>
      </x:c>
      <x:c r="F72" s="15" t="str">
        <x:v>10.1007/BF01099821</x:v>
      </x:c>
      <x:c r="G72" s="15" t="str">
        <x:v>BACKGROUND</x:v>
      </x:c>
      <x:c r="H72" s="15" t="str">
        <x:v>BACKGROUND</x:v>
      </x:c>
      <x:c r="I72" s="15" t="str"/>
      <x:c r="J72" s="15" t="str">
        <x:v>NO</x:v>
      </x:c>
      <x:c r="K72" s="15" t="str">
        <x:v>NO</x:v>
      </x:c>
      <x:c r="L72" s="15" t="str">
        <x:v>NO_EXPLICIT_FOCUS</x:v>
      </x:c>
      <x:c r="M72" s="15" t="str"/>
      <x:c r="N72" s="15" t="str">
        <x:v>MEDIUM</x:v>
      </x:c>
      <x:c r="O72" s="15" t="str">
        <x:v>YES</x:v>
      </x:c>
      <x:c r="P72" s="15" t="str">
        <x:v>YES</x:v>
      </x:c>
      <x:c r="Q72" s="15" t="str">
        <x:v>BACKGROUND: methodological/foundational work, not primary KT Graph/SSL evidence.</x:v>
      </x:c>
      <x:c r="R72" s="15" t="str"/>
    </x:row>
    <x:row r="73">
      <x:c r="A73" s="15" t="str">
        <x:v>KT072</x:v>
      </x:c>
      <x:c r="B73" s="15" t="n">
        <x:v>2017</x:v>
      </x:c>
      <x:c r="C73" s="15" t="str">
        <x:v>Kipf &amp; Welling</x:v>
      </x:c>
      <x:c r="D73" s="15" t="str">
        <x:v>Semi-Supervised Classification with Graph Convolutional Networks</x:v>
      </x:c>
      <x:c r="E73" s="15" t="str">
        <x:v>ICLR</x:v>
      </x:c>
      <x:c r="F73" s="15" t="str">
        <x:v>TBD_VERIFY</x:v>
      </x:c>
      <x:c r="G73" s="15" t="str">
        <x:v>BACKGROUND</x:v>
      </x:c>
      <x:c r="H73" s="15" t="str">
        <x:v>BACKGROUND</x:v>
      </x:c>
      <x:c r="I73" s="15" t="str"/>
      <x:c r="J73" s="15" t="str">
        <x:v>NO</x:v>
      </x:c>
      <x:c r="K73" s="15" t="str">
        <x:v>NO</x:v>
      </x:c>
      <x:c r="L73" s="15" t="str">
        <x:v>NO_EXPLICIT_FOCUS</x:v>
      </x:c>
      <x:c r="M73" s="15" t="str"/>
      <x:c r="N73" s="15" t="str">
        <x:v>MEDIUM</x:v>
      </x:c>
      <x:c r="O73" s="15" t="str">
        <x:v>YES</x:v>
      </x:c>
      <x:c r="P73" s="15" t="str">
        <x:v>YES</x:v>
      </x:c>
      <x:c r="Q73" s="15" t="str">
        <x:v>BACKGROUND: methodological/foundational work, not primary KT Graph/SSL evidence.</x:v>
      </x:c>
      <x:c r="R73" s="15" t="str"/>
    </x:row>
    <x:row r="74">
      <x:c r="A74" s="15" t="str">
        <x:v>KT073</x:v>
      </x:c>
      <x:c r="B74" s="15" t="n">
        <x:v>2018</x:v>
      </x:c>
      <x:c r="C74" s="15" t="str">
        <x:v>Veličković et al.</x:v>
      </x:c>
      <x:c r="D74" s="15" t="str">
        <x:v>Graph Attention Networks</x:v>
      </x:c>
      <x:c r="E74" s="15" t="str">
        <x:v>ICLR</x:v>
      </x:c>
      <x:c r="F74" s="15" t="str">
        <x:v>TBD_VERIFY</x:v>
      </x:c>
      <x:c r="G74" s="15" t="str">
        <x:v>BACKGROUND</x:v>
      </x:c>
      <x:c r="H74" s="15" t="str">
        <x:v>BACKGROUND</x:v>
      </x:c>
      <x:c r="I74" s="15" t="str"/>
      <x:c r="J74" s="15" t="str">
        <x:v>NO</x:v>
      </x:c>
      <x:c r="K74" s="15" t="str">
        <x:v>NO</x:v>
      </x:c>
      <x:c r="L74" s="15" t="str">
        <x:v>NO_EXPLICIT_FOCUS</x:v>
      </x:c>
      <x:c r="M74" s="15" t="str"/>
      <x:c r="N74" s="15" t="str">
        <x:v>MEDIUM</x:v>
      </x:c>
      <x:c r="O74" s="15" t="str">
        <x:v>YES</x:v>
      </x:c>
      <x:c r="P74" s="15" t="str">
        <x:v>YES</x:v>
      </x:c>
      <x:c r="Q74" s="15" t="str">
        <x:v>BACKGROUND: methodological/foundational work, not primary KT Graph/SSL evidence.</x:v>
      </x:c>
      <x:c r="R74" s="15" t="str"/>
    </x:row>
    <x:row r="75">
      <x:c r="A75" s="15" t="str">
        <x:v>KT074</x:v>
      </x:c>
      <x:c r="B75" s="15" t="n">
        <x:v>2017</x:v>
      </x:c>
      <x:c r="C75" s="15" t="str">
        <x:v>Vaswani et al.</x:v>
      </x:c>
      <x:c r="D75" s="15" t="str">
        <x:v>Attention Is All You Need</x:v>
      </x:c>
      <x:c r="E75" s="15" t="str">
        <x:v>NeurIPS</x:v>
      </x:c>
      <x:c r="F75" s="15" t="str">
        <x:v>TBD_VERIFY</x:v>
      </x:c>
      <x:c r="G75" s="15" t="str">
        <x:v>BACKGROUND</x:v>
      </x:c>
      <x:c r="H75" s="15" t="str">
        <x:v>BACKGROUND</x:v>
      </x:c>
      <x:c r="I75" s="15" t="str"/>
      <x:c r="J75" s="15" t="str">
        <x:v>NO</x:v>
      </x:c>
      <x:c r="K75" s="15" t="str">
        <x:v>NO</x:v>
      </x:c>
      <x:c r="L75" s="15" t="str">
        <x:v>NO_EXPLICIT_FOCUS</x:v>
      </x:c>
      <x:c r="M75" s="15" t="str"/>
      <x:c r="N75" s="15" t="str">
        <x:v>MEDIUM</x:v>
      </x:c>
      <x:c r="O75" s="15" t="str">
        <x:v>YES</x:v>
      </x:c>
      <x:c r="P75" s="15" t="str">
        <x:v>YES</x:v>
      </x:c>
      <x:c r="Q75" s="15" t="str">
        <x:v>BACKGROUND: methodological/foundational work, not primary KT Graph/SSL evidence.</x:v>
      </x:c>
      <x:c r="R75" s="15" t="str"/>
    </x:row>
    <x:row r="76">
      <x:c r="A76" s="15" t="str">
        <x:v>KT075</x:v>
      </x:c>
      <x:c r="B76" s="15" t="n">
        <x:v>2019</x:v>
      </x:c>
      <x:c r="C76" s="15" t="str">
        <x:v>Feng et al.</x:v>
      </x:c>
      <x:c r="D76" s="15" t="str">
        <x:v>Hypergraph Neural Networks</x:v>
      </x:c>
      <x:c r="E76" s="15" t="str">
        <x:v>AAAI</x:v>
      </x:c>
      <x:c r="F76" s="15" t="str">
        <x:v>10.1609/aaai.v33i01.33013558</x:v>
      </x:c>
      <x:c r="G76" s="15" t="str">
        <x:v>BACKGROUND</x:v>
      </x:c>
      <x:c r="H76" s="15" t="str">
        <x:v>BACKGROUND</x:v>
      </x:c>
      <x:c r="I76" s="15" t="str"/>
      <x:c r="J76" s="15" t="str">
        <x:v>NO</x:v>
      </x:c>
      <x:c r="K76" s="15" t="str">
        <x:v>NO</x:v>
      </x:c>
      <x:c r="L76" s="15" t="str">
        <x:v>NO_EXPLICIT_FOCUS</x:v>
      </x:c>
      <x:c r="M76" s="15" t="str"/>
      <x:c r="N76" s="15" t="str">
        <x:v>MEDIUM</x:v>
      </x:c>
      <x:c r="O76" s="15" t="str">
        <x:v>YES</x:v>
      </x:c>
      <x:c r="P76" s="15" t="str">
        <x:v>YES</x:v>
      </x:c>
      <x:c r="Q76" s="15" t="str">
        <x:v>BACKGROUND: methodological/foundational work, not primary KT Graph/SSL evidence.</x:v>
      </x:c>
      <x:c r="R76" s="15" t="str"/>
    </x:row>
  </x:sheetData>
  <x:conditionalFormatting sqref="H2:H76">
    <x:cfRule type="expression" dxfId="0" priority="1">
      <x:formula>H2="PRIMARY_CORE"</x:formula>
    </x:cfRule>
    <x:cfRule type="expression" dxfId="1" priority="2">
      <x:formula>H2="PRIMARY_ADJACENT"</x:formula>
    </x:cfRule>
    <x:cfRule type="expression" dxfId="2" priority="3">
      <x:formula>H2="BACKGROUND"</x:formula>
    </x:cfRule>
    <x:cfRule type="expression" dxfId="3" priority="4">
      <x:formula>H2="EXCLUDE"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9b59951cc45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32" t="str">
        <x:v>Seed corpus audit v1.0</x:v>
      </x:c>
      <x:c r="B1" s="32"/>
      <x:c r="C1" s="32"/>
      <x:c r="D1" s="32"/>
    </x:row>
    <x:row r="2">
      <x:c r="A2" s="12"/>
      <x:c r="B2" s="12"/>
      <x:c r="C2" s="12"/>
      <x:c r="D2" s="12"/>
    </x:row>
    <x:row r="3">
      <x:c r="A3" s="33" t="str">
        <x:v>Classification</x:v>
      </x:c>
      <x:c r="B3" s="33" t="str">
        <x:v>Count</x:v>
      </x:c>
      <x:c r="C3" s="12"/>
      <x:c r="D3" s="12"/>
    </x:row>
    <x:row r="4">
      <x:c r="A4" s="12" t="str">
        <x:v>PRIMARY_CORE</x:v>
      </x:c>
      <x:c r="B4" s="12" t="n">
        <x:f>COUNTIF(Seed_Audit!H:H,"PRIMARY_CORE")</x:f>
        <x:v>34</x:v>
      </x:c>
      <x:c r="C4" s="12"/>
      <x:c r="D4" s="12"/>
    </x:row>
    <x:row r="5">
      <x:c r="A5" s="12" t="str">
        <x:v>PRIMARY_ADJACENT</x:v>
      </x:c>
      <x:c r="B5" s="12" t="n">
        <x:f>COUNTIF(Seed_Audit!H:H,"PRIMARY_ADJACENT")</x:f>
        <x:v>5</x:v>
      </x:c>
      <x:c r="C5" s="12"/>
      <x:c r="D5" s="12"/>
    </x:row>
    <x:row r="6">
      <x:c r="A6" s="12" t="str">
        <x:v>BACKGROUND</x:v>
      </x:c>
      <x:c r="B6" s="12" t="n">
        <x:f>COUNTIF(Seed_Audit!H:H,"BACKGROUND")</x:f>
        <x:v>35</x:v>
      </x:c>
      <x:c r="C6" s="12"/>
      <x:c r="D6" s="12"/>
    </x:row>
    <x:row r="7">
      <x:c r="A7" s="12" t="str">
        <x:v>EXCLUDE</x:v>
      </x:c>
      <x:c r="B7" s="12" t="n">
        <x:f>COUNTIF(Seed_Audit!H:H,"EXCLUDE")</x:f>
        <x:v>1</x:v>
      </x:c>
      <x:c r="C7" s="12"/>
      <x:c r="D7" s="12"/>
    </x:row>
    <x:row r="8">
      <x:c r="A8" s="12" t="str">
        <x:v>TOTAL</x:v>
      </x:c>
      <x:c r="B8" s="12" t="n">
        <x:f>SUM(B4:B7)</x:f>
        <x:v>75</x:v>
      </x:c>
      <x:c r="C8" s="12"/>
      <x:c r="D8" s="12"/>
    </x:row>
    <x:row r="9">
      <x:c r="A9" s="12"/>
      <x:c r="B9" s="12"/>
      <x:c r="C9" s="12"/>
      <x:c r="D9" s="12"/>
    </x:row>
    <x:row r="10">
      <x:c r="A10" s="34" t="str">
        <x:v>Locked decision rule</x:v>
      </x:c>
      <x:c r="B10" s="12" t="str"/>
      <x:c r="C10" s="12" t="str"/>
      <x:c r="D10" s="12" t="str"/>
    </x:row>
    <x:row r="11">
      <x:c r="A11" s="12" t="str">
        <x:v>PRIMARY_CORE</x:v>
      </x:c>
      <x:c r="B11" s="12" t="str">
        <x:v>KT AND (GRAPH_BASED OR SELF_SUPERVISED)</x:v>
      </x:c>
      <x:c r="C11" s="12" t="str"/>
      <x:c r="D11" s="12" t="str"/>
    </x:row>
    <x:row r="12">
      <x:c r="A12" s="12" t="str">
        <x:v>PRIMARY_ADJACENT</x:v>
      </x:c>
      <x:c r="B12" s="12" t="str">
        <x:v>Sparse/cold-start/evaluation context without Graph/SSL gateway</x:v>
      </x:c>
      <x:c r="C12" s="12" t="str"/>
      <x:c r="D12" s="12" t="str"/>
    </x:row>
    <x:row r="13">
      <x:c r="A13" s="12" t="str">
        <x:v>BACKGROUND</x:v>
      </x:c>
      <x:c r="B13" s="12" t="str">
        <x:v>Foundations, baselines, prior surveys, downstream/context</x:v>
      </x:c>
      <x:c r="C13" s="12" t="str"/>
      <x:c r="D13" s="12" t="str"/>
    </x:row>
    <x:row r="14">
      <x:c r="A14" s="12" t="str">
        <x:v>EXCLUDE</x:v>
      </x:c>
      <x:c r="B14" s="12" t="str">
        <x:v>Fails locked KT-central or publication/scope criteria</x:v>
      </x:c>
      <x:c r="C14" s="12" t="str"/>
      <x:c r="D14" s="12" t="str"/>
    </x:row>
    <x:row r="15">
      <x:c r="A15" s="12" t="str">
        <x:v>Important</x:v>
      </x:c>
      <x:c r="B15" s="12" t="str">
        <x:v>This 75-paper file remains a seed corpus, not the final PRISMA corpus.</x:v>
      </x:c>
      <x:c r="C15" s="12" t="str"/>
      <x:c r="D15" s="12" t="str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</x:sheetData>
  <x:mergeCells>
    <x:mergeCell ref="A1:D1"/>
    <x:mergeCell ref="A10:D10"/>
    <x:mergeCell ref="B11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4" hidden="0" customWidth="1"/>
  </x:cols>
  <x:sheetData>
    <x:row r="1">
      <x:c r="A1" s="5" t="str">
        <x:v>Rule</x:v>
      </x:c>
      <x:c r="B1" s="5" t="str">
        <x:v>Locked interpretation</x:v>
      </x:c>
      <x:c r="C1" s="5" t="str">
        <x:v>Consequence</x:v>
      </x:c>
    </x:row>
    <x:row r="2">
      <x:c r="A2" s="12" t="str">
        <x:v>Primary gateway</x:v>
      </x:c>
      <x:c r="B2" s="12" t="str">
        <x:v>KT AND (Graph-Based OR Self-Supervised)</x:v>
      </x:c>
      <x:c r="C2" s="12" t="str">
        <x:v>PRIMARY_CORE</x:v>
      </x:c>
    </x:row>
    <x:row r="3">
      <x:c r="A3" s="12" t="str">
        <x:v>Sparse-only KT</x:v>
      </x:c>
      <x:c r="B3" s="12" t="str">
        <x:v>No Graph/SSL gateway</x:v>
      </x:c>
      <x:c r="C3" s="12" t="str">
        <x:v>PRIMARY_ADJACENT</x:v>
      </x:c>
    </x:row>
    <x:row r="4">
      <x:c r="A4" s="12" t="str">
        <x:v>Evaluation/calibration KT</x:v>
      </x:c>
      <x:c r="B4" s="12" t="str">
        <x:v>Method context only</x:v>
      </x:c>
      <x:c r="C4" s="12" t="str">
        <x:v>PRIMARY_ADJACENT</x:v>
      </x:c>
    </x:row>
    <x:row r="5">
      <x:c r="A5" s="12" t="str">
        <x:v>Relation-aware</x:v>
      </x:c>
      <x:c r="B5" s="12" t="str">
        <x:v>Not automatically Graph-Based</x:v>
      </x:c>
      <x:c r="C5" s="12" t="str">
        <x:v>BACKGROUND unless explicit graph verified</x:v>
      </x:c>
    </x:row>
    <x:row r="6">
      <x:c r="A6" s="12" t="str">
        <x:v>Pretraining/regularization</x:v>
      </x:c>
      <x:c r="B6" s="12" t="str">
        <x:v>Not automatically Self-Supervised</x:v>
      </x:c>
      <x:c r="C6" s="12" t="str">
        <x:v>BACKGROUND unless SSL objective verified</x:v>
      </x:c>
    </x:row>
    <x:row r="7">
      <x:c r="A7" s="12" t="str">
        <x:v>Sparse attention</x:v>
      </x:c>
      <x:c r="B7" s="12" t="str">
        <x:v>Not sparse KC by itself</x:v>
      </x:c>
      <x:c r="C7" s="12" t="str">
        <x:v>BACKGROUND/term ambiguity</x:v>
      </x:c>
    </x:row>
    <x:row r="8">
      <x:c r="A8" s="12" t="str">
        <x:v>Learning path only</x:v>
      </x:c>
      <x:c r="B8" s="12" t="str">
        <x:v>Downstream, not primary</x:v>
      </x:c>
      <x:c r="C8" s="12" t="str">
        <x:v>BACKGROUND</x:v>
      </x:c>
    </x:row>
    <x:row r="9">
      <x:c r="A9" s="12" t="str">
        <x:v>Cognitive diagnosis only</x:v>
      </x:c>
      <x:c r="B9" s="12" t="str">
        <x:v>Fails KT-central criterion</x:v>
      </x:c>
      <x:c r="C9" s="12" t="str">
        <x:v>EXCLUDE</x:v>
      </x:c>
    </x:row>
  </x:sheetData>
  <x:pageMargins left="0.7" right="0.7" top="0.75" bottom="0.75" header="0.3" footer="0.3"/>
</x:worksheet>
</file>