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b232d0a2a940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_Selection" sheetId="1" r:id="R92ceb40df85e4530"/>
    <x:sheet xmlns:r="http://schemas.openxmlformats.org/officeDocument/2006/relationships" name="Paper_Coding" sheetId="2" r:id="R2da4431bf3294f87"/>
    <x:sheet xmlns:r="http://schemas.openxmlformats.org/officeDocument/2006/relationships" name="Model_Coding" sheetId="3" r:id="Rd9972845c8fb4c76"/>
    <x:sheet xmlns:r="http://schemas.openxmlformats.org/officeDocument/2006/relationships" name="Experiment_Coding" sheetId="4" r:id="Rc1e0d102bfdd48c3"/>
    <x:sheet xmlns:r="http://schemas.openxmlformats.org/officeDocument/2006/relationships" name="Disagreement_Log" sheetId="5" r:id="R8ba48edaeee4448c"/>
    <x:sheet xmlns:r="http://schemas.openxmlformats.org/officeDocument/2006/relationships" name="Codebook_Changes" sheetId="6" r:id="R9e99838830814958"/>
    <x:sheet xmlns:r="http://schemas.openxmlformats.org/officeDocument/2006/relationships" name="README" sheetId="7" r:id="R619a7549721c48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C65911"/>
      </x:patternFill>
    </x:fill>
    <x:fill>
      <x:patternFill patternType="solid">
        <x:fgColor rgb="FF8064A2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F7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5053e521184a8d" /><Relationship Type="http://schemas.openxmlformats.org/officeDocument/2006/relationships/theme" Target="/xl/theme/theme1.xml" Id="Re559ae2046f24d56" /><Relationship Type="http://schemas.openxmlformats.org/officeDocument/2006/relationships/sharedStrings" Target="/xl/sharedStrings.xml" Id="Rfe6a13f80b9349c6" /><Relationship Type="http://schemas.openxmlformats.org/officeDocument/2006/relationships/worksheet" Target="/xl/worksheets/sheet1.xml" Id="R92ceb40df85e4530" /><Relationship Type="http://schemas.openxmlformats.org/officeDocument/2006/relationships/worksheet" Target="/xl/worksheets/sheet2.xml" Id="R2da4431bf3294f87" /><Relationship Type="http://schemas.openxmlformats.org/officeDocument/2006/relationships/worksheet" Target="/xl/worksheets/sheet3.xml" Id="Rd9972845c8fb4c76" /><Relationship Type="http://schemas.openxmlformats.org/officeDocument/2006/relationships/worksheet" Target="/xl/worksheets/sheet4.xml" Id="Rc1e0d102bfdd48c3" /><Relationship Type="http://schemas.openxmlformats.org/officeDocument/2006/relationships/worksheet" Target="/xl/worksheets/sheet5.xml" Id="R8ba48edaeee4448c" /><Relationship Type="http://schemas.openxmlformats.org/officeDocument/2006/relationships/worksheet" Target="/xl/worksheets/sheet6.xml" Id="R9e99838830814958" /><Relationship Type="http://schemas.openxmlformats.org/officeDocument/2006/relationships/worksheet" Target="/xl/worksheets/sheet7.xml" Id="R619a7549721c489a" /></Relationships>
</file>

<file path=xl/tables/table1.xml><?xml version="1.0" encoding="utf-8"?>
<x:table xmlns:x="http://schemas.openxmlformats.org/spreadsheetml/2006/main" id="1" name="PilotSelectionTable" displayName="PilotSelectionTable" ref="A1:M16" headerRowCount="1" totalsRowCount="0" totalsRowShown="0">
  <x:tableColumns count="13">
    <x:tableColumn id="1" name="Order"/>
    <x:tableColumn id="2" name="Legacy ID"/>
    <x:tableColumn id="3" name="Title"/>
    <x:tableColumn id="4" name="Year"/>
    <x:tableColumn id="5" name="Venue"/>
    <x:tableColumn id="6" name="Seed Class"/>
    <x:tableColumn id="7" name="Signal"/>
    <x:tableColumn id="8" name="RQ Support"/>
    <x:tableColumn id="9" name="Priority"/>
    <x:tableColumn id="10" name="Pilot Rationale"/>
    <x:tableColumn id="11" name="Stress-Test Dimensions"/>
    <x:tableColumn id="12" name="Full-text Check"/>
    <x:tableColumn id="13" name="Metadata 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perCodingTable" displayName="PaperCodingTable" ref="A1:AM16" headerRowCount="1" totalsRowCount="0" totalsRowShown="0">
  <x:tableColumns count="39">
    <x:tableColumn id="1" name="paper_id"/>
    <x:tableColumn id="2" name="legacy_id"/>
    <x:tableColumn id="3" name="title"/>
    <x:tableColumn id="4" name="year"/>
    <x:tableColumn id="5" name="venue"/>
    <x:tableColumn id="6" name="doi_verified"/>
    <x:tableColumn id="7" name="item_type"/>
    <x:tableColumn id="8" name="peer_reviewed"/>
    <x:tableColumn id="9" name="kt_central_task"/>
    <x:tableColumn id="10" name="G_criterion"/>
    <x:tableColumn id="11" name="S_criterion"/>
    <x:tableColumn id="12" name="primary_gateway_pass"/>
    <x:tableColumn id="13" name="corpus_status"/>
    <x:tableColumn id="14" name="role_in_survey"/>
    <x:tableColumn id="15" name="source_origin"/>
    <x:tableColumn id="16" name="code_available"/>
    <x:tableColumn id="17" name="code_url"/>
    <x:tableColumn id="18" name="data_available"/>
    <x:tableColumn id="19" name="config_available"/>
    <x:tableColumn id="20" name="seed_available"/>
    <x:tableColumn id="21" name="environment_available"/>
    <x:tableColumn id="22" name="artifact_archive_available"/>
    <x:tableColumn id="23" name="QA1"/>
    <x:tableColumn id="24" name="QA2"/>
    <x:tableColumn id="25" name="QA3"/>
    <x:tableColumn id="26" name="QA4"/>
    <x:tableColumn id="27" name="QA5"/>
    <x:tableColumn id="28" name="QA6"/>
    <x:tableColumn id="29" name="QA7"/>
    <x:tableColumn id="30" name="QA8"/>
    <x:tableColumn id="31" name="raw_quality_score"/>
    <x:tableColumn id="32" name="applicable_quality_max"/>
    <x:tableColumn id="33" name="normalized_quality"/>
    <x:tableColumn id="34" name="quality_tier"/>
    <x:tableColumn id="35" name="coder_id"/>
    <x:tableColumn id="36" name="coder_confidence"/>
    <x:tableColumn id="37" name="evidence_locator"/>
    <x:tableColumn id="38" name="evidence_note"/>
    <x:tableColumn id="39" name="adjudicatio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elCodingTable" displayName="ModelCodingTable" ref="A1:AV16" headerRowCount="1" totalsRowCount="0" totalsRowShown="0">
  <x:tableColumns count="48">
    <x:tableColumn id="1" name="model_entry_id"/>
    <x:tableColumn id="2" name="paper_id"/>
    <x:tableColumn id="3" name="legacy_id"/>
    <x:tableColumn id="4" name="model_name"/>
    <x:tableColumn id="5" name="graph_source"/>
    <x:tableColumn id="6" name="graph_source_original"/>
    <x:tableColumn id="7" name="graph_provenance"/>
    <x:tableColumn id="8" name="graph_leakage_risk"/>
    <x:tableColumn id="9" name="graph_construction_summary"/>
    <x:tableColumn id="10" name="graph_construction_uses_response_labels"/>
    <x:tableColumn id="11" name="graph_construction_uses_test_partition"/>
    <x:tableColumn id="12" name="graph_representation"/>
    <x:tableColumn id="13" name="node_types_original"/>
    <x:tableColumn id="14" name="edge_types_original"/>
    <x:tableColumn id="15" name="directed"/>
    <x:tableColumn id="16" name="weighted"/>
    <x:tableColumn id="17" name="typed_edges"/>
    <x:tableColumn id="18" name="dynamic"/>
    <x:tableColumn id="19" name="dag_enforced"/>
    <x:tableColumn id="20" name="edge_confidence_used"/>
    <x:tableColumn id="21" name="gnn_encoder"/>
    <x:tableColumn id="22" name="gnn_encoder_original"/>
    <x:tableColumn id="23" name="num_graph_layers"/>
    <x:tableColumn id="24" name="message_passing_direction"/>
    <x:tableColumn id="25" name="temporal_backbone"/>
    <x:tableColumn id="26" name="semantic_auxiliary_encoder"/>
    <x:tableColumn id="27" name="fusion_type"/>
    <x:tableColumn id="28" name="fusion_location"/>
    <x:tableColumn id="29" name="fusion_description_original"/>
    <x:tableColumn id="30" name="ssl_family"/>
    <x:tableColumn id="31" name="non_ssl_pretraining"/>
    <x:tableColumn id="32" name="pretraining_description"/>
    <x:tableColumn id="33" name="ssl_training_mode"/>
    <x:tableColumn id="34" name="ssl_target_level"/>
    <x:tableColumn id="35" name="positive_pair_strategy"/>
    <x:tableColumn id="36" name="negative_pair_strategy"/>
    <x:tableColumn id="37" name="ssl_loss_original"/>
    <x:tableColumn id="38" name="ssl_weight_reported"/>
    <x:tableColumn id="39" name="augmentation_type"/>
    <x:tableColumn id="40" name="educational_structure_preservation"/>
    <x:tableColumn id="41" name="preserved_property_original"/>
    <x:tableColumn id="42" name="augmentation_validity_ablation"/>
    <x:tableColumn id="43" name="coding_basis"/>
    <x:tableColumn id="44" name="coder_id"/>
    <x:tableColumn id="45" name="coder_confidence"/>
    <x:tableColumn id="46" name="evidence_locator"/>
    <x:tableColumn id="47" name="evidence_note"/>
    <x:tableColumn id="48" name="adjudication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perimentCodingTable" displayName="ExperimentCodingTable" ref="A1:BU16" headerRowCount="1" totalsRowCount="0" totalsRowShown="0">
  <x:tableColumns count="73">
    <x:tableColumn id="1" name="experiment_id"/>
    <x:tableColumn id="2" name="paper_id"/>
    <x:tableColumn id="3" name="model_entry_id"/>
    <x:tableColumn id="4" name="dataset_name"/>
    <x:tableColumn id="5" name="dataset_version"/>
    <x:tableColumn id="6" name="dataset_source"/>
    <x:tableColumn id="7" name="n_learners_reported"/>
    <x:tableColumn id="8" name="n_items_reported"/>
    <x:tableColumn id="9" name="n_kcs_reported"/>
    <x:tableColumn id="10" name="n_interactions_reported"/>
    <x:tableColumn id="11" name="multi_skill_present"/>
    <x:tableColumn id="12" name="multi_skill_handling"/>
    <x:tableColumn id="13" name="sequence_truncation"/>
    <x:tableColumn id="14" name="min_sequence_filter"/>
    <x:tableColumn id="15" name="timestamp_used"/>
    <x:tableColumn id="16" name="preprocessing_code_available"/>
    <x:tableColumn id="17" name="split_type"/>
    <x:tableColumn id="18" name="split_unit_original"/>
    <x:tableColumn id="19" name="train_fraction"/>
    <x:tableColumn id="20" name="validation_fraction"/>
    <x:tableColumn id="21" name="test_fraction"/>
    <x:tableColumn id="22" name="validation_set_separate"/>
    <x:tableColumn id="23" name="early_stopping_validation_only"/>
    <x:tableColumn id="24" name="graph_train_only"/>
    <x:tableColumn id="25" name="normalization_train_only"/>
    <x:tableColumn id="26" name="sparse_strata_train_only"/>
    <x:tableColumn id="27" name="temporal_alignment_audited"/>
    <x:tableColumn id="28" name="duplicate_entity_leakage_checked"/>
    <x:tableColumn id="29" name="sparsity_construct"/>
    <x:tableColumn id="30" name="sparse_definition_original"/>
    <x:tableColumn id="31" name="sparse_threshold_original"/>
    <x:tableColumn id="32" name="threshold_source"/>
    <x:tableColumn id="33" name="frequency_computed_on"/>
    <x:tableColumn id="34" name="strict_zero_train_verified"/>
    <x:tableColumn id="35" name="external_info_for_unseen_kc"/>
    <x:tableColumn id="36" name="support_kcs"/>
    <x:tableColumn id="37" name="support_learners"/>
    <x:tableColumn id="38" name="support_items"/>
    <x:tableColumn id="39" name="support_test_interactions"/>
    <x:tableColumn id="40" name="positive_count"/>
    <x:tableColumn id="41" name="negative_count"/>
    <x:tableColumn id="42" name="metric_name_original"/>
    <x:tableColumn id="43" name="metric_value_original"/>
    <x:tableColumn id="44" name="metric_scope"/>
    <x:tableColumn id="45" name="n_seeds"/>
    <x:tableColumn id="46" name="seed_values_reported"/>
    <x:tableColumn id="47" name="mean_std_reported"/>
    <x:tableColumn id="48" name="confidence_interval"/>
    <x:tableColumn id="49" name="bootstrap_unit"/>
    <x:tableColumn id="50" name="statistical_test"/>
    <x:tableColumn id="51" name="multiple_comparison_correction"/>
    <x:tableColumn id="52" name="effect_size"/>
    <x:tableColumn id="53" name="paired_design"/>
    <x:tableColumn id="54" name="significance_threshold"/>
    <x:tableColumn id="55" name="parameter_count"/>
    <x:tableColumn id="56" name="train_time"/>
    <x:tableColumn id="57" name="time_per_epoch"/>
    <x:tableColumn id="58" name="inference_latency"/>
    <x:tableColumn id="59" name="throughput"/>
    <x:tableColumn id="60" name="cpu_ram"/>
    <x:tableColumn id="61" name="gpu_vram"/>
    <x:tableColumn id="62" name="hardware"/>
    <x:tableColumn id="63" name="graph_construction_time"/>
    <x:tableColumn id="64" name="complexity_formula"/>
    <x:tableColumn id="65" name="scale_up_experiment"/>
    <x:tableColumn id="66" name="oom_timeout_reported"/>
    <x:tableColumn id="67" name="coding_basis"/>
    <x:tableColumn id="68" name="coder_id"/>
    <x:tableColumn id="69" name="coder_confidence"/>
    <x:tableColumn id="70" name="evidence_locator"/>
    <x:tableColumn id="71" name="evidence_note"/>
    <x:tableColumn id="72" name="adjudication_status"/>
    <x:tableColumn id="73" name="Column73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sagreementLogTable" displayName="DisagreementLogTable" ref="A1:K2" headerRowCount="1" totalsRowCount="0" totalsRowShown="0">
  <x:tableColumns count="11">
    <x:tableColumn id="1" name="paper_id"/>
    <x:tableColumn id="2" name="field"/>
    <x:tableColumn id="3" name="coder_A"/>
    <x:tableColumn id="4" name="coder_B"/>
    <x:tableColumn id="5" name="evidence_locator_A"/>
    <x:tableColumn id="6" name="evidence_locator_B"/>
    <x:tableColumn id="7" name="reason_for_disagreement"/>
    <x:tableColumn id="8" name="adjudicated_value"/>
    <x:tableColumn id="9" name="resolution_rule"/>
    <x:tableColumn id="10" name="codebook_change_required"/>
    <x:tableColumn id="11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debookChangesTable" displayName="CodebookChangesTable" ref="A1:I9" headerRowCount="1" totalsRowCount="0" totalsRowShown="0">
  <x:tableColumns count="9">
    <x:tableColumn id="1" name="issue_id"/>
    <x:tableColumn id="2" name="field/category"/>
    <x:tableColumn id="3" name="v0.1 issue"/>
    <x:tableColumn id="4" name="v0.2 proposed rule"/>
    <x:tableColumn id="5" name="pilot papers testing it"/>
    <x:tableColumn id="6" name="coder feedback"/>
    <x:tableColumn id="7" name="decision after pilot"/>
    <x:tableColumn id="8" name="requires_recode"/>
    <x:tableColumn id="9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eeae7711a842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78bbf0736344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88991e05d474c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27f3f385fdc4b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2999417284c40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af2460c3c8545f0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48" hidden="0" customWidth="1"/>
    <x:col min="4" max="4" width="9" hidden="0" customWidth="1"/>
    <x:col min="5" max="5" width="24" hidden="0" customWidth="1"/>
    <x:col min="6" max="6" width="22" hidden="0" customWidth="1"/>
    <x:col min="7" max="7" width="22" hidden="0" customWidth="1"/>
    <x:col min="8" max="8" width="18" hidden="0" customWidth="1"/>
    <x:col min="9" max="9" width="10" hidden="0" customWidth="1"/>
    <x:col min="10" max="10" width="54" hidden="0" customWidth="1"/>
    <x:col min="11" max="11" width="48" hidden="0" customWidth="1"/>
    <x:col min="12" max="12" width="14" hidden="0" customWidth="1"/>
    <x:col min="13" max="13" width="14" hidden="0" customWidth="1"/>
  </x:cols>
  <x:sheetData>
    <x:row r="1">
      <x:c r="A1" s="6" t="str">
        <x:v>Order</x:v>
      </x:c>
      <x:c r="B1" s="6" t="str">
        <x:v>Legacy ID</x:v>
      </x:c>
      <x:c r="C1" s="6" t="str">
        <x:v>Title</x:v>
      </x:c>
      <x:c r="D1" s="6" t="str">
        <x:v>Year</x:v>
      </x:c>
      <x:c r="E1" s="6" t="str">
        <x:v>Venue</x:v>
      </x:c>
      <x:c r="F1" s="6" t="str">
        <x:v>Seed Class</x:v>
      </x:c>
      <x:c r="G1" s="6" t="str">
        <x:v>Signal</x:v>
      </x:c>
      <x:c r="H1" s="6" t="str">
        <x:v>RQ Support</x:v>
      </x:c>
      <x:c r="I1" s="6" t="str">
        <x:v>Priority</x:v>
      </x:c>
      <x:c r="J1" s="6" t="str">
        <x:v>Pilot Rationale</x:v>
      </x:c>
      <x:c r="K1" s="6" t="str">
        <x:v>Stress-Test Dimensions</x:v>
      </x:c>
      <x:c r="L1" s="6" t="str">
        <x:v>Full-text Check</x:v>
      </x:c>
      <x:c r="M1" s="6" t="str">
        <x:v>Metadata Check</x:v>
      </x:c>
    </x:row>
    <x:row r="2">
      <x:c r="A2" s="12" t="n">
        <x:v>1</x:v>
      </x:c>
      <x:c r="B2" s="12" t="str">
        <x:v>KT004</x:v>
      </x:c>
      <x:c r="C2" s="12" t="str">
        <x:v>Graph-Based Knowledge Tracing: Modeling Student Proficiency Using Graph Neural Network</x:v>
      </x:c>
      <x:c r="D2" s="12" t="n">
        <x:v>2019</x:v>
      </x:c>
      <x:c r="E2" s="12" t="str">
        <x:v>IEEE/WIC/ACM WI</x:v>
      </x:c>
      <x:c r="F2" s="12" t="str">
        <x:v>PRIMARY_CORE</x:v>
      </x:c>
      <x:c r="G2" s="12" t="str">
        <x:v>GRAPH_KT</x:v>
      </x:c>
      <x:c r="H2" s="12" t="str">
        <x:v>RQ1,RQ2,RQ5</x:v>
      </x:c>
      <x:c r="I2" s="12" t="str">
        <x:v>P1</x:v>
      </x:c>
      <x:c r="J2" s="12" t="str">
        <x:v>Seminal explicit Graph-KT; tests basic graph-source, representation, GNN, and fusion fields.</x:v>
      </x:c>
      <x:c r="K2" s="12" t="str">
        <x:v>Graph source; KC-KC representation; GNN encoder; fusion; RQ1/RQ2</x:v>
      </x:c>
      <x:c r="L2" s="12" t="str">
        <x:v>YES</x:v>
      </x:c>
      <x:c r="M2" s="12" t="str">
        <x:v>YES</x:v>
      </x:c>
    </x:row>
    <x:row r="3">
      <x:c r="A3" s="12" t="n">
        <x:v>2</x:v>
      </x:c>
      <x:c r="B3" s="12" t="str">
        <x:v>KT010</x:v>
      </x:c>
      <x:c r="C3" s="12" t="str">
        <x:v>GIKT: A Graph-Based Interaction Model for Knowledge Tracing</x:v>
      </x:c>
      <x:c r="D3" s="12" t="n">
        <x:v>2021</x:v>
      </x:c>
      <x:c r="E3" s="12" t="str">
        <x:v>ECML-PKDD</x:v>
      </x:c>
      <x:c r="F3" s="12" t="str">
        <x:v>PRIMARY_CORE</x:v>
      </x:c>
      <x:c r="G3" s="12" t="str">
        <x:v>GRAPH_KT</x:v>
      </x:c>
      <x:c r="H3" s="12" t="str">
        <x:v>RQ1,RQ2,RQ5</x:v>
      </x:c>
      <x:c r="I3" s="12" t="str">
        <x:v>P1</x:v>
      </x:c>
      <x:c r="J3" s="12" t="str">
        <x:v>Tests question–concept interaction graph and graph–sequence integration.</x:v>
      </x:c>
      <x:c r="K3" s="12" t="str">
        <x:v>Graph representation; interaction graph; fusion; ablation</x:v>
      </x:c>
      <x:c r="L3" s="12" t="str">
        <x:v>YES</x:v>
      </x:c>
      <x:c r="M3" s="12" t="str">
        <x:v>YES</x:v>
      </x:c>
    </x:row>
    <x:row r="4">
      <x:c r="A4" s="12" t="n">
        <x:v>3</x:v>
      </x:c>
      <x:c r="B4" s="12" t="str">
        <x:v>KT014</x:v>
      </x:c>
      <x:c r="C4" s="12" t="str">
        <x:v>Prerequisite-Driven Deep Knowledge Tracing</x:v>
      </x:c>
      <x:c r="D4" s="12" t="n">
        <x:v>2018</x:v>
      </x:c>
      <x:c r="E4" s="12" t="str">
        <x:v>ICDM</x:v>
      </x:c>
      <x:c r="F4" s="12" t="str">
        <x:v>PRIMARY_CORE</x:v>
      </x:c>
      <x:c r="G4" s="12" t="str">
        <x:v>GRAPH_KT</x:v>
      </x:c>
      <x:c r="H4" s="12" t="str">
        <x:v>RQ1,RQ2,RQ4,RQ5</x:v>
      </x:c>
      <x:c r="I4" s="12" t="str">
        <x:v>P1</x:v>
      </x:c>
      <x:c r="J4" s="12" t="str">
        <x:v>Tests prerequisite semantics, directionality, and graph-provenance/leakage coding.</x:v>
      </x:c>
      <x:c r="K4" s="12" t="str">
        <x:v>Prerequisite direction; DAG semantics; external vs inferred provenance; leakage</x:v>
      </x:c>
      <x:c r="L4" s="12" t="str">
        <x:v>YES</x:v>
      </x:c>
      <x:c r="M4" s="12" t="str">
        <x:v>YES</x:v>
      </x:c>
    </x:row>
    <x:row r="5">
      <x:c r="A5" s="12" t="n">
        <x:v>4</x:v>
      </x:c>
      <x:c r="B5" s="12" t="str">
        <x:v>KT026</x:v>
      </x:c>
      <x:c r="C5" s="12" t="str">
        <x:v>Improving Knowledge Tracing via Pre-Training Question Embeddings</x:v>
      </x:c>
      <x:c r="D5" s="12" t="n">
        <x:v>2020</x:v>
      </x:c>
      <x:c r="E5" s="12" t="str">
        <x:v>IJCAI</x:v>
      </x:c>
      <x:c r="F5" s="12" t="str">
        <x:v>PRIMARY_CORE</x:v>
      </x:c>
      <x:c r="G5" s="12" t="str">
        <x:v>SSL_ADJACENT</x:v>
      </x:c>
      <x:c r="H5" s="12" t="str">
        <x:v>RQ1,RQ2,RQ4,RQ5</x:v>
      </x:c>
      <x:c r="I5" s="12" t="str">
        <x:v>P2</x:v>
      </x:c>
      <x:c r="J5" s="12" t="str">
        <x:v>Boundary case: graph-derived pretraining/question embeddings; tests Graph-KT vs generic pretraining distinction.</x:v>
      </x:c>
      <x:c r="K5" s="12" t="str">
        <x:v>Graph gateway; pretraining-vs-SSL rule; bipartite graph; boundary coding</x:v>
      </x:c>
      <x:c r="L5" s="12" t="str">
        <x:v>YES</x:v>
      </x:c>
      <x:c r="M5" s="12" t="str">
        <x:v>YES</x:v>
      </x:c>
    </x:row>
    <x:row r="6">
      <x:c r="A6" s="12" t="n">
        <x:v>5</x:v>
      </x:c>
      <x:c r="B6" s="12" t="str">
        <x:v>KT035</x:v>
      </x:c>
      <x:c r="C6" s="12" t="str">
        <x:v>HHSKT: A Learner–Question Interactions Based Heterogeneous Graph Neural Network Model for Knowledge Tracing</x:v>
      </x:c>
      <x:c r="D6" s="12" t="n">
        <x:v>2023</x:v>
      </x:c>
      <x:c r="E6" s="12" t="str">
        <x:v>Expert Systems with Applications</x:v>
      </x:c>
      <x:c r="F6" s="12" t="str">
        <x:v>PRIMARY_CORE</x:v>
      </x:c>
      <x:c r="G6" s="12" t="str">
        <x:v>GRAPH_KT</x:v>
      </x:c>
      <x:c r="H6" s="12" t="str">
        <x:v>RQ1,RQ2,RQ5</x:v>
      </x:c>
      <x:c r="I6" s="12" t="str">
        <x:v>P1</x:v>
      </x:c>
      <x:c r="J6" s="12" t="str">
        <x:v>Tests heterogeneous multi-node graph coding and typed relations.</x:v>
      </x:c>
      <x:c r="K6" s="12" t="str">
        <x:v>Heterogeneous nodes/edges; typed relations; heterogeneous GNN</x:v>
      </x:c>
      <x:c r="L6" s="12" t="str">
        <x:v>YES</x:v>
      </x:c>
      <x:c r="M6" s="12" t="str">
        <x:v>YES</x:v>
      </x:c>
    </x:row>
    <x:row r="7">
      <x:c r="A7" s="12" t="n">
        <x:v>6</x:v>
      </x:c>
      <x:c r="B7" s="12" t="str">
        <x:v>KT037</x:v>
      </x:c>
      <x:c r="C7" s="12" t="str">
        <x:v>CMKT: Concept Map Driven Knowledge Tracing</x:v>
      </x:c>
      <x:c r="D7" s="12" t="n">
        <x:v>2022</x:v>
      </x:c>
      <x:c r="E7" s="12" t="str">
        <x:v>IEEE Transactions on Learning Technologies</x:v>
      </x:c>
      <x:c r="F7" s="12" t="str">
        <x:v>PRIMARY_CORE</x:v>
      </x:c>
      <x:c r="G7" s="12" t="str">
        <x:v>GRAPH_KT</x:v>
      </x:c>
      <x:c r="H7" s="12" t="str">
        <x:v>RQ1,RQ2,RQ4,RQ5</x:v>
      </x:c>
      <x:c r="I7" s="12" t="str">
        <x:v>P1</x:v>
      </x:c>
      <x:c r="J7" s="12" t="str">
        <x:v>Tests externally supplied concept-map/curriculum structure and fixed-graph provenance.</x:v>
      </x:c>
      <x:c r="K7" s="12" t="str">
        <x:v>Concept map; external fixed graph; curriculum provenance</x:v>
      </x:c>
      <x:c r="L7" s="12" t="str">
        <x:v>YES</x:v>
      </x:c>
      <x:c r="M7" s="12" t="str">
        <x:v>YES</x:v>
      </x:c>
    </x:row>
    <x:row r="8">
      <x:c r="A8" s="12" t="n">
        <x:v>7</x:v>
      </x:c>
      <x:c r="B8" s="12" t="str">
        <x:v>KT038</x:v>
      </x:c>
      <x:c r="C8" s="12" t="str">
        <x:v>DyGKT: Dynamic Graph Learning for Knowledge Tracing</x:v>
      </x:c>
      <x:c r="D8" s="12" t="n">
        <x:v>2024</x:v>
      </x:c>
      <x:c r="E8" s="12" t="str">
        <x:v>KDD</x:v>
      </x:c>
      <x:c r="F8" s="12" t="str">
        <x:v>PRIMARY_CORE</x:v>
      </x:c>
      <x:c r="G8" s="12" t="str">
        <x:v>GRAPH_KT</x:v>
      </x:c>
      <x:c r="H8" s="12" t="str">
        <x:v>RQ1,RQ2,RQ5</x:v>
      </x:c>
      <x:c r="I8" s="12" t="str">
        <x:v>P2</x:v>
      </x:c>
      <x:c r="J8" s="12" t="str">
        <x:v>Tests dynamic/temporal graph coding and metadata-conflict workflow.</x:v>
      </x:c>
      <x:c r="K8" s="12" t="str">
        <x:v>Dynamic graph; temporal evolution; metadata conflict; computational evidence</x:v>
      </x:c>
      <x:c r="L8" s="12" t="str">
        <x:v>YES</x:v>
      </x:c>
      <x:c r="M8" s="12" t="str">
        <x:v>YES</x:v>
      </x:c>
    </x:row>
    <x:row r="9">
      <x:c r="A9" s="12" t="n">
        <x:v>8</x:v>
      </x:c>
      <x:c r="B9" s="12" t="str">
        <x:v>KT039</x:v>
      </x:c>
      <x:c r="C9" s="12" t="str">
        <x:v>Contrastive Learning for Knowledge Tracing</x:v>
      </x:c>
      <x:c r="D9" s="12" t="n">
        <x:v>2022</x:v>
      </x:c>
      <x:c r="E9" s="12" t="str">
        <x:v>The Web Conference</x:v>
      </x:c>
      <x:c r="F9" s="12" t="str">
        <x:v>PRIMARY_CORE</x:v>
      </x:c>
      <x:c r="G9" s="12" t="str">
        <x:v>SSL_KT</x:v>
      </x:c>
      <x:c r="H9" s="12" t="str">
        <x:v>RQ3,RQ5</x:v>
      </x:c>
      <x:c r="I9" s="12" t="str">
        <x:v>P1</x:v>
      </x:c>
      <x:c r="J9" s="12" t="str">
        <x:v>Pure sequence-level contrastive KT; tests SSL coding when graph_source = NONE.</x:v>
      </x:c>
      <x:c r="K9" s="12" t="str">
        <x:v>Sequence contrastive SSL; augmentation; positive/negative views; no graph</x:v>
      </x:c>
      <x:c r="L9" s="12" t="str">
        <x:v>YES</x:v>
      </x:c>
      <x:c r="M9" s="12" t="str">
        <x:v>YES</x:v>
      </x:c>
    </x:row>
    <x:row r="10">
      <x:c r="A10" s="12" t="n">
        <x:v>9</x:v>
      </x:c>
      <x:c r="B10" s="12" t="str">
        <x:v>KT011</x:v>
      </x:c>
      <x:c r="C10" s="12" t="str">
        <x:v>Bi-CLKT: Bi-Graph Contrastive Learning Based Knowledge Tracing</x:v>
      </x:c>
      <x:c r="D10" s="12" t="n">
        <x:v>2022</x:v>
      </x:c>
      <x:c r="E10" s="12" t="str">
        <x:v>Knowledge-Based Systems</x:v>
      </x:c>
      <x:c r="F10" s="12" t="str">
        <x:v>PRIMARY_CORE</x:v>
      </x:c>
      <x:c r="G10" s="12" t="str">
        <x:v>GRAPH_SSL_KT</x:v>
      </x:c>
      <x:c r="H10" s="12" t="str">
        <x:v>RQ1,RQ2,RQ3,RQ5</x:v>
      </x:c>
      <x:c r="I10" s="12" t="str">
        <x:v>P1</x:v>
      </x:c>
      <x:c r="J10" s="12" t="str">
        <x:v>Graph + contrastive learning; tests hybrid Graph/SSL coding and augmentation fields.</x:v>
      </x:c>
      <x:c r="K10" s="12" t="str">
        <x:v>Graph contrastive SSL; bi-graph; structure preservation</x:v>
      </x:c>
      <x:c r="L10" s="12" t="str">
        <x:v>YES</x:v>
      </x:c>
      <x:c r="M10" s="12" t="str">
        <x:v>YES</x:v>
      </x:c>
    </x:row>
    <x:row r="11">
      <x:c r="A11" s="12" t="n">
        <x:v>10</x:v>
      </x:c>
      <x:c r="B11" s="12" t="str">
        <x:v>KT042</x:v>
      </x:c>
      <x:c r="C11" s="12" t="str">
        <x:v>Self-Supervised Heterogeneous Hypergraph Network for Knowledge Tracing</x:v>
      </x:c>
      <x:c r="D11" s="12" t="n">
        <x:v>2023</x:v>
      </x:c>
      <x:c r="E11" s="12" t="str">
        <x:v>Information Sciences</x:v>
      </x:c>
      <x:c r="F11" s="12" t="str">
        <x:v>PRIMARY_CORE</x:v>
      </x:c>
      <x:c r="G11" s="12" t="str">
        <x:v>GRAPH_SSL_KT</x:v>
      </x:c>
      <x:c r="H11" s="12" t="str">
        <x:v>RQ1,RQ2,RQ3,RQ5</x:v>
      </x:c>
      <x:c r="I11" s="12" t="str">
        <x:v>P1</x:v>
      </x:c>
      <x:c r="J11" s="12" t="str">
        <x:v>Heterogeneous hypergraph + self-supervision; stress-tests graph representation + SSL objective interaction.</x:v>
      </x:c>
      <x:c r="K11" s="12" t="str">
        <x:v>Hypergraph; heterogeneous structure; self-supervision; joint objective</x:v>
      </x:c>
      <x:c r="L11" s="12" t="str">
        <x:v>YES</x:v>
      </x:c>
      <x:c r="M11" s="12" t="str">
        <x:v>YES</x:v>
      </x:c>
    </x:row>
    <x:row r="12">
      <x:c r="A12" s="12" t="n">
        <x:v>11</x:v>
      </x:c>
      <x:c r="B12" s="12" t="str">
        <x:v>KT066</x:v>
      </x:c>
      <x:c r="C12" s="12" t="str">
        <x:v>Dual-Channel Adaptive Scale Hypergraph Encoders With Cross-View Contrastive Learning for Knowledge Tracing</x:v>
      </x:c>
      <x:c r="D12" s="12" t="n">
        <x:v>2025</x:v>
      </x:c>
      <x:c r="E12" s="12" t="str">
        <x:v>IEEE Transactions on Neural Networks and Learning Systems</x:v>
      </x:c>
      <x:c r="F12" s="12" t="str">
        <x:v>PRIMARY_CORE</x:v>
      </x:c>
      <x:c r="G12" s="12" t="str">
        <x:v>GRAPH_SSL_KT</x:v>
      </x:c>
      <x:c r="H12" s="12" t="str">
        <x:v>RQ1,RQ2,RQ3,RQ5</x:v>
      </x:c>
      <x:c r="I12" s="12" t="str">
        <x:v>P2</x:v>
      </x:c>
      <x:c r="J12" s="12" t="str">
        <x:v>Modern hypergraph + cross-view contrastive learning; tests multi-view SSL and computational reporting.</x:v>
      </x:c>
      <x:c r="K12" s="12" t="str">
        <x:v>Hypergraph; multi-view contrastive; cross-view augmentation; scalability</x:v>
      </x:c>
      <x:c r="L12" s="12" t="str">
        <x:v>YES</x:v>
      </x:c>
      <x:c r="M12" s="12" t="str">
        <x:v>YES</x:v>
      </x:c>
    </x:row>
    <x:row r="13">
      <x:c r="A13" s="12" t="n">
        <x:v>12</x:v>
      </x:c>
      <x:c r="B13" s="12" t="str">
        <x:v>KT044</x:v>
      </x:c>
      <x:c r="C13" s="12" t="str">
        <x:v>SINKT: A Structure-Aware Inductive Knowledge Tracing Model with Large Language Model</x:v>
      </x:c>
      <x:c r="D13" s="12" t="n">
        <x:v>2024</x:v>
      </x:c>
      <x:c r="E13" s="12" t="str">
        <x:v>CIKM</x:v>
      </x:c>
      <x:c r="F13" s="12" t="str">
        <x:v>PRIMARY_CORE</x:v>
      </x:c>
      <x:c r="G13" s="12" t="str">
        <x:v>GRAPH_SPARSE_KT</x:v>
      </x:c>
      <x:c r="H13" s="12" t="str">
        <x:v>RQ1,RQ2,RQ4,RQ5</x:v>
      </x:c>
      <x:c r="I13" s="12" t="str">
        <x:v>P1</x:v>
      </x:c>
      <x:c r="J13" s="12" t="str">
        <x:v>Inductive/cold-start + semantic/LLM-assisted structure; stress-tests sparse ontology and external-information coding.</x:v>
      </x:c>
      <x:c r="K13" s="12" t="str">
        <x:v>Strict KC cold-start; inductive representation; semantic/LLM auxiliary input</x:v>
      </x:c>
      <x:c r="L13" s="12" t="str">
        <x:v>YES</x:v>
      </x:c>
      <x:c r="M13" s="12" t="str">
        <x:v>YES</x:v>
      </x:c>
    </x:row>
    <x:row r="14">
      <x:c r="A14" s="12" t="n">
        <x:v>13</x:v>
      </x:c>
      <x:c r="B14" s="12" t="str">
        <x:v>KT049</x:v>
      </x:c>
      <x:c r="C14" s="12" t="str">
        <x:v>Mitigating Cold-Start Problems in Knowledge Tracing with Large Language Models</x:v>
      </x:c>
      <x:c r="D14" s="12" t="n">
        <x:v>2024</x:v>
      </x:c>
      <x:c r="E14" s="12" t="str">
        <x:v>CIKM</x:v>
      </x:c>
      <x:c r="F14" s="12" t="str">
        <x:v>PRIMARY_ADJACENT</x:v>
      </x:c>
      <x:c r="G14" s="12" t="str">
        <x:v>SPARSE_KT</x:v>
      </x:c>
      <x:c r="H14" s="12" t="str">
        <x:v>RQ4,RQ5</x:v>
      </x:c>
      <x:c r="I14" s="12" t="str">
        <x:v>P1</x:v>
      </x:c>
      <x:c r="J14" s="12" t="str">
        <x:v>PRIMARY_ADJACENT sparse/cold-start case; tests RQ4 contextual evidence without forcing Graph/SSL gateway.</x:v>
      </x:c>
      <x:c r="K14" s="12" t="str">
        <x:v>Adjacent sparse/cold-start; zero-train exposure; support counts; external semantics</x:v>
      </x:c>
      <x:c r="L14" s="12" t="str">
        <x:v>YES</x:v>
      </x:c>
      <x:c r="M14" s="12" t="str">
        <x:v>YES</x:v>
      </x:c>
    </x:row>
    <x:row r="15">
      <x:c r="A15" s="12" t="n">
        <x:v>14</x:v>
      </x:c>
      <x:c r="B15" s="12" t="str">
        <x:v>KT041</x:v>
      </x:c>
      <x:c r="C15" s="12" t="str">
        <x:v>Towards Robust Knowledge Tracing Models via k-Sparse Attention</x:v>
      </x:c>
      <x:c r="D15" s="12" t="n">
        <x:v>2023</x:v>
      </x:c>
      <x:c r="E15" s="12" t="str">
        <x:v>SIGIR</x:v>
      </x:c>
      <x:c r="F15" s="12" t="str">
        <x:v>BACKGROUND</x:v>
      </x:c>
      <x:c r="G15" s="12" t="str">
        <x:v>SPARSE_TERM_AMBIGUITY</x:v>
      </x:c>
      <x:c r="H15" s="12" t="str"/>
      <x:c r="I15" s="12" t="str">
        <x:v>P1</x:v>
      </x:c>
      <x:c r="J15" s="12" t="str">
        <x:v>Critical boundary case: k-sparse attention is not sparse-concept evidence.</x:v>
      </x:c>
      <x:c r="K15" s="12" t="str">
        <x:v>Sparse-attention ambiguity; sparse ontology boundary</x:v>
      </x:c>
      <x:c r="L15" s="12" t="str">
        <x:v>YES</x:v>
      </x:c>
      <x:c r="M15" s="12" t="str">
        <x:v>YES</x:v>
      </x:c>
    </x:row>
    <x:row r="16">
      <x:c r="A16" s="12" t="n">
        <x:v>15</x:v>
      </x:c>
      <x:c r="B16" s="12" t="str">
        <x:v>KT055</x:v>
      </x:c>
      <x:c r="C16" s="12" t="str">
        <x:v>GKT-CD: Make Cognitive Diagnosis Model Enhanced by Graph-Based Knowledge Tracing</x:v>
      </x:c>
      <x:c r="D16" s="12" t="n">
        <x:v>2021</x:v>
      </x:c>
      <x:c r="E16" s="12" t="str">
        <x:v>IJCNN</x:v>
      </x:c>
      <x:c r="F16" s="12" t="str">
        <x:v>EXCLUDE</x:v>
      </x:c>
      <x:c r="G16" s="12" t="str">
        <x:v>GRAPH_ADJACENT</x:v>
      </x:c>
      <x:c r="H16" s="12" t="str"/>
      <x:c r="I16" s="12" t="str">
        <x:v>P1</x:v>
      </x:c>
      <x:c r="J16" s="12" t="str">
        <x:v>Critical exclusion boundary: cognitive diagnosis enhanced by Graph-KT; tests KT-central-task eligibility.</x:v>
      </x:c>
      <x:c r="K16" s="12" t="str">
        <x:v>Task eligibility; cognitive diagnosis vs KT; exclusion logic</x:v>
      </x:c>
      <x:c r="L16" s="12" t="str">
        <x:v>YES</x:v>
      </x:c>
      <x:c r="M16" s="12" t="str">
        <x:v>YES</x:v>
      </x:c>
    </x:row>
  </x:sheetData>
  <x:conditionalFormatting sqref="F2:F16">
    <x:cfRule type="expression" dxfId="0" priority="1">
      <x:formula>F2="PRIMARY_CORE"</x:formula>
    </x:cfRule>
    <x:cfRule type="expression" dxfId="1" priority="2">
      <x:formula>F2="PRIMARY_ADJACENT"</x:formula>
    </x:cfRule>
    <x:cfRule type="expression" dxfId="2" priority="3">
      <x:formula>F2="BACKGROUND"</x:formula>
    </x:cfRule>
    <x:cfRule type="expression" dxfId="3" priority="4">
      <x:formula>F2="EXCLUDE"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7eeae7711a8424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6" hidden="0" customWidth="1"/>
    <x:col min="4" max="4" width="8" hidden="0" customWidth="1"/>
    <x:col min="5" max="5" width="22" hidden="0" customWidth="1"/>
    <x:col min="6" max="6" width="26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8" hidden="0" customWidth="1"/>
    <x:col min="15" max="15" width="18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16" hidden="0" customWidth="1"/>
    <x:col min="32" max="32" width="16" hidden="0" customWidth="1"/>
    <x:col min="33" max="33" width="16" hidden="0" customWidth="1"/>
    <x:col min="34" max="34" width="15" hidden="0" customWidth="1"/>
    <x:col min="35" max="35" width="15" hidden="0" customWidth="1"/>
    <x:col min="36" max="36" width="16" hidden="0" customWidth="1"/>
    <x:col min="37" max="37" width="16" hidden="0" customWidth="1"/>
    <x:col min="38" max="38" width="42" hidden="0" customWidth="1"/>
    <x:col min="39" max="39" width="42" hidden="0" customWidth="1"/>
  </x:cols>
  <x:sheetData>
    <x:row r="1">
      <x:c r="A1" s="5" t="str">
        <x:v>paper_id</x:v>
      </x:c>
      <x:c r="B1" s="5" t="str">
        <x:v>legacy_id</x:v>
      </x:c>
      <x:c r="C1" s="5" t="str">
        <x:v>title</x:v>
      </x:c>
      <x:c r="D1" s="5" t="str">
        <x:v>year</x:v>
      </x:c>
      <x:c r="E1" s="5" t="str">
        <x:v>venue</x:v>
      </x:c>
      <x:c r="F1" s="5" t="str">
        <x:v>doi_verified</x:v>
      </x:c>
      <x:c r="G1" s="5" t="str">
        <x:v>item_type</x:v>
      </x:c>
      <x:c r="H1" s="5" t="str">
        <x:v>peer_reviewed</x:v>
      </x:c>
      <x:c r="I1" s="5" t="str">
        <x:v>kt_central_task</x:v>
      </x:c>
      <x:c r="J1" s="5" t="str">
        <x:v>G_criterion</x:v>
      </x:c>
      <x:c r="K1" s="5" t="str">
        <x:v>S_criterion</x:v>
      </x:c>
      <x:c r="L1" s="5" t="str">
        <x:v>primary_gateway_pass</x:v>
      </x:c>
      <x:c r="M1" s="5" t="str">
        <x:v>corpus_status</x:v>
      </x:c>
      <x:c r="N1" s="5" t="str">
        <x:v>role_in_survey</x:v>
      </x:c>
      <x:c r="O1" s="5" t="str">
        <x:v>source_origin</x:v>
      </x:c>
      <x:c r="P1" s="5" t="str">
        <x:v>code_available</x:v>
      </x:c>
      <x:c r="Q1" s="5" t="str">
        <x:v>code_url</x:v>
      </x:c>
      <x:c r="R1" s="5" t="str">
        <x:v>data_available</x:v>
      </x:c>
      <x:c r="S1" s="5" t="str">
        <x:v>config_available</x:v>
      </x:c>
      <x:c r="T1" s="5" t="str">
        <x:v>seed_available</x:v>
      </x:c>
      <x:c r="U1" s="5" t="str">
        <x:v>environment_available</x:v>
      </x:c>
      <x:c r="V1" s="5" t="str">
        <x:v>artifact_archive_available</x:v>
      </x:c>
      <x:c r="W1" s="5" t="str">
        <x:v>QA1</x:v>
      </x:c>
      <x:c r="X1" s="5" t="str">
        <x:v>QA2</x:v>
      </x:c>
      <x:c r="Y1" s="5" t="str">
        <x:v>QA3</x:v>
      </x:c>
      <x:c r="Z1" s="5" t="str">
        <x:v>QA4</x:v>
      </x:c>
      <x:c r="AA1" s="5" t="str">
        <x:v>QA5</x:v>
      </x:c>
      <x:c r="AB1" s="5" t="str">
        <x:v>QA6</x:v>
      </x:c>
      <x:c r="AC1" s="5" t="str">
        <x:v>QA7</x:v>
      </x:c>
      <x:c r="AD1" s="5" t="str">
        <x:v>QA8</x:v>
      </x:c>
      <x:c r="AE1" s="5" t="str">
        <x:v>raw_quality_score</x:v>
      </x:c>
      <x:c r="AF1" s="5" t="str">
        <x:v>applicable_quality_max</x:v>
      </x:c>
      <x:c r="AG1" s="5" t="str">
        <x:v>normalized_quality</x:v>
      </x:c>
      <x:c r="AH1" s="5" t="str">
        <x:v>quality_tier</x:v>
      </x:c>
      <x:c r="AI1" s="5" t="str">
        <x:v>coder_id</x:v>
      </x:c>
      <x:c r="AJ1" s="5" t="str">
        <x:v>coder_confidence</x:v>
      </x:c>
      <x:c r="AK1" s="5" t="str">
        <x:v>evidence_locator</x:v>
      </x:c>
      <x:c r="AL1" s="5" t="str">
        <x:v>evidence_note</x:v>
      </x:c>
      <x:c r="AM1" s="5" t="str">
        <x:v>adjudication_status</x:v>
      </x:c>
    </x:row>
    <x:row r="2">
      <x:c r="A2" s="12" t="str">
        <x:v>PILOT_01</x:v>
      </x:c>
      <x:c r="B2" s="12" t="str">
        <x:v>KT004</x:v>
      </x:c>
      <x:c r="C2" s="12" t="str">
        <x:v>Graph-Based Knowledge Tracing: Modeling Student Proficiency Using Graph Neural Network</x:v>
      </x:c>
      <x:c r="D2" s="12" t="n">
        <x:v>2019</x:v>
      </x:c>
      <x:c r="E2" s="12" t="str">
        <x:v>IEEE/WIC/ACM WI</x:v>
      </x:c>
      <x:c r="F2" s="12" t="str"/>
      <x:c r="G2" s="12" t="str"/>
      <x:c r="H2" s="12" t="str"/>
      <x:c r="I2" s="12" t="str"/>
      <x:c r="J2" s="12" t="str"/>
      <x:c r="K2" s="12" t="str"/>
      <x:c r="L2" s="12" t="str">
        <x:f>IF(AND(I2="Y",OR(J2="Y",K2="Y")),"PASS","NO_PASS")</x:f>
        <x:v>NO_PASS</x:v>
      </x:c>
      <x:c r="M2" s="12" t="str">
        <x:v>PRIMARY_CORE</x:v>
      </x:c>
      <x:c r="N2" s="12" t="str"/>
      <x:c r="O2" s="12" t="str">
        <x:v>LEGACY_SEED</x:v>
      </x:c>
      <x:c r="P2" s="12" t="str"/>
      <x:c r="Q2" s="12" t="str"/>
      <x:c r="R2" s="12" t="str"/>
      <x:c r="S2" s="12" t="str"/>
      <x:c r="T2" s="12" t="str"/>
      <x:c r="U2" s="12" t="str"/>
      <x:c r="V2" s="12" t="str"/>
      <x:c r="W2" s="12" t="str"/>
      <x:c r="X2" s="12" t="str"/>
      <x:c r="Y2" s="12" t="str"/>
      <x:c r="Z2" s="12" t="str"/>
      <x:c r="AA2" s="12" t="str"/>
      <x:c r="AB2" s="12" t="str"/>
      <x:c r="AC2" s="12" t="str"/>
      <x:c r="AD2" s="12" t="str"/>
      <x:c r="AE2" s="12" t="n">
        <x:f>SUM(W2:AD2)</x:f>
        <x:v>0</x:v>
      </x:c>
      <x:c r="AF2" s="12" t="n">
        <x:f>COUNT(W2:AD2)*2</x:f>
        <x:v>0</x:v>
      </x:c>
      <x:c r="AG2" s="14" t="str">
        <x:f>IF(AF2=0,"",AE2/AF2)</x:f>
      </x:c>
      <x:c r="AH2" s="12" t="str">
        <x:f>IF(AG2="","",IF(AG2&gt;=0.8,"HIGH",IF(AG2&gt;=0.55,"MODERATE","LIMITED")))</x:f>
      </x:c>
      <x:c r="AI2" s="12" t="str"/>
      <x:c r="AJ2" s="12" t="str"/>
      <x:c r="AK2" s="12" t="str"/>
      <x:c r="AL2" s="12" t="str"/>
      <x:c r="AM2" s="12" t="str">
        <x:v>NOT_NEEDED</x:v>
      </x:c>
    </x:row>
    <x:row r="3">
      <x:c r="A3" s="12" t="str">
        <x:v>PILOT_02</x:v>
      </x:c>
      <x:c r="B3" s="12" t="str">
        <x:v>KT010</x:v>
      </x:c>
      <x:c r="C3" s="12" t="str">
        <x:v>GIKT: A Graph-Based Interaction Model for Knowledge Tracing</x:v>
      </x:c>
      <x:c r="D3" s="12" t="n">
        <x:v>2021</x:v>
      </x:c>
      <x:c r="E3" s="12" t="str">
        <x:v>ECML-PKDD</x:v>
      </x:c>
      <x:c r="F3" s="12" t="str"/>
      <x:c r="G3" s="12" t="str"/>
      <x:c r="H3" s="12" t="str"/>
      <x:c r="I3" s="12" t="str"/>
      <x:c r="J3" s="12" t="str"/>
      <x:c r="K3" s="12" t="str"/>
      <x:c r="L3" s="12" t="str">
        <x:f>IF(AND(I3="Y",OR(J3="Y",K3="Y")),"PASS","NO_PASS")</x:f>
        <x:v>NO_PASS</x:v>
      </x:c>
      <x:c r="M3" s="12" t="str">
        <x:v>PRIMARY_CORE</x:v>
      </x:c>
      <x:c r="N3" s="12" t="str"/>
      <x:c r="O3" s="12" t="str">
        <x:v>LEGACY_SEED</x:v>
      </x:c>
      <x:c r="P3" s="12" t="str"/>
      <x:c r="Q3" s="12" t="str"/>
      <x:c r="R3" s="12" t="str"/>
      <x:c r="S3" s="12" t="str"/>
      <x:c r="T3" s="12" t="str"/>
      <x:c r="U3" s="12" t="str"/>
      <x:c r="V3" s="12" t="str"/>
      <x:c r="W3" s="12" t="str"/>
      <x:c r="X3" s="12" t="str"/>
      <x:c r="Y3" s="12" t="str"/>
      <x:c r="Z3" s="12" t="str"/>
      <x:c r="AA3" s="12" t="str"/>
      <x:c r="AB3" s="12" t="str"/>
      <x:c r="AC3" s="12" t="str"/>
      <x:c r="AD3" s="12" t="str"/>
      <x:c r="AE3" s="12" t="n">
        <x:f>SUM(W3:AD3)</x:f>
        <x:v>0</x:v>
      </x:c>
      <x:c r="AF3" s="12" t="n">
        <x:f>COUNT(W3:AD3)*2</x:f>
        <x:v>0</x:v>
      </x:c>
      <x:c r="AG3" s="14" t="str">
        <x:f>IF(AF3=0,"",AE3/AF3)</x:f>
      </x:c>
      <x:c r="AH3" s="12" t="str">
        <x:f>IF(AG3="","",IF(AG3&gt;=0.8,"HIGH",IF(AG3&gt;=0.55,"MODERATE","LIMITED")))</x:f>
      </x:c>
      <x:c r="AI3" s="12" t="str"/>
      <x:c r="AJ3" s="12" t="str"/>
      <x:c r="AK3" s="12" t="str"/>
      <x:c r="AL3" s="12" t="str"/>
      <x:c r="AM3" s="12" t="str">
        <x:v>NOT_NEEDED</x:v>
      </x:c>
    </x:row>
    <x:row r="4">
      <x:c r="A4" s="12" t="str">
        <x:v>PILOT_03</x:v>
      </x:c>
      <x:c r="B4" s="12" t="str">
        <x:v>KT014</x:v>
      </x:c>
      <x:c r="C4" s="12" t="str">
        <x:v>Prerequisite-Driven Deep Knowledge Tracing</x:v>
      </x:c>
      <x:c r="D4" s="12" t="n">
        <x:v>2018</x:v>
      </x:c>
      <x:c r="E4" s="12" t="str">
        <x:v>ICDM</x:v>
      </x:c>
      <x:c r="F4" s="12" t="str"/>
      <x:c r="G4" s="12" t="str"/>
      <x:c r="H4" s="12" t="str"/>
      <x:c r="I4" s="12" t="str"/>
      <x:c r="J4" s="12" t="str"/>
      <x:c r="K4" s="12" t="str"/>
      <x:c r="L4" s="12" t="str">
        <x:f>IF(AND(I4="Y",OR(J4="Y",K4="Y")),"PASS","NO_PASS")</x:f>
        <x:v>NO_PASS</x:v>
      </x:c>
      <x:c r="M4" s="12" t="str">
        <x:v>PRIMARY_CORE</x:v>
      </x:c>
      <x:c r="N4" s="12" t="str"/>
      <x:c r="O4" s="12" t="str">
        <x:v>LEGACY_SEED</x:v>
      </x:c>
      <x:c r="P4" s="12" t="str"/>
      <x:c r="Q4" s="12" t="str"/>
      <x:c r="R4" s="12" t="str"/>
      <x:c r="S4" s="12" t="str"/>
      <x:c r="T4" s="12" t="str"/>
      <x:c r="U4" s="12" t="str"/>
      <x:c r="V4" s="12" t="str"/>
      <x:c r="W4" s="12" t="str"/>
      <x:c r="X4" s="12" t="str"/>
      <x:c r="Y4" s="12" t="str"/>
      <x:c r="Z4" s="12" t="str"/>
      <x:c r="AA4" s="12" t="str"/>
      <x:c r="AB4" s="12" t="str"/>
      <x:c r="AC4" s="12" t="str"/>
      <x:c r="AD4" s="12" t="str"/>
      <x:c r="AE4" s="12" t="n">
        <x:f>SUM(W4:AD4)</x:f>
        <x:v>0</x:v>
      </x:c>
      <x:c r="AF4" s="12" t="n">
        <x:f>COUNT(W4:AD4)*2</x:f>
        <x:v>0</x:v>
      </x:c>
      <x:c r="AG4" s="14" t="str">
        <x:f>IF(AF4=0,"",AE4/AF4)</x:f>
      </x:c>
      <x:c r="AH4" s="12" t="str">
        <x:f>IF(AG4="","",IF(AG4&gt;=0.8,"HIGH",IF(AG4&gt;=0.55,"MODERATE","LIMITED")))</x:f>
      </x:c>
      <x:c r="AI4" s="12" t="str"/>
      <x:c r="AJ4" s="12" t="str"/>
      <x:c r="AK4" s="12" t="str"/>
      <x:c r="AL4" s="12" t="str"/>
      <x:c r="AM4" s="12" t="str">
        <x:v>NOT_NEEDED</x:v>
      </x:c>
    </x:row>
    <x:row r="5">
      <x:c r="A5" s="12" t="str">
        <x:v>PILOT_04</x:v>
      </x:c>
      <x:c r="B5" s="12" t="str">
        <x:v>KT026</x:v>
      </x:c>
      <x:c r="C5" s="12" t="str">
        <x:v>Improving Knowledge Tracing via Pre-Training Question Embeddings</x:v>
      </x:c>
      <x:c r="D5" s="12" t="n">
        <x:v>2020</x:v>
      </x:c>
      <x:c r="E5" s="12" t="str">
        <x:v>IJCAI</x:v>
      </x:c>
      <x:c r="F5" s="12" t="str"/>
      <x:c r="G5" s="12" t="str"/>
      <x:c r="H5" s="12" t="str"/>
      <x:c r="I5" s="12" t="str"/>
      <x:c r="J5" s="12" t="str"/>
      <x:c r="K5" s="12" t="str"/>
      <x:c r="L5" s="12" t="str">
        <x:f>IF(AND(I5="Y",OR(J5="Y",K5="Y")),"PASS","NO_PASS")</x:f>
        <x:v>NO_PASS</x:v>
      </x:c>
      <x:c r="M5" s="12" t="str">
        <x:v>PRIMARY_CORE</x:v>
      </x:c>
      <x:c r="N5" s="12" t="str"/>
      <x:c r="O5" s="12" t="str">
        <x:v>LEGACY_SEED</x:v>
      </x:c>
      <x:c r="P5" s="12" t="str"/>
      <x:c r="Q5" s="12" t="str"/>
      <x:c r="R5" s="12" t="str"/>
      <x:c r="S5" s="12" t="str"/>
      <x:c r="T5" s="12" t="str"/>
      <x:c r="U5" s="12" t="str"/>
      <x:c r="V5" s="12" t="str"/>
      <x:c r="W5" s="12" t="str"/>
      <x:c r="X5" s="12" t="str"/>
      <x:c r="Y5" s="12" t="str"/>
      <x:c r="Z5" s="12" t="str"/>
      <x:c r="AA5" s="12" t="str"/>
      <x:c r="AB5" s="12" t="str"/>
      <x:c r="AC5" s="12" t="str"/>
      <x:c r="AD5" s="12" t="str"/>
      <x:c r="AE5" s="12" t="n">
        <x:f>SUM(W5:AD5)</x:f>
        <x:v>0</x:v>
      </x:c>
      <x:c r="AF5" s="12" t="n">
        <x:f>COUNT(W5:AD5)*2</x:f>
        <x:v>0</x:v>
      </x:c>
      <x:c r="AG5" s="14" t="str">
        <x:f>IF(AF5=0,"",AE5/AF5)</x:f>
      </x:c>
      <x:c r="AH5" s="12" t="str">
        <x:f>IF(AG5="","",IF(AG5&gt;=0.8,"HIGH",IF(AG5&gt;=0.55,"MODERATE","LIMITED")))</x:f>
      </x:c>
      <x:c r="AI5" s="12" t="str"/>
      <x:c r="AJ5" s="12" t="str"/>
      <x:c r="AK5" s="12" t="str"/>
      <x:c r="AL5" s="12" t="str"/>
      <x:c r="AM5" s="12" t="str">
        <x:v>NOT_NEEDED</x:v>
      </x:c>
    </x:row>
    <x:row r="6">
      <x:c r="A6" s="12" t="str">
        <x:v>PILOT_05</x:v>
      </x:c>
      <x:c r="B6" s="12" t="str">
        <x:v>KT035</x:v>
      </x:c>
      <x:c r="C6" s="12" t="str">
        <x:v>HHSKT: A Learner–Question Interactions Based Heterogeneous Graph Neural Network Model for Knowledge Tracing</x:v>
      </x:c>
      <x:c r="D6" s="12" t="n">
        <x:v>2023</x:v>
      </x:c>
      <x:c r="E6" s="12" t="str">
        <x:v>Expert Systems with Applications</x:v>
      </x:c>
      <x:c r="F6" s="12" t="str"/>
      <x:c r="G6" s="12" t="str"/>
      <x:c r="H6" s="12" t="str"/>
      <x:c r="I6" s="12" t="str"/>
      <x:c r="J6" s="12" t="str"/>
      <x:c r="K6" s="12" t="str"/>
      <x:c r="L6" s="12" t="str">
        <x:f>IF(AND(I6="Y",OR(J6="Y",K6="Y")),"PASS","NO_PASS")</x:f>
        <x:v>NO_PASS</x:v>
      </x:c>
      <x:c r="M6" s="12" t="str">
        <x:v>PRIMARY_CORE</x:v>
      </x:c>
      <x:c r="N6" s="12" t="str"/>
      <x:c r="O6" s="12" t="str">
        <x:v>LEGACY_SEED</x:v>
      </x:c>
      <x:c r="P6" s="12" t="str"/>
      <x:c r="Q6" s="12" t="str"/>
      <x:c r="R6" s="12" t="str"/>
      <x:c r="S6" s="12" t="str"/>
      <x:c r="T6" s="12" t="str"/>
      <x:c r="U6" s="12" t="str"/>
      <x:c r="V6" s="12" t="str"/>
      <x:c r="W6" s="12" t="str"/>
      <x:c r="X6" s="12" t="str"/>
      <x:c r="Y6" s="12" t="str"/>
      <x:c r="Z6" s="12" t="str"/>
      <x:c r="AA6" s="12" t="str"/>
      <x:c r="AB6" s="12" t="str"/>
      <x:c r="AC6" s="12" t="str"/>
      <x:c r="AD6" s="12" t="str"/>
      <x:c r="AE6" s="12" t="n">
        <x:f>SUM(W6:AD6)</x:f>
        <x:v>0</x:v>
      </x:c>
      <x:c r="AF6" s="12" t="n">
        <x:f>COUNT(W6:AD6)*2</x:f>
        <x:v>0</x:v>
      </x:c>
      <x:c r="AG6" s="14" t="str">
        <x:f>IF(AF6=0,"",AE6/AF6)</x:f>
      </x:c>
      <x:c r="AH6" s="12" t="str">
        <x:f>IF(AG6="","",IF(AG6&gt;=0.8,"HIGH",IF(AG6&gt;=0.55,"MODERATE","LIMITED")))</x:f>
      </x:c>
      <x:c r="AI6" s="12" t="str"/>
      <x:c r="AJ6" s="12" t="str"/>
      <x:c r="AK6" s="12" t="str"/>
      <x:c r="AL6" s="12" t="str"/>
      <x:c r="AM6" s="12" t="str">
        <x:v>NOT_NEEDED</x:v>
      </x:c>
    </x:row>
    <x:row r="7">
      <x:c r="A7" s="12" t="str">
        <x:v>PILOT_06</x:v>
      </x:c>
      <x:c r="B7" s="12" t="str">
        <x:v>KT037</x:v>
      </x:c>
      <x:c r="C7" s="12" t="str">
        <x:v>CMKT: Concept Map Driven Knowledge Tracing</x:v>
      </x:c>
      <x:c r="D7" s="12" t="n">
        <x:v>2022</x:v>
      </x:c>
      <x:c r="E7" s="12" t="str">
        <x:v>IEEE Transactions on Learning Technologies</x:v>
      </x:c>
      <x:c r="F7" s="12" t="str"/>
      <x:c r="G7" s="12" t="str"/>
      <x:c r="H7" s="12" t="str"/>
      <x:c r="I7" s="12" t="str"/>
      <x:c r="J7" s="12" t="str"/>
      <x:c r="K7" s="12" t="str"/>
      <x:c r="L7" s="12" t="str">
        <x:f>IF(AND(I7="Y",OR(J7="Y",K7="Y")),"PASS","NO_PASS")</x:f>
        <x:v>NO_PASS</x:v>
      </x:c>
      <x:c r="M7" s="12" t="str">
        <x:v>PRIMARY_CORE</x:v>
      </x:c>
      <x:c r="N7" s="12" t="str"/>
      <x:c r="O7" s="12" t="str">
        <x:v>LEGACY_SEED</x:v>
      </x:c>
      <x:c r="P7" s="12" t="str"/>
      <x:c r="Q7" s="12" t="str"/>
      <x:c r="R7" s="12" t="str"/>
      <x:c r="S7" s="12" t="str"/>
      <x:c r="T7" s="12" t="str"/>
      <x:c r="U7" s="12" t="str"/>
      <x:c r="V7" s="12" t="str"/>
      <x:c r="W7" s="12" t="str"/>
      <x:c r="X7" s="12" t="str"/>
      <x:c r="Y7" s="12" t="str"/>
      <x:c r="Z7" s="12" t="str"/>
      <x:c r="AA7" s="12" t="str"/>
      <x:c r="AB7" s="12" t="str"/>
      <x:c r="AC7" s="12" t="str"/>
      <x:c r="AD7" s="12" t="str"/>
      <x:c r="AE7" s="12" t="n">
        <x:f>SUM(W7:AD7)</x:f>
        <x:v>0</x:v>
      </x:c>
      <x:c r="AF7" s="12" t="n">
        <x:f>COUNT(W7:AD7)*2</x:f>
        <x:v>0</x:v>
      </x:c>
      <x:c r="AG7" s="14" t="str">
        <x:f>IF(AF7=0,"",AE7/AF7)</x:f>
      </x:c>
      <x:c r="AH7" s="12" t="str">
        <x:f>IF(AG7="","",IF(AG7&gt;=0.8,"HIGH",IF(AG7&gt;=0.55,"MODERATE","LIMITED")))</x:f>
      </x:c>
      <x:c r="AI7" s="12" t="str"/>
      <x:c r="AJ7" s="12" t="str"/>
      <x:c r="AK7" s="12" t="str"/>
      <x:c r="AL7" s="12" t="str"/>
      <x:c r="AM7" s="12" t="str">
        <x:v>NOT_NEEDED</x:v>
      </x:c>
    </x:row>
    <x:row r="8">
      <x:c r="A8" s="12" t="str">
        <x:v>PILOT_07</x:v>
      </x:c>
      <x:c r="B8" s="12" t="str">
        <x:v>KT038</x:v>
      </x:c>
      <x:c r="C8" s="12" t="str">
        <x:v>DyGKT: Dynamic Graph Learning for Knowledge Tracing</x:v>
      </x:c>
      <x:c r="D8" s="12" t="n">
        <x:v>2024</x:v>
      </x:c>
      <x:c r="E8" s="12" t="str">
        <x:v>KDD</x:v>
      </x:c>
      <x:c r="F8" s="12" t="str"/>
      <x:c r="G8" s="12" t="str"/>
      <x:c r="H8" s="12" t="str"/>
      <x:c r="I8" s="12" t="str"/>
      <x:c r="J8" s="12" t="str"/>
      <x:c r="K8" s="12" t="str"/>
      <x:c r="L8" s="12" t="str">
        <x:f>IF(AND(I8="Y",OR(J8="Y",K8="Y")),"PASS","NO_PASS")</x:f>
        <x:v>NO_PASS</x:v>
      </x:c>
      <x:c r="M8" s="12" t="str">
        <x:v>PRIMARY_CORE</x:v>
      </x:c>
      <x:c r="N8" s="12" t="str"/>
      <x:c r="O8" s="12" t="str">
        <x:v>LEGACY_SEED</x:v>
      </x:c>
      <x:c r="P8" s="12" t="str"/>
      <x:c r="Q8" s="12" t="str"/>
      <x:c r="R8" s="12" t="str"/>
      <x:c r="S8" s="12" t="str"/>
      <x:c r="T8" s="12" t="str"/>
      <x:c r="U8" s="12" t="str"/>
      <x:c r="V8" s="12" t="str"/>
      <x:c r="W8" s="12" t="str"/>
      <x:c r="X8" s="12" t="str"/>
      <x:c r="Y8" s="12" t="str"/>
      <x:c r="Z8" s="12" t="str"/>
      <x:c r="AA8" s="12" t="str"/>
      <x:c r="AB8" s="12" t="str"/>
      <x:c r="AC8" s="12" t="str"/>
      <x:c r="AD8" s="12" t="str"/>
      <x:c r="AE8" s="12" t="n">
        <x:f>SUM(W8:AD8)</x:f>
        <x:v>0</x:v>
      </x:c>
      <x:c r="AF8" s="12" t="n">
        <x:f>COUNT(W8:AD8)*2</x:f>
        <x:v>0</x:v>
      </x:c>
      <x:c r="AG8" s="14" t="str">
        <x:f>IF(AF8=0,"",AE8/AF8)</x:f>
      </x:c>
      <x:c r="AH8" s="12" t="str">
        <x:f>IF(AG8="","",IF(AG8&gt;=0.8,"HIGH",IF(AG8&gt;=0.55,"MODERATE","LIMITED")))</x:f>
      </x:c>
      <x:c r="AI8" s="12" t="str"/>
      <x:c r="AJ8" s="12" t="str"/>
      <x:c r="AK8" s="12" t="str"/>
      <x:c r="AL8" s="12" t="str"/>
      <x:c r="AM8" s="12" t="str">
        <x:v>NOT_NEEDED</x:v>
      </x:c>
    </x:row>
    <x:row r="9">
      <x:c r="A9" s="12" t="str">
        <x:v>PILOT_08</x:v>
      </x:c>
      <x:c r="B9" s="12" t="str">
        <x:v>KT039</x:v>
      </x:c>
      <x:c r="C9" s="12" t="str">
        <x:v>Contrastive Learning for Knowledge Tracing</x:v>
      </x:c>
      <x:c r="D9" s="12" t="n">
        <x:v>2022</x:v>
      </x:c>
      <x:c r="E9" s="12" t="str">
        <x:v>The Web Conference</x:v>
      </x:c>
      <x:c r="F9" s="12" t="str"/>
      <x:c r="G9" s="12" t="str"/>
      <x:c r="H9" s="12" t="str"/>
      <x:c r="I9" s="12" t="str"/>
      <x:c r="J9" s="12" t="str"/>
      <x:c r="K9" s="12" t="str"/>
      <x:c r="L9" s="12" t="str">
        <x:f>IF(AND(I9="Y",OR(J9="Y",K9="Y")),"PASS","NO_PASS")</x:f>
        <x:v>NO_PASS</x:v>
      </x:c>
      <x:c r="M9" s="12" t="str">
        <x:v>PRIMARY_CORE</x:v>
      </x:c>
      <x:c r="N9" s="12" t="str"/>
      <x:c r="O9" s="12" t="str">
        <x:v>LEGACY_SEED</x:v>
      </x:c>
      <x:c r="P9" s="12" t="str"/>
      <x:c r="Q9" s="12" t="str"/>
      <x:c r="R9" s="12" t="str"/>
      <x:c r="S9" s="12" t="str"/>
      <x:c r="T9" s="12" t="str"/>
      <x:c r="U9" s="12" t="str"/>
      <x:c r="V9" s="12" t="str"/>
      <x:c r="W9" s="12" t="str"/>
      <x:c r="X9" s="12" t="str"/>
      <x:c r="Y9" s="12" t="str"/>
      <x:c r="Z9" s="12" t="str"/>
      <x:c r="AA9" s="12" t="str"/>
      <x:c r="AB9" s="12" t="str"/>
      <x:c r="AC9" s="12" t="str"/>
      <x:c r="AD9" s="12" t="str"/>
      <x:c r="AE9" s="12" t="n">
        <x:f>SUM(W9:AD9)</x:f>
        <x:v>0</x:v>
      </x:c>
      <x:c r="AF9" s="12" t="n">
        <x:f>COUNT(W9:AD9)*2</x:f>
        <x:v>0</x:v>
      </x:c>
      <x:c r="AG9" s="14" t="str">
        <x:f>IF(AF9=0,"",AE9/AF9)</x:f>
      </x:c>
      <x:c r="AH9" s="12" t="str">
        <x:f>IF(AG9="","",IF(AG9&gt;=0.8,"HIGH",IF(AG9&gt;=0.55,"MODERATE","LIMITED")))</x:f>
      </x:c>
      <x:c r="AI9" s="12" t="str"/>
      <x:c r="AJ9" s="12" t="str"/>
      <x:c r="AK9" s="12" t="str"/>
      <x:c r="AL9" s="12" t="str"/>
      <x:c r="AM9" s="12" t="str">
        <x:v>NOT_NEEDED</x:v>
      </x:c>
    </x:row>
    <x:row r="10">
      <x:c r="A10" s="12" t="str">
        <x:v>PILOT_09</x:v>
      </x:c>
      <x:c r="B10" s="12" t="str">
        <x:v>KT011</x:v>
      </x:c>
      <x:c r="C10" s="12" t="str">
        <x:v>Bi-CLKT: Bi-Graph Contrastive Learning Based Knowledge Tracing</x:v>
      </x:c>
      <x:c r="D10" s="12" t="n">
        <x:v>2022</x:v>
      </x:c>
      <x:c r="E10" s="12" t="str">
        <x:v>Knowledge-Based Systems</x:v>
      </x:c>
      <x:c r="F10" s="12" t="str"/>
      <x:c r="G10" s="12" t="str"/>
      <x:c r="H10" s="12" t="str"/>
      <x:c r="I10" s="12" t="str"/>
      <x:c r="J10" s="12" t="str"/>
      <x:c r="K10" s="12" t="str"/>
      <x:c r="L10" s="12" t="str">
        <x:f>IF(AND(I10="Y",OR(J10="Y",K10="Y")),"PASS","NO_PASS")</x:f>
        <x:v>NO_PASS</x:v>
      </x:c>
      <x:c r="M10" s="12" t="str">
        <x:v>PRIMARY_CORE</x:v>
      </x:c>
      <x:c r="N10" s="12" t="str"/>
      <x:c r="O10" s="12" t="str">
        <x:v>LEGACY_SEED</x:v>
      </x:c>
      <x:c r="P10" s="12" t="str"/>
      <x:c r="Q10" s="12" t="str"/>
      <x:c r="R10" s="12" t="str"/>
      <x:c r="S10" s="12" t="str"/>
      <x:c r="T10" s="12" t="str"/>
      <x:c r="U10" s="12" t="str"/>
      <x:c r="V10" s="12" t="str"/>
      <x:c r="W10" s="12" t="str"/>
      <x:c r="X10" s="12" t="str"/>
      <x:c r="Y10" s="12" t="str"/>
      <x:c r="Z10" s="12" t="str"/>
      <x:c r="AA10" s="12" t="str"/>
      <x:c r="AB10" s="12" t="str"/>
      <x:c r="AC10" s="12" t="str"/>
      <x:c r="AD10" s="12" t="str"/>
      <x:c r="AE10" s="12" t="n">
        <x:f>SUM(W10:AD10)</x:f>
        <x:v>0</x:v>
      </x:c>
      <x:c r="AF10" s="12" t="n">
        <x:f>COUNT(W10:AD10)*2</x:f>
        <x:v>0</x:v>
      </x:c>
      <x:c r="AG10" s="14" t="str">
        <x:f>IF(AF10=0,"",AE10/AF10)</x:f>
      </x:c>
      <x:c r="AH10" s="12" t="str">
        <x:f>IF(AG10="","",IF(AG10&gt;=0.8,"HIGH",IF(AG10&gt;=0.55,"MODERATE","LIMITED")))</x:f>
      </x:c>
      <x:c r="AI10" s="12" t="str"/>
      <x:c r="AJ10" s="12" t="str"/>
      <x:c r="AK10" s="12" t="str"/>
      <x:c r="AL10" s="12" t="str"/>
      <x:c r="AM10" s="12" t="str">
        <x:v>NOT_NEEDED</x:v>
      </x:c>
    </x:row>
    <x:row r="11">
      <x:c r="A11" s="12" t="str">
        <x:v>PILOT_10</x:v>
      </x:c>
      <x:c r="B11" s="12" t="str">
        <x:v>KT042</x:v>
      </x:c>
      <x:c r="C11" s="12" t="str">
        <x:v>Self-Supervised Heterogeneous Hypergraph Network for Knowledge Tracing</x:v>
      </x:c>
      <x:c r="D11" s="12" t="n">
        <x:v>2023</x:v>
      </x:c>
      <x:c r="E11" s="12" t="str">
        <x:v>Information Sciences</x:v>
      </x:c>
      <x:c r="F11" s="12" t="str"/>
      <x:c r="G11" s="12" t="str"/>
      <x:c r="H11" s="12" t="str"/>
      <x:c r="I11" s="12" t="str"/>
      <x:c r="J11" s="12" t="str"/>
      <x:c r="K11" s="12" t="str"/>
      <x:c r="L11" s="12" t="str">
        <x:f>IF(AND(I11="Y",OR(J11="Y",K11="Y")),"PASS","NO_PASS")</x:f>
        <x:v>NO_PASS</x:v>
      </x:c>
      <x:c r="M11" s="12" t="str">
        <x:v>PRIMARY_CORE</x:v>
      </x:c>
      <x:c r="N11" s="12" t="str"/>
      <x:c r="O11" s="12" t="str">
        <x:v>LEGACY_SEED</x:v>
      </x:c>
      <x:c r="P11" s="12" t="str"/>
      <x:c r="Q11" s="12" t="str"/>
      <x:c r="R11" s="12" t="str"/>
      <x:c r="S11" s="12" t="str"/>
      <x:c r="T11" s="12" t="str"/>
      <x:c r="U11" s="12" t="str"/>
      <x:c r="V11" s="12" t="str"/>
      <x:c r="W11" s="12" t="str"/>
      <x:c r="X11" s="12" t="str"/>
      <x:c r="Y11" s="12" t="str"/>
      <x:c r="Z11" s="12" t="str"/>
      <x:c r="AA11" s="12" t="str"/>
      <x:c r="AB11" s="12" t="str"/>
      <x:c r="AC11" s="12" t="str"/>
      <x:c r="AD11" s="12" t="str"/>
      <x:c r="AE11" s="12" t="n">
        <x:f>SUM(W11:AD11)</x:f>
        <x:v>0</x:v>
      </x:c>
      <x:c r="AF11" s="12" t="n">
        <x:f>COUNT(W11:AD11)*2</x:f>
        <x:v>0</x:v>
      </x:c>
      <x:c r="AG11" s="14" t="str">
        <x:f>IF(AF11=0,"",AE11/AF11)</x:f>
      </x:c>
      <x:c r="AH11" s="12" t="str">
        <x:f>IF(AG11="","",IF(AG11&gt;=0.8,"HIGH",IF(AG11&gt;=0.55,"MODERATE","LIMITED")))</x:f>
      </x:c>
      <x:c r="AI11" s="12" t="str"/>
      <x:c r="AJ11" s="12" t="str"/>
      <x:c r="AK11" s="12" t="str"/>
      <x:c r="AL11" s="12" t="str"/>
      <x:c r="AM11" s="12" t="str">
        <x:v>NOT_NEEDED</x:v>
      </x:c>
    </x:row>
    <x:row r="12">
      <x:c r="A12" s="12" t="str">
        <x:v>PILOT_11</x:v>
      </x:c>
      <x:c r="B12" s="12" t="str">
        <x:v>KT066</x:v>
      </x:c>
      <x:c r="C12" s="12" t="str">
        <x:v>Dual-Channel Adaptive Scale Hypergraph Encoders With Cross-View Contrastive Learning for Knowledge Tracing</x:v>
      </x:c>
      <x:c r="D12" s="12" t="n">
        <x:v>2025</x:v>
      </x:c>
      <x:c r="E12" s="12" t="str">
        <x:v>IEEE Transactions on Neural Networks and Learning Systems</x:v>
      </x:c>
      <x:c r="F12" s="12" t="str"/>
      <x:c r="G12" s="12" t="str"/>
      <x:c r="H12" s="12" t="str"/>
      <x:c r="I12" s="12" t="str"/>
      <x:c r="J12" s="12" t="str"/>
      <x:c r="K12" s="12" t="str"/>
      <x:c r="L12" s="12" t="str">
        <x:f>IF(AND(I12="Y",OR(J12="Y",K12="Y")),"PASS","NO_PASS")</x:f>
        <x:v>NO_PASS</x:v>
      </x:c>
      <x:c r="M12" s="12" t="str">
        <x:v>PRIMARY_CORE</x:v>
      </x:c>
      <x:c r="N12" s="12" t="str"/>
      <x:c r="O12" s="12" t="str">
        <x:v>LEGACY_SEED</x:v>
      </x:c>
      <x:c r="P12" s="12" t="str"/>
      <x:c r="Q12" s="12" t="str"/>
      <x:c r="R12" s="12" t="str"/>
      <x:c r="S12" s="12" t="str"/>
      <x:c r="T12" s="12" t="str"/>
      <x:c r="U12" s="12" t="str"/>
      <x:c r="V12" s="12" t="str"/>
      <x:c r="W12" s="12" t="str"/>
      <x:c r="X12" s="12" t="str"/>
      <x:c r="Y12" s="12" t="str"/>
      <x:c r="Z12" s="12" t="str"/>
      <x:c r="AA12" s="12" t="str"/>
      <x:c r="AB12" s="12" t="str"/>
      <x:c r="AC12" s="12" t="str"/>
      <x:c r="AD12" s="12" t="str"/>
      <x:c r="AE12" s="12" t="n">
        <x:f>SUM(W12:AD12)</x:f>
        <x:v>0</x:v>
      </x:c>
      <x:c r="AF12" s="12" t="n">
        <x:f>COUNT(W12:AD12)*2</x:f>
        <x:v>0</x:v>
      </x:c>
      <x:c r="AG12" s="14" t="str">
        <x:f>IF(AF12=0,"",AE12/AF12)</x:f>
      </x:c>
      <x:c r="AH12" s="12" t="str">
        <x:f>IF(AG12="","",IF(AG12&gt;=0.8,"HIGH",IF(AG12&gt;=0.55,"MODERATE","LIMITED")))</x:f>
      </x:c>
      <x:c r="AI12" s="12" t="str"/>
      <x:c r="AJ12" s="12" t="str"/>
      <x:c r="AK12" s="12" t="str"/>
      <x:c r="AL12" s="12" t="str"/>
      <x:c r="AM12" s="12" t="str">
        <x:v>NOT_NEEDED</x:v>
      </x:c>
    </x:row>
    <x:row r="13">
      <x:c r="A13" s="12" t="str">
        <x:v>PILOT_12</x:v>
      </x:c>
      <x:c r="B13" s="12" t="str">
        <x:v>KT044</x:v>
      </x:c>
      <x:c r="C13" s="12" t="str">
        <x:v>SINKT: A Structure-Aware Inductive Knowledge Tracing Model with Large Language Model</x:v>
      </x:c>
      <x:c r="D13" s="12" t="n">
        <x:v>2024</x:v>
      </x:c>
      <x:c r="E13" s="12" t="str">
        <x:v>CIKM</x:v>
      </x:c>
      <x:c r="F13" s="12" t="str"/>
      <x:c r="G13" s="12" t="str"/>
      <x:c r="H13" s="12" t="str"/>
      <x:c r="I13" s="12" t="str"/>
      <x:c r="J13" s="12" t="str"/>
      <x:c r="K13" s="12" t="str"/>
      <x:c r="L13" s="12" t="str">
        <x:f>IF(AND(I13="Y",OR(J13="Y",K13="Y")),"PASS","NO_PASS")</x:f>
        <x:v>NO_PASS</x:v>
      </x:c>
      <x:c r="M13" s="12" t="str">
        <x:v>PRIMARY_CORE</x:v>
      </x:c>
      <x:c r="N13" s="12" t="str"/>
      <x:c r="O13" s="12" t="str">
        <x:v>LEGACY_SEED</x:v>
      </x:c>
      <x:c r="P13" s="12" t="str"/>
      <x:c r="Q13" s="12" t="str"/>
      <x:c r="R13" s="12" t="str"/>
      <x:c r="S13" s="12" t="str"/>
      <x:c r="T13" s="12" t="str"/>
      <x:c r="U13" s="12" t="str"/>
      <x:c r="V13" s="12" t="str"/>
      <x:c r="W13" s="12" t="str"/>
      <x:c r="X13" s="12" t="str"/>
      <x:c r="Y13" s="12" t="str"/>
      <x:c r="Z13" s="12" t="str"/>
      <x:c r="AA13" s="12" t="str"/>
      <x:c r="AB13" s="12" t="str"/>
      <x:c r="AC13" s="12" t="str"/>
      <x:c r="AD13" s="12" t="str"/>
      <x:c r="AE13" s="12" t="n">
        <x:f>SUM(W13:AD13)</x:f>
        <x:v>0</x:v>
      </x:c>
      <x:c r="AF13" s="12" t="n">
        <x:f>COUNT(W13:AD13)*2</x:f>
        <x:v>0</x:v>
      </x:c>
      <x:c r="AG13" s="14" t="str">
        <x:f>IF(AF13=0,"",AE13/AF13)</x:f>
      </x:c>
      <x:c r="AH13" s="12" t="str">
        <x:f>IF(AG13="","",IF(AG13&gt;=0.8,"HIGH",IF(AG13&gt;=0.55,"MODERATE","LIMITED")))</x:f>
      </x:c>
      <x:c r="AI13" s="12" t="str"/>
      <x:c r="AJ13" s="12" t="str"/>
      <x:c r="AK13" s="12" t="str"/>
      <x:c r="AL13" s="12" t="str"/>
      <x:c r="AM13" s="12" t="str">
        <x:v>NOT_NEEDED</x:v>
      </x:c>
    </x:row>
    <x:row r="14">
      <x:c r="A14" s="12" t="str">
        <x:v>PILOT_13</x:v>
      </x:c>
      <x:c r="B14" s="12" t="str">
        <x:v>KT049</x:v>
      </x:c>
      <x:c r="C14" s="12" t="str">
        <x:v>Mitigating Cold-Start Problems in Knowledge Tracing with Large Language Models</x:v>
      </x:c>
      <x:c r="D14" s="12" t="n">
        <x:v>2024</x:v>
      </x:c>
      <x:c r="E14" s="12" t="str">
        <x:v>CIKM</x:v>
      </x:c>
      <x:c r="F14" s="12" t="str"/>
      <x:c r="G14" s="12" t="str"/>
      <x:c r="H14" s="12" t="str"/>
      <x:c r="I14" s="12" t="str"/>
      <x:c r="J14" s="12" t="str"/>
      <x:c r="K14" s="12" t="str"/>
      <x:c r="L14" s="12" t="str">
        <x:f>IF(AND(I14="Y",OR(J14="Y",K14="Y")),"PASS","NO_PASS")</x:f>
        <x:v>NO_PASS</x:v>
      </x:c>
      <x:c r="M14" s="12" t="str">
        <x:v>PRIMARY_ADJACENT</x:v>
      </x:c>
      <x:c r="N14" s="12" t="str"/>
      <x:c r="O14" s="12" t="str">
        <x:v>LEGACY_SEED</x:v>
      </x:c>
      <x:c r="P14" s="12" t="str"/>
      <x:c r="Q14" s="12" t="str"/>
      <x:c r="R14" s="12" t="str"/>
      <x:c r="S14" s="12" t="str"/>
      <x:c r="T14" s="12" t="str"/>
      <x:c r="U14" s="12" t="str"/>
      <x:c r="V14" s="12" t="str"/>
      <x:c r="W14" s="12" t="str"/>
      <x:c r="X14" s="12" t="str"/>
      <x:c r="Y14" s="12" t="str"/>
      <x:c r="Z14" s="12" t="str"/>
      <x:c r="AA14" s="12" t="str"/>
      <x:c r="AB14" s="12" t="str"/>
      <x:c r="AC14" s="12" t="str"/>
      <x:c r="AD14" s="12" t="str"/>
      <x:c r="AE14" s="12" t="n">
        <x:f>SUM(W14:AD14)</x:f>
        <x:v>0</x:v>
      </x:c>
      <x:c r="AF14" s="12" t="n">
        <x:f>COUNT(W14:AD14)*2</x:f>
        <x:v>0</x:v>
      </x:c>
      <x:c r="AG14" s="14" t="str">
        <x:f>IF(AF14=0,"",AE14/AF14)</x:f>
      </x:c>
      <x:c r="AH14" s="12" t="str">
        <x:f>IF(AG14="","",IF(AG14&gt;=0.8,"HIGH",IF(AG14&gt;=0.55,"MODERATE","LIMITED")))</x:f>
      </x:c>
      <x:c r="AI14" s="12" t="str"/>
      <x:c r="AJ14" s="12" t="str"/>
      <x:c r="AK14" s="12" t="str"/>
      <x:c r="AL14" s="12" t="str"/>
      <x:c r="AM14" s="12" t="str">
        <x:v>NOT_NEEDED</x:v>
      </x:c>
    </x:row>
    <x:row r="15">
      <x:c r="A15" s="12" t="str">
        <x:v>PILOT_14</x:v>
      </x:c>
      <x:c r="B15" s="12" t="str">
        <x:v>KT041</x:v>
      </x:c>
      <x:c r="C15" s="12" t="str">
        <x:v>Towards Robust Knowledge Tracing Models via k-Sparse Attention</x:v>
      </x:c>
      <x:c r="D15" s="12" t="n">
        <x:v>2023</x:v>
      </x:c>
      <x:c r="E15" s="12" t="str">
        <x:v>SIGIR</x:v>
      </x:c>
      <x:c r="F15" s="12" t="str"/>
      <x:c r="G15" s="12" t="str"/>
      <x:c r="H15" s="12" t="str"/>
      <x:c r="I15" s="12" t="str"/>
      <x:c r="J15" s="12" t="str"/>
      <x:c r="K15" s="12" t="str"/>
      <x:c r="L15" s="12" t="str">
        <x:f>IF(AND(I15="Y",OR(J15="Y",K15="Y")),"PASS","NO_PASS")</x:f>
        <x:v>NO_PASS</x:v>
      </x:c>
      <x:c r="M15" s="12" t="str">
        <x:v>BACKGROUND</x:v>
      </x:c>
      <x:c r="N15" s="12" t="str"/>
      <x:c r="O15" s="12" t="str">
        <x:v>LEGACY_SEED</x:v>
      </x:c>
      <x:c r="P15" s="12" t="str"/>
      <x:c r="Q15" s="12" t="str"/>
      <x:c r="R15" s="12" t="str"/>
      <x:c r="S15" s="12" t="str"/>
      <x:c r="T15" s="12" t="str"/>
      <x:c r="U15" s="12" t="str"/>
      <x:c r="V15" s="12" t="str"/>
      <x:c r="W15" s="12" t="str"/>
      <x:c r="X15" s="12" t="str"/>
      <x:c r="Y15" s="12" t="str"/>
      <x:c r="Z15" s="12" t="str"/>
      <x:c r="AA15" s="12" t="str"/>
      <x:c r="AB15" s="12" t="str"/>
      <x:c r="AC15" s="12" t="str"/>
      <x:c r="AD15" s="12" t="str"/>
      <x:c r="AE15" s="12" t="n">
        <x:f>SUM(W15:AD15)</x:f>
        <x:v>0</x:v>
      </x:c>
      <x:c r="AF15" s="12" t="n">
        <x:f>COUNT(W15:AD15)*2</x:f>
        <x:v>0</x:v>
      </x:c>
      <x:c r="AG15" s="14" t="str">
        <x:f>IF(AF15=0,"",AE15/AF15)</x:f>
      </x:c>
      <x:c r="AH15" s="12" t="str">
        <x:f>IF(AG15="","",IF(AG15&gt;=0.8,"HIGH",IF(AG15&gt;=0.55,"MODERATE","LIMITED")))</x:f>
      </x:c>
      <x:c r="AI15" s="12" t="str"/>
      <x:c r="AJ15" s="12" t="str"/>
      <x:c r="AK15" s="12" t="str"/>
      <x:c r="AL15" s="12" t="str"/>
      <x:c r="AM15" s="12" t="str">
        <x:v>NOT_NEEDED</x:v>
      </x:c>
    </x:row>
    <x:row r="16">
      <x:c r="A16" s="12" t="str">
        <x:v>PILOT_15</x:v>
      </x:c>
      <x:c r="B16" s="12" t="str">
        <x:v>KT055</x:v>
      </x:c>
      <x:c r="C16" s="12" t="str">
        <x:v>GKT-CD: Make Cognitive Diagnosis Model Enhanced by Graph-Based Knowledge Tracing</x:v>
      </x:c>
      <x:c r="D16" s="12" t="n">
        <x:v>2021</x:v>
      </x:c>
      <x:c r="E16" s="12" t="str">
        <x:v>IJCNN</x:v>
      </x:c>
      <x:c r="F16" s="12" t="str"/>
      <x:c r="G16" s="12" t="str"/>
      <x:c r="H16" s="12" t="str"/>
      <x:c r="I16" s="12" t="str"/>
      <x:c r="J16" s="12" t="str"/>
      <x:c r="K16" s="12" t="str"/>
      <x:c r="L16" s="12" t="str">
        <x:f>IF(AND(I16="Y",OR(J16="Y",K16="Y")),"PASS","NO_PASS")</x:f>
        <x:v>NO_PASS</x:v>
      </x:c>
      <x:c r="M16" s="12" t="str">
        <x:v>EXCLUDE</x:v>
      </x:c>
      <x:c r="N16" s="12" t="str"/>
      <x:c r="O16" s="12" t="str">
        <x:v>LEGACY_SEED</x:v>
      </x:c>
      <x:c r="P16" s="12" t="str"/>
      <x:c r="Q16" s="12" t="str"/>
      <x:c r="R16" s="12" t="str"/>
      <x:c r="S16" s="12" t="str"/>
      <x:c r="T16" s="12" t="str"/>
      <x:c r="U16" s="12" t="str"/>
      <x:c r="V16" s="12" t="str"/>
      <x:c r="W16" s="12" t="str"/>
      <x:c r="X16" s="12" t="str"/>
      <x:c r="Y16" s="12" t="str"/>
      <x:c r="Z16" s="12" t="str"/>
      <x:c r="AA16" s="12" t="str"/>
      <x:c r="AB16" s="12" t="str"/>
      <x:c r="AC16" s="12" t="str"/>
      <x:c r="AD16" s="12" t="str"/>
      <x:c r="AE16" s="12" t="n">
        <x:f>SUM(W16:AD16)</x:f>
        <x:v>0</x:v>
      </x:c>
      <x:c r="AF16" s="12" t="n">
        <x:f>COUNT(W16:AD16)*2</x:f>
        <x:v>0</x:v>
      </x:c>
      <x:c r="AG16" s="14" t="str">
        <x:f>IF(AF16=0,"",AE16/AF16)</x:f>
      </x:c>
      <x:c r="AH16" s="12" t="str">
        <x:f>IF(AG16="","",IF(AG16&gt;=0.8,"HIGH",IF(AG16&gt;=0.55,"MODERATE","LIMITED")))</x:f>
      </x:c>
      <x:c r="AI16" s="12" t="str"/>
      <x:c r="AJ16" s="12" t="str"/>
      <x:c r="AK16" s="12" t="str"/>
      <x:c r="AL16" s="12" t="str"/>
      <x:c r="AM16" s="12" t="str">
        <x:v>NOT_NEEDED</x:v>
      </x:c>
    </x:row>
  </x:sheetData>
  <x:dataValidations count="13">
    <x:dataValidation type="list" sqref="H2:H16">
      <x:formula1>"Y,N,NR,UNCLEAR,NA"</x:formula1>
    </x:dataValidation>
    <x:dataValidation type="list" sqref="I2:I16">
      <x:formula1>"Y,N,NR,UNCLEAR,NA"</x:formula1>
    </x:dataValidation>
    <x:dataValidation type="list" sqref="J2:J16">
      <x:formula1>"Y,N,NR,UNCLEAR,NA"</x:formula1>
    </x:dataValidation>
    <x:dataValidation type="list" sqref="K2:K16">
      <x:formula1>"Y,N,NR,UNCLEAR,NA"</x:formula1>
    </x:dataValidation>
    <x:dataValidation type="list" sqref="P2:P16">
      <x:formula1>"Y,N,NR,UNCLEAR,NA"</x:formula1>
    </x:dataValidation>
    <x:dataValidation type="list" sqref="R2:R16">
      <x:formula1>"Y,N,NR,UNCLEAR,NA"</x:formula1>
    </x:dataValidation>
    <x:dataValidation type="list" sqref="S2:S16">
      <x:formula1>"Y,N,NR,UNCLEAR,NA"</x:formula1>
    </x:dataValidation>
    <x:dataValidation type="list" sqref="T2:T16">
      <x:formula1>"Y,N,NR,UNCLEAR,NA"</x:formula1>
    </x:dataValidation>
    <x:dataValidation type="list" sqref="U2:U16">
      <x:formula1>"Y,N,NR,UNCLEAR,NA"</x:formula1>
    </x:dataValidation>
    <x:dataValidation type="list" sqref="V2:V16">
      <x:formula1>"Y,N,NR,UNCLEAR,NA"</x:formula1>
    </x:dataValidation>
    <x:dataValidation type="list" sqref="M2:M16">
      <x:formula1>"PRIMARY_CORE,PRIMARY_ADJACENT_SPARSE,PRIMARY_ADJACENT_METHOD,BACKGROUND,EXCLUDE_FULLTEXT"</x:formula1>
    </x:dataValidation>
    <x:dataValidation type="list" sqref="AI2:AI16">
      <x:formula1>"HIGH,MEDIUM,LOW"</x:formula1>
    </x:dataValidation>
    <x:dataValidation type="list" sqref="AM2:AM16">
      <x:formula1>"NOT_NEEDED,PENDING,RESOLVED"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78bbf07363447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6" hidden="0" customWidth="1"/>
    <x:col min="6" max="6" width="28" hidden="0" customWidth="1"/>
    <x:col min="7" max="7" width="16" hidden="0" customWidth="1"/>
    <x:col min="8" max="8" width="16" hidden="0" customWidth="1"/>
    <x:col min="9" max="9" width="36" hidden="0" customWidth="1"/>
    <x:col min="10" max="10" width="16" hidden="0" customWidth="1"/>
    <x:col min="11" max="11" width="16" hidden="0" customWidth="1"/>
    <x:col min="12" max="12" width="28" hidden="0" customWidth="1"/>
    <x:col min="13" max="13" width="28" hidden="0" customWidth="1"/>
    <x:col min="14" max="14" width="28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4" hidden="0" customWidth="1"/>
    <x:col min="23" max="23" width="16" hidden="0" customWidth="1"/>
    <x:col min="24" max="24" width="16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16" hidden="0" customWidth="1"/>
    <x:col min="31" max="31" width="16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16" hidden="0" customWidth="1"/>
    <x:col min="41" max="41" width="28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38" hidden="0" customWidth="1"/>
    <x:col min="47" max="47" width="38" hidden="0" customWidth="1"/>
    <x:col min="48" max="48" width="16" hidden="0" customWidth="1"/>
  </x:cols>
  <x:sheetData>
    <x:row r="1">
      <x:c r="A1" s="19" t="str">
        <x:v>model_entry_id</x:v>
      </x:c>
      <x:c r="B1" s="19" t="str">
        <x:v>paper_id</x:v>
      </x:c>
      <x:c r="C1" s="19" t="str">
        <x:v>legacy_id</x:v>
      </x:c>
      <x:c r="D1" s="19" t="str">
        <x:v>model_name</x:v>
      </x:c>
      <x:c r="E1" s="19" t="str">
        <x:v>graph_source</x:v>
      </x:c>
      <x:c r="F1" s="19" t="str">
        <x:v>graph_source_original</x:v>
      </x:c>
      <x:c r="G1" s="19" t="str">
        <x:v>graph_provenance</x:v>
      </x:c>
      <x:c r="H1" s="19" t="str">
        <x:v>graph_leakage_risk</x:v>
      </x:c>
      <x:c r="I1" s="19" t="str">
        <x:v>graph_construction_summary</x:v>
      </x:c>
      <x:c r="J1" s="19" t="str">
        <x:v>graph_construction_uses_response_labels</x:v>
      </x:c>
      <x:c r="K1" s="19" t="str">
        <x:v>graph_construction_uses_test_partition</x:v>
      </x:c>
      <x:c r="L1" s="19" t="str">
        <x:v>graph_representation</x:v>
      </x:c>
      <x:c r="M1" s="19" t="str">
        <x:v>node_types_original</x:v>
      </x:c>
      <x:c r="N1" s="19" t="str">
        <x:v>edge_types_original</x:v>
      </x:c>
      <x:c r="O1" s="19" t="str">
        <x:v>directed</x:v>
      </x:c>
      <x:c r="P1" s="19" t="str">
        <x:v>weighted</x:v>
      </x:c>
      <x:c r="Q1" s="19" t="str">
        <x:v>typed_edges</x:v>
      </x:c>
      <x:c r="R1" s="19" t="str">
        <x:v>dynamic</x:v>
      </x:c>
      <x:c r="S1" s="19" t="str">
        <x:v>dag_enforced</x:v>
      </x:c>
      <x:c r="T1" s="19" t="str">
        <x:v>edge_confidence_used</x:v>
      </x:c>
      <x:c r="U1" s="19" t="str">
        <x:v>gnn_encoder</x:v>
      </x:c>
      <x:c r="V1" s="19" t="str">
        <x:v>gnn_encoder_original</x:v>
      </x:c>
      <x:c r="W1" s="19" t="str">
        <x:v>num_graph_layers</x:v>
      </x:c>
      <x:c r="X1" s="19" t="str">
        <x:v>message_passing_direction</x:v>
      </x:c>
      <x:c r="Y1" s="19" t="str">
        <x:v>temporal_backbone</x:v>
      </x:c>
      <x:c r="Z1" s="19" t="str">
        <x:v>semantic_auxiliary_encoder</x:v>
      </x:c>
      <x:c r="AA1" s="19" t="str">
        <x:v>fusion_type</x:v>
      </x:c>
      <x:c r="AB1" s="19" t="str">
        <x:v>fusion_location</x:v>
      </x:c>
      <x:c r="AC1" s="19" t="str">
        <x:v>fusion_description_original</x:v>
      </x:c>
      <x:c r="AD1" s="19" t="str">
        <x:v>ssl_family</x:v>
      </x:c>
      <x:c r="AE1" s="19" t="str">
        <x:v>non_ssl_pretraining</x:v>
      </x:c>
      <x:c r="AF1" s="19" t="str">
        <x:v>pretraining_description</x:v>
      </x:c>
      <x:c r="AG1" s="19" t="str">
        <x:v>ssl_training_mode</x:v>
      </x:c>
      <x:c r="AH1" s="19" t="str">
        <x:v>ssl_target_level</x:v>
      </x:c>
      <x:c r="AI1" s="19" t="str">
        <x:v>positive_pair_strategy</x:v>
      </x:c>
      <x:c r="AJ1" s="19" t="str">
        <x:v>negative_pair_strategy</x:v>
      </x:c>
      <x:c r="AK1" s="19" t="str">
        <x:v>ssl_loss_original</x:v>
      </x:c>
      <x:c r="AL1" s="19" t="str">
        <x:v>ssl_weight_reported</x:v>
      </x:c>
      <x:c r="AM1" s="19" t="str">
        <x:v>augmentation_type</x:v>
      </x:c>
      <x:c r="AN1" s="19" t="str">
        <x:v>educational_structure_preservation</x:v>
      </x:c>
      <x:c r="AO1" s="19" t="str">
        <x:v>preserved_property_original</x:v>
      </x:c>
      <x:c r="AP1" s="19" t="str">
        <x:v>augmentation_validity_ablation</x:v>
      </x:c>
      <x:c r="AQ1" s="19" t="str">
        <x:v>coding_basis</x:v>
      </x:c>
      <x:c r="AR1" s="19" t="str">
        <x:v>coder_id</x:v>
      </x:c>
      <x:c r="AS1" s="19" t="str">
        <x:v>coder_confidence</x:v>
      </x:c>
      <x:c r="AT1" s="19" t="str">
        <x:v>evidence_locator</x:v>
      </x:c>
      <x:c r="AU1" s="19" t="str">
        <x:v>evidence_note</x:v>
      </x:c>
      <x:c r="AV1" s="19" t="str">
        <x:v>adjudication_status</x:v>
      </x:c>
    </x:row>
    <x:row r="2">
      <x:c r="A2" s="12" t="str">
        <x:v>PILOT_01_M01</x:v>
      </x:c>
      <x:c r="B2" s="12" t="str">
        <x:v>PILOT_01</x:v>
      </x:c>
      <x:c r="C2" s="12" t="str">
        <x:v>KT004</x:v>
      </x:c>
      <x:c r="D2" s="12" t="str"/>
      <x:c r="E2" s="12" t="str"/>
      <x:c r="F2" s="12" t="str"/>
      <x:c r="G2" s="12" t="str"/>
      <x:c r="H2" s="12" t="str"/>
      <x:c r="I2" s="12" t="str"/>
      <x:c r="J2" s="12" t="str"/>
      <x:c r="K2" s="12" t="str"/>
      <x:c r="L2" s="12" t="str"/>
      <x:c r="M2" s="12" t="str"/>
      <x:c r="N2" s="12" t="str"/>
      <x:c r="O2" s="12" t="str"/>
      <x:c r="P2" s="12" t="str"/>
      <x:c r="Q2" s="12" t="str"/>
      <x:c r="R2" s="12" t="str"/>
      <x:c r="S2" s="12" t="str"/>
      <x:c r="T2" s="12" t="str"/>
      <x:c r="U2" s="12" t="str"/>
      <x:c r="V2" s="12" t="str"/>
      <x:c r="W2" s="12" t="str"/>
      <x:c r="X2" s="12" t="str"/>
      <x:c r="Y2" s="12" t="str"/>
      <x:c r="Z2" s="12" t="str"/>
      <x:c r="AA2" s="12" t="str"/>
      <x:c r="AB2" s="12" t="str"/>
      <x:c r="AC2" s="12" t="str"/>
      <x:c r="AD2" s="12" t="str"/>
      <x:c r="AE2" s="12" t="str"/>
      <x:c r="AF2" s="12" t="str"/>
      <x:c r="AG2" s="12" t="str"/>
      <x:c r="AH2" s="12" t="str"/>
      <x:c r="AI2" s="12" t="str"/>
      <x:c r="AJ2" s="12" t="str"/>
      <x:c r="AK2" s="12" t="str"/>
      <x:c r="AL2" s="12" t="str"/>
      <x:c r="AM2" s="12" t="str"/>
      <x:c r="AN2" s="12" t="str"/>
      <x:c r="AO2" s="12" t="str"/>
      <x:c r="AP2" s="12" t="str"/>
      <x:c r="AQ2" s="12" t="str"/>
      <x:c r="AR2" s="12" t="str"/>
      <x:c r="AS2" s="12" t="str"/>
      <x:c r="AT2" s="12" t="str"/>
      <x:c r="AU2" s="12" t="str"/>
      <x:c r="AV2" s="12" t="str">
        <x:v>NOT_NEEDED</x:v>
      </x:c>
    </x:row>
    <x:row r="3">
      <x:c r="A3" s="12" t="str">
        <x:v>PILOT_02_M01</x:v>
      </x:c>
      <x:c r="B3" s="12" t="str">
        <x:v>PILOT_02</x:v>
      </x:c>
      <x:c r="C3" s="12" t="str">
        <x:v>KT010</x:v>
      </x:c>
      <x:c r="D3" s="12" t="str"/>
      <x:c r="E3" s="12" t="str"/>
      <x:c r="F3" s="12" t="str"/>
      <x:c r="G3" s="12" t="str"/>
      <x:c r="H3" s="12" t="str"/>
      <x:c r="I3" s="12" t="str"/>
      <x:c r="J3" s="12" t="str"/>
      <x:c r="K3" s="12" t="str"/>
      <x:c r="L3" s="12" t="str"/>
      <x:c r="M3" s="12" t="str"/>
      <x:c r="N3" s="12" t="str"/>
      <x:c r="O3" s="12" t="str"/>
      <x:c r="P3" s="12" t="str"/>
      <x:c r="Q3" s="12" t="str"/>
      <x:c r="R3" s="12" t="str"/>
      <x:c r="S3" s="12" t="str"/>
      <x:c r="T3" s="12" t="str"/>
      <x:c r="U3" s="12" t="str"/>
      <x:c r="V3" s="12" t="str"/>
      <x:c r="W3" s="12" t="str"/>
      <x:c r="X3" s="12" t="str"/>
      <x:c r="Y3" s="12" t="str"/>
      <x:c r="Z3" s="12" t="str"/>
      <x:c r="AA3" s="12" t="str"/>
      <x:c r="AB3" s="12" t="str"/>
      <x:c r="AC3" s="12" t="str"/>
      <x:c r="AD3" s="12" t="str"/>
      <x:c r="AE3" s="12" t="str"/>
      <x:c r="AF3" s="12" t="str"/>
      <x:c r="AG3" s="12" t="str"/>
      <x:c r="AH3" s="12" t="str"/>
      <x:c r="AI3" s="12" t="str"/>
      <x:c r="AJ3" s="12" t="str"/>
      <x:c r="AK3" s="12" t="str"/>
      <x:c r="AL3" s="12" t="str"/>
      <x:c r="AM3" s="12" t="str"/>
      <x:c r="AN3" s="12" t="str"/>
      <x:c r="AO3" s="12" t="str"/>
      <x:c r="AP3" s="12" t="str"/>
      <x:c r="AQ3" s="12" t="str"/>
      <x:c r="AR3" s="12" t="str"/>
      <x:c r="AS3" s="12" t="str"/>
      <x:c r="AT3" s="12" t="str"/>
      <x:c r="AU3" s="12" t="str"/>
      <x:c r="AV3" s="12" t="str">
        <x:v>NOT_NEEDED</x:v>
      </x:c>
    </x:row>
    <x:row r="4">
      <x:c r="A4" s="12" t="str">
        <x:v>PILOT_03_M01</x:v>
      </x:c>
      <x:c r="B4" s="12" t="str">
        <x:v>PILOT_03</x:v>
      </x:c>
      <x:c r="C4" s="12" t="str">
        <x:v>KT014</x:v>
      </x:c>
      <x:c r="D4" s="12" t="str"/>
      <x:c r="E4" s="12" t="str"/>
      <x:c r="F4" s="12" t="str"/>
      <x:c r="G4" s="12" t="str"/>
      <x:c r="H4" s="12" t="str"/>
      <x:c r="I4" s="12" t="str"/>
      <x:c r="J4" s="12" t="str"/>
      <x:c r="K4" s="12" t="str"/>
      <x:c r="L4" s="12" t="str"/>
      <x:c r="M4" s="12" t="str"/>
      <x:c r="N4" s="12" t="str"/>
      <x:c r="O4" s="12" t="str"/>
      <x:c r="P4" s="12" t="str"/>
      <x:c r="Q4" s="12" t="str"/>
      <x:c r="R4" s="12" t="str"/>
      <x:c r="S4" s="12" t="str"/>
      <x:c r="T4" s="12" t="str"/>
      <x:c r="U4" s="12" t="str"/>
      <x:c r="V4" s="12" t="str"/>
      <x:c r="W4" s="12" t="str"/>
      <x:c r="X4" s="12" t="str"/>
      <x:c r="Y4" s="12" t="str"/>
      <x:c r="Z4" s="12" t="str"/>
      <x:c r="AA4" s="12" t="str"/>
      <x:c r="AB4" s="12" t="str"/>
      <x:c r="AC4" s="12" t="str"/>
      <x:c r="AD4" s="12" t="str"/>
      <x:c r="AE4" s="12" t="str"/>
      <x:c r="AF4" s="12" t="str"/>
      <x:c r="AG4" s="12" t="str"/>
      <x:c r="AH4" s="12" t="str"/>
      <x:c r="AI4" s="12" t="str"/>
      <x:c r="AJ4" s="12" t="str"/>
      <x:c r="AK4" s="12" t="str"/>
      <x:c r="AL4" s="12" t="str"/>
      <x:c r="AM4" s="12" t="str"/>
      <x:c r="AN4" s="12" t="str"/>
      <x:c r="AO4" s="12" t="str"/>
      <x:c r="AP4" s="12" t="str"/>
      <x:c r="AQ4" s="12" t="str"/>
      <x:c r="AR4" s="12" t="str"/>
      <x:c r="AS4" s="12" t="str"/>
      <x:c r="AT4" s="12" t="str"/>
      <x:c r="AU4" s="12" t="str"/>
      <x:c r="AV4" s="12" t="str">
        <x:v>NOT_NEEDED</x:v>
      </x:c>
    </x:row>
    <x:row r="5">
      <x:c r="A5" s="12" t="str">
        <x:v>PILOT_04_M01</x:v>
      </x:c>
      <x:c r="B5" s="12" t="str">
        <x:v>PILOT_04</x:v>
      </x:c>
      <x:c r="C5" s="12" t="str">
        <x:v>KT026</x:v>
      </x:c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/>
      <x:c r="N5" s="12" t="str"/>
      <x:c r="O5" s="12" t="str"/>
      <x:c r="P5" s="12" t="str"/>
      <x:c r="Q5" s="12" t="str"/>
      <x:c r="R5" s="12" t="str"/>
      <x:c r="S5" s="12" t="str"/>
      <x:c r="T5" s="12" t="str"/>
      <x:c r="U5" s="12" t="str"/>
      <x:c r="V5" s="12" t="str"/>
      <x:c r="W5" s="12" t="str"/>
      <x:c r="X5" s="12" t="str"/>
      <x:c r="Y5" s="12" t="str"/>
      <x:c r="Z5" s="12" t="str"/>
      <x:c r="AA5" s="12" t="str"/>
      <x:c r="AB5" s="12" t="str"/>
      <x:c r="AC5" s="12" t="str"/>
      <x:c r="AD5" s="12" t="str"/>
      <x:c r="AE5" s="12" t="str"/>
      <x:c r="AF5" s="12" t="str"/>
      <x:c r="AG5" s="12" t="str"/>
      <x:c r="AH5" s="12" t="str"/>
      <x:c r="AI5" s="12" t="str"/>
      <x:c r="AJ5" s="12" t="str"/>
      <x:c r="AK5" s="12" t="str"/>
      <x:c r="AL5" s="12" t="str"/>
      <x:c r="AM5" s="12" t="str"/>
      <x:c r="AN5" s="12" t="str"/>
      <x:c r="AO5" s="12" t="str"/>
      <x:c r="AP5" s="12" t="str"/>
      <x:c r="AQ5" s="12" t="str"/>
      <x:c r="AR5" s="12" t="str"/>
      <x:c r="AS5" s="12" t="str"/>
      <x:c r="AT5" s="12" t="str"/>
      <x:c r="AU5" s="12" t="str"/>
      <x:c r="AV5" s="12" t="str">
        <x:v>NOT_NEEDED</x:v>
      </x:c>
    </x:row>
    <x:row r="6">
      <x:c r="A6" s="12" t="str">
        <x:v>PILOT_05_M01</x:v>
      </x:c>
      <x:c r="B6" s="12" t="str">
        <x:v>PILOT_05</x:v>
      </x:c>
      <x:c r="C6" s="12" t="str">
        <x:v>KT035</x:v>
      </x:c>
      <x:c r="D6" s="12" t="str"/>
      <x:c r="E6" s="12" t="str"/>
      <x:c r="F6" s="12" t="str"/>
      <x:c r="G6" s="12" t="str"/>
      <x:c r="H6" s="12" t="str"/>
      <x:c r="I6" s="12" t="str"/>
      <x:c r="J6" s="12" t="str"/>
      <x:c r="K6" s="12" t="str"/>
      <x:c r="L6" s="12" t="str"/>
      <x:c r="M6" s="12" t="str"/>
      <x:c r="N6" s="12" t="str"/>
      <x:c r="O6" s="12" t="str"/>
      <x:c r="P6" s="12" t="str"/>
      <x:c r="Q6" s="12" t="str"/>
      <x:c r="R6" s="12" t="str"/>
      <x:c r="S6" s="12" t="str"/>
      <x:c r="T6" s="12" t="str"/>
      <x:c r="U6" s="12" t="str"/>
      <x:c r="V6" s="12" t="str"/>
      <x:c r="W6" s="12" t="str"/>
      <x:c r="X6" s="12" t="str"/>
      <x:c r="Y6" s="12" t="str"/>
      <x:c r="Z6" s="12" t="str"/>
      <x:c r="AA6" s="12" t="str"/>
      <x:c r="AB6" s="12" t="str"/>
      <x:c r="AC6" s="12" t="str"/>
      <x:c r="AD6" s="12" t="str"/>
      <x:c r="AE6" s="12" t="str"/>
      <x:c r="AF6" s="12" t="str"/>
      <x:c r="AG6" s="12" t="str"/>
      <x:c r="AH6" s="12" t="str"/>
      <x:c r="AI6" s="12" t="str"/>
      <x:c r="AJ6" s="12" t="str"/>
      <x:c r="AK6" s="12" t="str"/>
      <x:c r="AL6" s="12" t="str"/>
      <x:c r="AM6" s="12" t="str"/>
      <x:c r="AN6" s="12" t="str"/>
      <x:c r="AO6" s="12" t="str"/>
      <x:c r="AP6" s="12" t="str"/>
      <x:c r="AQ6" s="12" t="str"/>
      <x:c r="AR6" s="12" t="str"/>
      <x:c r="AS6" s="12" t="str"/>
      <x:c r="AT6" s="12" t="str"/>
      <x:c r="AU6" s="12" t="str"/>
      <x:c r="AV6" s="12" t="str">
        <x:v>NOT_NEEDED</x:v>
      </x:c>
    </x:row>
    <x:row r="7">
      <x:c r="A7" s="12" t="str">
        <x:v>PILOT_06_M01</x:v>
      </x:c>
      <x:c r="B7" s="12" t="str">
        <x:v>PILOT_06</x:v>
      </x:c>
      <x:c r="C7" s="12" t="str">
        <x:v>KT037</x:v>
      </x:c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  <x:c r="M7" s="12" t="str"/>
      <x:c r="N7" s="12" t="str"/>
      <x:c r="O7" s="12" t="str"/>
      <x:c r="P7" s="12" t="str"/>
      <x:c r="Q7" s="12" t="str"/>
      <x:c r="R7" s="12" t="str"/>
      <x:c r="S7" s="12" t="str"/>
      <x:c r="T7" s="12" t="str"/>
      <x:c r="U7" s="12" t="str"/>
      <x:c r="V7" s="12" t="str"/>
      <x:c r="W7" s="12" t="str"/>
      <x:c r="X7" s="12" t="str"/>
      <x:c r="Y7" s="12" t="str"/>
      <x:c r="Z7" s="12" t="str"/>
      <x:c r="AA7" s="12" t="str"/>
      <x:c r="AB7" s="12" t="str"/>
      <x:c r="AC7" s="12" t="str"/>
      <x:c r="AD7" s="12" t="str"/>
      <x:c r="AE7" s="12" t="str"/>
      <x:c r="AF7" s="12" t="str"/>
      <x:c r="AG7" s="12" t="str"/>
      <x:c r="AH7" s="12" t="str"/>
      <x:c r="AI7" s="12" t="str"/>
      <x:c r="AJ7" s="12" t="str"/>
      <x:c r="AK7" s="12" t="str"/>
      <x:c r="AL7" s="12" t="str"/>
      <x:c r="AM7" s="12" t="str"/>
      <x:c r="AN7" s="12" t="str"/>
      <x:c r="AO7" s="12" t="str"/>
      <x:c r="AP7" s="12" t="str"/>
      <x:c r="AQ7" s="12" t="str"/>
      <x:c r="AR7" s="12" t="str"/>
      <x:c r="AS7" s="12" t="str"/>
      <x:c r="AT7" s="12" t="str"/>
      <x:c r="AU7" s="12" t="str"/>
      <x:c r="AV7" s="12" t="str">
        <x:v>NOT_NEEDED</x:v>
      </x:c>
    </x:row>
    <x:row r="8">
      <x:c r="A8" s="12" t="str">
        <x:v>PILOT_07_M01</x:v>
      </x:c>
      <x:c r="B8" s="12" t="str">
        <x:v>PILOT_07</x:v>
      </x:c>
      <x:c r="C8" s="12" t="str">
        <x:v>KT038</x:v>
      </x:c>
      <x:c r="D8" s="12" t="str"/>
      <x:c r="E8" s="12" t="str"/>
      <x:c r="F8" s="12" t="str"/>
      <x:c r="G8" s="12" t="str"/>
      <x:c r="H8" s="12" t="str"/>
      <x:c r="I8" s="12" t="str"/>
      <x:c r="J8" s="12" t="str"/>
      <x:c r="K8" s="12" t="str"/>
      <x:c r="L8" s="12" t="str"/>
      <x:c r="M8" s="12" t="str"/>
      <x:c r="N8" s="12" t="str"/>
      <x:c r="O8" s="12" t="str"/>
      <x:c r="P8" s="12" t="str"/>
      <x:c r="Q8" s="12" t="str"/>
      <x:c r="R8" s="12" t="str"/>
      <x:c r="S8" s="12" t="str"/>
      <x:c r="T8" s="12" t="str"/>
      <x:c r="U8" s="12" t="str"/>
      <x:c r="V8" s="12" t="str"/>
      <x:c r="W8" s="12" t="str"/>
      <x:c r="X8" s="12" t="str"/>
      <x:c r="Y8" s="12" t="str"/>
      <x:c r="Z8" s="12" t="str"/>
      <x:c r="AA8" s="12" t="str"/>
      <x:c r="AB8" s="12" t="str"/>
      <x:c r="AC8" s="12" t="str"/>
      <x:c r="AD8" s="12" t="str"/>
      <x:c r="AE8" s="12" t="str"/>
      <x:c r="AF8" s="12" t="str"/>
      <x:c r="AG8" s="12" t="str"/>
      <x:c r="AH8" s="12" t="str"/>
      <x:c r="AI8" s="12" t="str"/>
      <x:c r="AJ8" s="12" t="str"/>
      <x:c r="AK8" s="12" t="str"/>
      <x:c r="AL8" s="12" t="str"/>
      <x:c r="AM8" s="12" t="str"/>
      <x:c r="AN8" s="12" t="str"/>
      <x:c r="AO8" s="12" t="str"/>
      <x:c r="AP8" s="12" t="str"/>
      <x:c r="AQ8" s="12" t="str"/>
      <x:c r="AR8" s="12" t="str"/>
      <x:c r="AS8" s="12" t="str"/>
      <x:c r="AT8" s="12" t="str"/>
      <x:c r="AU8" s="12" t="str"/>
      <x:c r="AV8" s="12" t="str">
        <x:v>NOT_NEEDED</x:v>
      </x:c>
    </x:row>
    <x:row r="9">
      <x:c r="A9" s="12" t="str">
        <x:v>PILOT_08_M01</x:v>
      </x:c>
      <x:c r="B9" s="12" t="str">
        <x:v>PILOT_08</x:v>
      </x:c>
      <x:c r="C9" s="12" t="str">
        <x:v>KT039</x:v>
      </x:c>
      <x:c r="D9" s="12" t="str"/>
      <x:c r="E9" s="12" t="str"/>
      <x:c r="F9" s="12" t="str"/>
      <x:c r="G9" s="12" t="str"/>
      <x:c r="H9" s="12" t="str"/>
      <x:c r="I9" s="12" t="str"/>
      <x:c r="J9" s="12" t="str"/>
      <x:c r="K9" s="12" t="str"/>
      <x:c r="L9" s="12" t="str"/>
      <x:c r="M9" s="12" t="str"/>
      <x:c r="N9" s="12" t="str"/>
      <x:c r="O9" s="12" t="str"/>
      <x:c r="P9" s="12" t="str"/>
      <x:c r="Q9" s="12" t="str"/>
      <x:c r="R9" s="12" t="str"/>
      <x:c r="S9" s="12" t="str"/>
      <x:c r="T9" s="12" t="str"/>
      <x:c r="U9" s="12" t="str"/>
      <x:c r="V9" s="12" t="str"/>
      <x:c r="W9" s="12" t="str"/>
      <x:c r="X9" s="12" t="str"/>
      <x:c r="Y9" s="12" t="str"/>
      <x:c r="Z9" s="12" t="str"/>
      <x:c r="AA9" s="12" t="str"/>
      <x:c r="AB9" s="12" t="str"/>
      <x:c r="AC9" s="12" t="str"/>
      <x:c r="AD9" s="12" t="str"/>
      <x:c r="AE9" s="12" t="str"/>
      <x:c r="AF9" s="12" t="str"/>
      <x:c r="AG9" s="12" t="str"/>
      <x:c r="AH9" s="12" t="str"/>
      <x:c r="AI9" s="12" t="str"/>
      <x:c r="AJ9" s="12" t="str"/>
      <x:c r="AK9" s="12" t="str"/>
      <x:c r="AL9" s="12" t="str"/>
      <x:c r="AM9" s="12" t="str"/>
      <x:c r="AN9" s="12" t="str"/>
      <x:c r="AO9" s="12" t="str"/>
      <x:c r="AP9" s="12" t="str"/>
      <x:c r="AQ9" s="12" t="str"/>
      <x:c r="AR9" s="12" t="str"/>
      <x:c r="AS9" s="12" t="str"/>
      <x:c r="AT9" s="12" t="str"/>
      <x:c r="AU9" s="12" t="str"/>
      <x:c r="AV9" s="12" t="str">
        <x:v>NOT_NEEDED</x:v>
      </x:c>
    </x:row>
    <x:row r="10">
      <x:c r="A10" s="12" t="str">
        <x:v>PILOT_09_M01</x:v>
      </x:c>
      <x:c r="B10" s="12" t="str">
        <x:v>PILOT_09</x:v>
      </x:c>
      <x:c r="C10" s="12" t="str">
        <x:v>KT011</x:v>
      </x:c>
      <x:c r="D10" s="12" t="str"/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/>
      <x:c r="M10" s="12" t="str"/>
      <x:c r="N10" s="12" t="str"/>
      <x:c r="O10" s="12" t="str"/>
      <x:c r="P10" s="12" t="str"/>
      <x:c r="Q10" s="12" t="str"/>
      <x:c r="R10" s="12" t="str"/>
      <x:c r="S10" s="12" t="str"/>
      <x:c r="T10" s="12" t="str"/>
      <x:c r="U10" s="12" t="str"/>
      <x:c r="V10" s="12" t="str"/>
      <x:c r="W10" s="12" t="str"/>
      <x:c r="X10" s="12" t="str"/>
      <x:c r="Y10" s="12" t="str"/>
      <x:c r="Z10" s="12" t="str"/>
      <x:c r="AA10" s="12" t="str"/>
      <x:c r="AB10" s="12" t="str"/>
      <x:c r="AC10" s="12" t="str"/>
      <x:c r="AD10" s="12" t="str"/>
      <x:c r="AE10" s="12" t="str"/>
      <x:c r="AF10" s="12" t="str"/>
      <x:c r="AG10" s="12" t="str"/>
      <x:c r="AH10" s="12" t="str"/>
      <x:c r="AI10" s="12" t="str"/>
      <x:c r="AJ10" s="12" t="str"/>
      <x:c r="AK10" s="12" t="str"/>
      <x:c r="AL10" s="12" t="str"/>
      <x:c r="AM10" s="12" t="str"/>
      <x:c r="AN10" s="12" t="str"/>
      <x:c r="AO10" s="12" t="str"/>
      <x:c r="AP10" s="12" t="str"/>
      <x:c r="AQ10" s="12" t="str"/>
      <x:c r="AR10" s="12" t="str"/>
      <x:c r="AS10" s="12" t="str"/>
      <x:c r="AT10" s="12" t="str"/>
      <x:c r="AU10" s="12" t="str"/>
      <x:c r="AV10" s="12" t="str">
        <x:v>NOT_NEEDED</x:v>
      </x:c>
    </x:row>
    <x:row r="11">
      <x:c r="A11" s="12" t="str">
        <x:v>PILOT_10_M01</x:v>
      </x:c>
      <x:c r="B11" s="12" t="str">
        <x:v>PILOT_10</x:v>
      </x:c>
      <x:c r="C11" s="12" t="str">
        <x:v>KT042</x:v>
      </x:c>
      <x:c r="D11" s="12" t="str"/>
      <x:c r="E11" s="12" t="str"/>
      <x:c r="F11" s="12" t="str"/>
      <x:c r="G11" s="12" t="str"/>
      <x:c r="H11" s="12" t="str"/>
      <x:c r="I11" s="12" t="str"/>
      <x:c r="J11" s="12" t="str"/>
      <x:c r="K11" s="12" t="str"/>
      <x:c r="L11" s="12" t="str"/>
      <x:c r="M11" s="12" t="str"/>
      <x:c r="N11" s="12" t="str"/>
      <x:c r="O11" s="12" t="str"/>
      <x:c r="P11" s="12" t="str"/>
      <x:c r="Q11" s="12" t="str"/>
      <x:c r="R11" s="12" t="str"/>
      <x:c r="S11" s="12" t="str"/>
      <x:c r="T11" s="12" t="str"/>
      <x:c r="U11" s="12" t="str"/>
      <x:c r="V11" s="12" t="str"/>
      <x:c r="W11" s="12" t="str"/>
      <x:c r="X11" s="12" t="str"/>
      <x:c r="Y11" s="12" t="str"/>
      <x:c r="Z11" s="12" t="str"/>
      <x:c r="AA11" s="12" t="str"/>
      <x:c r="AB11" s="12" t="str"/>
      <x:c r="AC11" s="12" t="str"/>
      <x:c r="AD11" s="12" t="str"/>
      <x:c r="AE11" s="12" t="str"/>
      <x:c r="AF11" s="12" t="str"/>
      <x:c r="AG11" s="12" t="str"/>
      <x:c r="AH11" s="12" t="str"/>
      <x:c r="AI11" s="12" t="str"/>
      <x:c r="AJ11" s="12" t="str"/>
      <x:c r="AK11" s="12" t="str"/>
      <x:c r="AL11" s="12" t="str"/>
      <x:c r="AM11" s="12" t="str"/>
      <x:c r="AN11" s="12" t="str"/>
      <x:c r="AO11" s="12" t="str"/>
      <x:c r="AP11" s="12" t="str"/>
      <x:c r="AQ11" s="12" t="str"/>
      <x:c r="AR11" s="12" t="str"/>
      <x:c r="AS11" s="12" t="str"/>
      <x:c r="AT11" s="12" t="str"/>
      <x:c r="AU11" s="12" t="str"/>
      <x:c r="AV11" s="12" t="str">
        <x:v>NOT_NEEDED</x:v>
      </x:c>
    </x:row>
    <x:row r="12">
      <x:c r="A12" s="12" t="str">
        <x:v>PILOT_11_M01</x:v>
      </x:c>
      <x:c r="B12" s="12" t="str">
        <x:v>PILOT_11</x:v>
      </x:c>
      <x:c r="C12" s="12" t="str">
        <x:v>KT066</x:v>
      </x:c>
      <x:c r="D12" s="12" t="str"/>
      <x:c r="E12" s="12" t="str"/>
      <x:c r="F12" s="12" t="str"/>
      <x:c r="G12" s="12" t="str"/>
      <x:c r="H12" s="12" t="str"/>
      <x:c r="I12" s="12" t="str"/>
      <x:c r="J12" s="12" t="str"/>
      <x:c r="K12" s="12" t="str"/>
      <x:c r="L12" s="12" t="str"/>
      <x:c r="M12" s="12" t="str"/>
      <x:c r="N12" s="12" t="str"/>
      <x:c r="O12" s="12" t="str"/>
      <x:c r="P12" s="12" t="str"/>
      <x:c r="Q12" s="12" t="str"/>
      <x:c r="R12" s="12" t="str"/>
      <x:c r="S12" s="12" t="str"/>
      <x:c r="T12" s="12" t="str"/>
      <x:c r="U12" s="12" t="str"/>
      <x:c r="V12" s="12" t="str"/>
      <x:c r="W12" s="12" t="str"/>
      <x:c r="X12" s="12" t="str"/>
      <x:c r="Y12" s="12" t="str"/>
      <x:c r="Z12" s="12" t="str"/>
      <x:c r="AA12" s="12" t="str"/>
      <x:c r="AB12" s="12" t="str"/>
      <x:c r="AC12" s="12" t="str"/>
      <x:c r="AD12" s="12" t="str"/>
      <x:c r="AE12" s="12" t="str"/>
      <x:c r="AF12" s="12" t="str"/>
      <x:c r="AG12" s="12" t="str"/>
      <x:c r="AH12" s="12" t="str"/>
      <x:c r="AI12" s="12" t="str"/>
      <x:c r="AJ12" s="12" t="str"/>
      <x:c r="AK12" s="12" t="str"/>
      <x:c r="AL12" s="12" t="str"/>
      <x:c r="AM12" s="12" t="str"/>
      <x:c r="AN12" s="12" t="str"/>
      <x:c r="AO12" s="12" t="str"/>
      <x:c r="AP12" s="12" t="str"/>
      <x:c r="AQ12" s="12" t="str"/>
      <x:c r="AR12" s="12" t="str"/>
      <x:c r="AS12" s="12" t="str"/>
      <x:c r="AT12" s="12" t="str"/>
      <x:c r="AU12" s="12" t="str"/>
      <x:c r="AV12" s="12" t="str">
        <x:v>NOT_NEEDED</x:v>
      </x:c>
    </x:row>
    <x:row r="13">
      <x:c r="A13" s="12" t="str">
        <x:v>PILOT_12_M01</x:v>
      </x:c>
      <x:c r="B13" s="12" t="str">
        <x:v>PILOT_12</x:v>
      </x:c>
      <x:c r="C13" s="12" t="str">
        <x:v>KT044</x:v>
      </x:c>
      <x:c r="D13" s="12" t="str"/>
      <x:c r="E13" s="12" t="str"/>
      <x:c r="F13" s="12" t="str"/>
      <x:c r="G13" s="12" t="str"/>
      <x:c r="H13" s="12" t="str"/>
      <x:c r="I13" s="12" t="str"/>
      <x:c r="J13" s="12" t="str"/>
      <x:c r="K13" s="12" t="str"/>
      <x:c r="L13" s="12" t="str"/>
      <x:c r="M13" s="12" t="str"/>
      <x:c r="N13" s="12" t="str"/>
      <x:c r="O13" s="12" t="str"/>
      <x:c r="P13" s="12" t="str"/>
      <x:c r="Q13" s="12" t="str"/>
      <x:c r="R13" s="12" t="str"/>
      <x:c r="S13" s="12" t="str"/>
      <x:c r="T13" s="12" t="str"/>
      <x:c r="U13" s="12" t="str"/>
      <x:c r="V13" s="12" t="str"/>
      <x:c r="W13" s="12" t="str"/>
      <x:c r="X13" s="12" t="str"/>
      <x:c r="Y13" s="12" t="str"/>
      <x:c r="Z13" s="12" t="str"/>
      <x:c r="AA13" s="12" t="str"/>
      <x:c r="AB13" s="12" t="str"/>
      <x:c r="AC13" s="12" t="str"/>
      <x:c r="AD13" s="12" t="str"/>
      <x:c r="AE13" s="12" t="str"/>
      <x:c r="AF13" s="12" t="str"/>
      <x:c r="AG13" s="12" t="str"/>
      <x:c r="AH13" s="12" t="str"/>
      <x:c r="AI13" s="12" t="str"/>
      <x:c r="AJ13" s="12" t="str"/>
      <x:c r="AK13" s="12" t="str"/>
      <x:c r="AL13" s="12" t="str"/>
      <x:c r="AM13" s="12" t="str"/>
      <x:c r="AN13" s="12" t="str"/>
      <x:c r="AO13" s="12" t="str"/>
      <x:c r="AP13" s="12" t="str"/>
      <x:c r="AQ13" s="12" t="str"/>
      <x:c r="AR13" s="12" t="str"/>
      <x:c r="AS13" s="12" t="str"/>
      <x:c r="AT13" s="12" t="str"/>
      <x:c r="AU13" s="12" t="str"/>
      <x:c r="AV13" s="12" t="str">
        <x:v>NOT_NEEDED</x:v>
      </x:c>
    </x:row>
    <x:row r="14">
      <x:c r="A14" s="12" t="str">
        <x:v>PILOT_13_M01</x:v>
      </x:c>
      <x:c r="B14" s="12" t="str">
        <x:v>PILOT_13</x:v>
      </x:c>
      <x:c r="C14" s="12" t="str">
        <x:v>KT049</x:v>
      </x:c>
      <x:c r="D14" s="12" t="str"/>
      <x:c r="E14" s="12" t="str"/>
      <x:c r="F14" s="12" t="str"/>
      <x:c r="G14" s="12" t="str"/>
      <x:c r="H14" s="12" t="str"/>
      <x:c r="I14" s="12" t="str"/>
      <x:c r="J14" s="12" t="str"/>
      <x:c r="K14" s="12" t="str"/>
      <x:c r="L14" s="12" t="str"/>
      <x:c r="M14" s="12" t="str"/>
      <x:c r="N14" s="12" t="str"/>
      <x:c r="O14" s="12" t="str"/>
      <x:c r="P14" s="12" t="str"/>
      <x:c r="Q14" s="12" t="str"/>
      <x:c r="R14" s="12" t="str"/>
      <x:c r="S14" s="12" t="str"/>
      <x:c r="T14" s="12" t="str"/>
      <x:c r="U14" s="12" t="str"/>
      <x:c r="V14" s="12" t="str"/>
      <x:c r="W14" s="12" t="str"/>
      <x:c r="X14" s="12" t="str"/>
      <x:c r="Y14" s="12" t="str"/>
      <x:c r="Z14" s="12" t="str"/>
      <x:c r="AA14" s="12" t="str"/>
      <x:c r="AB14" s="12" t="str"/>
      <x:c r="AC14" s="12" t="str"/>
      <x:c r="AD14" s="12" t="str"/>
      <x:c r="AE14" s="12" t="str"/>
      <x:c r="AF14" s="12" t="str"/>
      <x:c r="AG14" s="12" t="str"/>
      <x:c r="AH14" s="12" t="str"/>
      <x:c r="AI14" s="12" t="str"/>
      <x:c r="AJ14" s="12" t="str"/>
      <x:c r="AK14" s="12" t="str"/>
      <x:c r="AL14" s="12" t="str"/>
      <x:c r="AM14" s="12" t="str"/>
      <x:c r="AN14" s="12" t="str"/>
      <x:c r="AO14" s="12" t="str"/>
      <x:c r="AP14" s="12" t="str"/>
      <x:c r="AQ14" s="12" t="str"/>
      <x:c r="AR14" s="12" t="str"/>
      <x:c r="AS14" s="12" t="str"/>
      <x:c r="AT14" s="12" t="str"/>
      <x:c r="AU14" s="12" t="str"/>
      <x:c r="AV14" s="12" t="str">
        <x:v>NOT_NEEDED</x:v>
      </x:c>
    </x:row>
    <x:row r="15">
      <x:c r="A15" s="12" t="str">
        <x:v>PILOT_14_M01</x:v>
      </x:c>
      <x:c r="B15" s="12" t="str">
        <x:v>PILOT_14</x:v>
      </x:c>
      <x:c r="C15" s="12" t="str">
        <x:v>KT041</x:v>
      </x:c>
      <x:c r="D15" s="12" t="str"/>
      <x:c r="E15" s="12" t="str"/>
      <x:c r="F15" s="12" t="str"/>
      <x:c r="G15" s="12" t="str"/>
      <x:c r="H15" s="12" t="str"/>
      <x:c r="I15" s="12" t="str"/>
      <x:c r="J15" s="12" t="str"/>
      <x:c r="K15" s="12" t="str"/>
      <x:c r="L15" s="12" t="str"/>
      <x:c r="M15" s="12" t="str"/>
      <x:c r="N15" s="12" t="str"/>
      <x:c r="O15" s="12" t="str"/>
      <x:c r="P15" s="12" t="str"/>
      <x:c r="Q15" s="12" t="str"/>
      <x:c r="R15" s="12" t="str"/>
      <x:c r="S15" s="12" t="str"/>
      <x:c r="T15" s="12" t="str"/>
      <x:c r="U15" s="12" t="str"/>
      <x:c r="V15" s="12" t="str"/>
      <x:c r="W15" s="12" t="str"/>
      <x:c r="X15" s="12" t="str"/>
      <x:c r="Y15" s="12" t="str"/>
      <x:c r="Z15" s="12" t="str"/>
      <x:c r="AA15" s="12" t="str"/>
      <x:c r="AB15" s="12" t="str"/>
      <x:c r="AC15" s="12" t="str"/>
      <x:c r="AD15" s="12" t="str"/>
      <x:c r="AE15" s="12" t="str"/>
      <x:c r="AF15" s="12" t="str"/>
      <x:c r="AG15" s="12" t="str"/>
      <x:c r="AH15" s="12" t="str"/>
      <x:c r="AI15" s="12" t="str"/>
      <x:c r="AJ15" s="12" t="str"/>
      <x:c r="AK15" s="12" t="str"/>
      <x:c r="AL15" s="12" t="str"/>
      <x:c r="AM15" s="12" t="str"/>
      <x:c r="AN15" s="12" t="str"/>
      <x:c r="AO15" s="12" t="str"/>
      <x:c r="AP15" s="12" t="str"/>
      <x:c r="AQ15" s="12" t="str"/>
      <x:c r="AR15" s="12" t="str"/>
      <x:c r="AS15" s="12" t="str"/>
      <x:c r="AT15" s="12" t="str"/>
      <x:c r="AU15" s="12" t="str"/>
      <x:c r="AV15" s="12" t="str">
        <x:v>NOT_NEEDED</x:v>
      </x:c>
    </x:row>
    <x:row r="16">
      <x:c r="A16" s="12" t="str">
        <x:v>PILOT_15_M01</x:v>
      </x:c>
      <x:c r="B16" s="12" t="str">
        <x:v>PILOT_15</x:v>
      </x:c>
      <x:c r="C16" s="12" t="str">
        <x:v>KT055</x:v>
      </x:c>
      <x:c r="D16" s="12" t="str"/>
      <x:c r="E16" s="12" t="str"/>
      <x:c r="F16" s="12" t="str"/>
      <x:c r="G16" s="12" t="str"/>
      <x:c r="H16" s="12" t="str"/>
      <x:c r="I16" s="12" t="str"/>
      <x:c r="J16" s="12" t="str"/>
      <x:c r="K16" s="12" t="str"/>
      <x:c r="L16" s="12" t="str"/>
      <x:c r="M16" s="12" t="str"/>
      <x:c r="N16" s="12" t="str"/>
      <x:c r="O16" s="12" t="str"/>
      <x:c r="P16" s="12" t="str"/>
      <x:c r="Q16" s="12" t="str"/>
      <x:c r="R16" s="12" t="str"/>
      <x:c r="S16" s="12" t="str"/>
      <x:c r="T16" s="12" t="str"/>
      <x:c r="U16" s="12" t="str"/>
      <x:c r="V16" s="12" t="str"/>
      <x:c r="W16" s="12" t="str"/>
      <x:c r="X16" s="12" t="str"/>
      <x:c r="Y16" s="12" t="str"/>
      <x:c r="Z16" s="12" t="str"/>
      <x:c r="AA16" s="12" t="str"/>
      <x:c r="AB16" s="12" t="str"/>
      <x:c r="AC16" s="12" t="str"/>
      <x:c r="AD16" s="12" t="str"/>
      <x:c r="AE16" s="12" t="str"/>
      <x:c r="AF16" s="12" t="str"/>
      <x:c r="AG16" s="12" t="str"/>
      <x:c r="AH16" s="12" t="str"/>
      <x:c r="AI16" s="12" t="str"/>
      <x:c r="AJ16" s="12" t="str"/>
      <x:c r="AK16" s="12" t="str"/>
      <x:c r="AL16" s="12" t="str"/>
      <x:c r="AM16" s="12" t="str"/>
      <x:c r="AN16" s="12" t="str"/>
      <x:c r="AO16" s="12" t="str"/>
      <x:c r="AP16" s="12" t="str"/>
      <x:c r="AQ16" s="12" t="str"/>
      <x:c r="AR16" s="12" t="str"/>
      <x:c r="AS16" s="12" t="str"/>
      <x:c r="AT16" s="12" t="str"/>
      <x:c r="AU16" s="12" t="str"/>
      <x:c r="AV16" s="12" t="str">
        <x:v>NOT_NEEDED</x:v>
      </x:c>
    </x:row>
  </x:sheetData>
  <x:dataValidations count="14">
    <x:dataValidation type="list" sqref="J2:J16">
      <x:formula1>"Y,N,NR,UNCLEAR,NA"</x:formula1>
    </x:dataValidation>
    <x:dataValidation type="list" sqref="K2:K16">
      <x:formula1>"Y,N,NR,UNCLEAR,NA"</x:formula1>
    </x:dataValidation>
    <x:dataValidation type="list" sqref="O2:O16">
      <x:formula1>"Y,N,NR,UNCLEAR,NA"</x:formula1>
    </x:dataValidation>
    <x:dataValidation type="list" sqref="P2:P16">
      <x:formula1>"Y,N,NR,UNCLEAR,NA"</x:formula1>
    </x:dataValidation>
    <x:dataValidation type="list" sqref="Q2:Q16">
      <x:formula1>"Y,N,NR,UNCLEAR,NA"</x:formula1>
    </x:dataValidation>
    <x:dataValidation type="list" sqref="R2:R16">
      <x:formula1>"Y,N,NR,UNCLEAR,NA"</x:formula1>
    </x:dataValidation>
    <x:dataValidation type="list" sqref="S2:S16">
      <x:formula1>"Y,N,NR,UNCLEAR,NA"</x:formula1>
    </x:dataValidation>
    <x:dataValidation type="list" sqref="T2:T16">
      <x:formula1>"Y,N,NR,UNCLEAR,NA"</x:formula1>
    </x:dataValidation>
    <x:dataValidation type="list" sqref="AE2:AE16">
      <x:formula1>"Y,N,NR,UNCLEAR,NA"</x:formula1>
    </x:dataValidation>
    <x:dataValidation type="list" sqref="AP2:AP16">
      <x:formula1>"Y,N,NR,UNCLEAR,NA"</x:formula1>
    </x:dataValidation>
    <x:dataValidation type="list" sqref="H2:H16">
      <x:formula1>"LOW,POTENTIAL,HIGH,NA,UNCLEAR"</x:formula1>
    </x:dataValidation>
    <x:dataValidation type="list" sqref="AN2:AN16">
      <x:formula1>"AUTHOR_STATED,REVIEWER_INFERRED,METADATA,REPRODUCED"</x:formula1>
    </x:dataValidation>
    <x:dataValidation type="list" sqref="AS2:AS16">
      <x:formula1>"HIGH,MEDIUM,LOW"</x:formula1>
    </x:dataValidation>
    <x:dataValidation type="list" sqref="AV2:AV16">
      <x:formula1>"NOT_NEEDED,PENDING,RESOLVED"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8991e05d474cd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28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22" hidden="0" customWidth="1"/>
    <x:col min="18" max="18" width="22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28" hidden="0" customWidth="1"/>
    <x:col min="30" max="30" width="28" hidden="0" customWidth="1"/>
    <x:col min="31" max="31" width="28" hidden="0" customWidth="1"/>
    <x:col min="32" max="32" width="15" hidden="0" customWidth="1"/>
    <x:col min="33" max="33" width="15" hidden="0" customWidth="1"/>
    <x:col min="34" max="34" width="15" hidden="0" customWidth="1"/>
    <x:col min="35" max="35" width="28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22" hidden="0" customWidth="1"/>
    <x:col min="43" max="43" width="22" hidden="0" customWidth="1"/>
    <x:col min="44" max="44" width="22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22" hidden="0" customWidth="1"/>
    <x:col min="50" max="50" width="22" hidden="0" customWidth="1"/>
    <x:col min="51" max="51" width="22" hidden="0" customWidth="1"/>
    <x:col min="52" max="52" width="22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24" hidden="0" customWidth="1"/>
    <x:col min="63" max="63" width="24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38" hidden="0" customWidth="1"/>
    <x:col min="73" max="73" width="38" hidden="0" customWidth="1"/>
  </x:cols>
  <x:sheetData>
    <x:row r="1">
      <x:c r="A1" s="27" t="str">
        <x:v>experiment_id</x:v>
      </x:c>
      <x:c r="B1" s="27" t="str">
        <x:v>paper_id</x:v>
      </x:c>
      <x:c r="C1" s="27" t="str">
        <x:v>model_entry_id</x:v>
      </x:c>
      <x:c r="D1" s="27" t="str">
        <x:v>dataset_name</x:v>
      </x:c>
      <x:c r="E1" s="27" t="str">
        <x:v>dataset_version</x:v>
      </x:c>
      <x:c r="F1" s="27" t="str">
        <x:v>dataset_source</x:v>
      </x:c>
      <x:c r="G1" s="27" t="str">
        <x:v>n_learners_reported</x:v>
      </x:c>
      <x:c r="H1" s="27" t="str">
        <x:v>n_items_reported</x:v>
      </x:c>
      <x:c r="I1" s="27" t="str">
        <x:v>n_kcs_reported</x:v>
      </x:c>
      <x:c r="J1" s="27" t="str">
        <x:v>n_interactions_reported</x:v>
      </x:c>
      <x:c r="K1" s="27" t="str">
        <x:v>multi_skill_present</x:v>
      </x:c>
      <x:c r="L1" s="27" t="str">
        <x:v>multi_skill_handling</x:v>
      </x:c>
      <x:c r="M1" s="27" t="str">
        <x:v>sequence_truncation</x:v>
      </x:c>
      <x:c r="N1" s="27" t="str">
        <x:v>min_sequence_filter</x:v>
      </x:c>
      <x:c r="O1" s="27" t="str">
        <x:v>timestamp_used</x:v>
      </x:c>
      <x:c r="P1" s="27" t="str">
        <x:v>preprocessing_code_available</x:v>
      </x:c>
      <x:c r="Q1" s="27" t="str">
        <x:v>split_type</x:v>
      </x:c>
      <x:c r="R1" s="27" t="str">
        <x:v>split_unit_original</x:v>
      </x:c>
      <x:c r="S1" s="27" t="str">
        <x:v>train_fraction</x:v>
      </x:c>
      <x:c r="T1" s="27" t="str">
        <x:v>validation_fraction</x:v>
      </x:c>
      <x:c r="U1" s="27" t="str">
        <x:v>test_fraction</x:v>
      </x:c>
      <x:c r="V1" s="27" t="str">
        <x:v>validation_set_separate</x:v>
      </x:c>
      <x:c r="W1" s="27" t="str">
        <x:v>early_stopping_validation_only</x:v>
      </x:c>
      <x:c r="X1" s="27" t="str">
        <x:v>graph_train_only</x:v>
      </x:c>
      <x:c r="Y1" s="27" t="str">
        <x:v>normalization_train_only</x:v>
      </x:c>
      <x:c r="Z1" s="27" t="str">
        <x:v>sparse_strata_train_only</x:v>
      </x:c>
      <x:c r="AA1" s="27" t="str">
        <x:v>temporal_alignment_audited</x:v>
      </x:c>
      <x:c r="AB1" s="27" t="str">
        <x:v>duplicate_entity_leakage_checked</x:v>
      </x:c>
      <x:c r="AC1" s="27" t="str">
        <x:v>sparsity_construct</x:v>
      </x:c>
      <x:c r="AD1" s="27" t="str">
        <x:v>sparse_definition_original</x:v>
      </x:c>
      <x:c r="AE1" s="27" t="str">
        <x:v>sparse_threshold_original</x:v>
      </x:c>
      <x:c r="AF1" s="27" t="str">
        <x:v>threshold_source</x:v>
      </x:c>
      <x:c r="AG1" s="27" t="str">
        <x:v>frequency_computed_on</x:v>
      </x:c>
      <x:c r="AH1" s="27" t="str">
        <x:v>strict_zero_train_verified</x:v>
      </x:c>
      <x:c r="AI1" s="27" t="str">
        <x:v>external_info_for_unseen_kc</x:v>
      </x:c>
      <x:c r="AJ1" s="27" t="str">
        <x:v>support_kcs</x:v>
      </x:c>
      <x:c r="AK1" s="27" t="str">
        <x:v>support_learners</x:v>
      </x:c>
      <x:c r="AL1" s="27" t="str">
        <x:v>support_items</x:v>
      </x:c>
      <x:c r="AM1" s="27" t="str">
        <x:v>support_test_interactions</x:v>
      </x:c>
      <x:c r="AN1" s="27" t="str">
        <x:v>positive_count</x:v>
      </x:c>
      <x:c r="AO1" s="27" t="str">
        <x:v>negative_count</x:v>
      </x:c>
      <x:c r="AP1" s="27" t="str">
        <x:v>metric_name_original</x:v>
      </x:c>
      <x:c r="AQ1" s="27" t="str">
        <x:v>metric_value_original</x:v>
      </x:c>
      <x:c r="AR1" s="27" t="str">
        <x:v>metric_scope</x:v>
      </x:c>
      <x:c r="AS1" s="27" t="str">
        <x:v>n_seeds</x:v>
      </x:c>
      <x:c r="AT1" s="27" t="str">
        <x:v>seed_values_reported</x:v>
      </x:c>
      <x:c r="AU1" s="27" t="str">
        <x:v>mean_std_reported</x:v>
      </x:c>
      <x:c r="AV1" s="27" t="str">
        <x:v>confidence_interval</x:v>
      </x:c>
      <x:c r="AW1" s="27" t="str">
        <x:v>bootstrap_unit</x:v>
      </x:c>
      <x:c r="AX1" s="27" t="str">
        <x:v>statistical_test</x:v>
      </x:c>
      <x:c r="AY1" s="27" t="str">
        <x:v>multiple_comparison_correction</x:v>
      </x:c>
      <x:c r="AZ1" s="27" t="str">
        <x:v>effect_size</x:v>
      </x:c>
      <x:c r="BA1" s="27" t="str">
        <x:v>paired_design</x:v>
      </x:c>
      <x:c r="BB1" s="27" t="str">
        <x:v>significance_threshold</x:v>
      </x:c>
      <x:c r="BC1" s="27" t="str">
        <x:v>parameter_count</x:v>
      </x:c>
      <x:c r="BD1" s="27" t="str">
        <x:v>train_time</x:v>
      </x:c>
      <x:c r="BE1" s="27" t="str">
        <x:v>time_per_epoch</x:v>
      </x:c>
      <x:c r="BF1" s="27" t="str">
        <x:v>inference_latency</x:v>
      </x:c>
      <x:c r="BG1" s="27" t="str">
        <x:v>throughput</x:v>
      </x:c>
      <x:c r="BH1" s="27" t="str">
        <x:v>cpu_ram</x:v>
      </x:c>
      <x:c r="BI1" s="27" t="str">
        <x:v>gpu_vram</x:v>
      </x:c>
      <x:c r="BJ1" s="27" t="str">
        <x:v>hardware</x:v>
      </x:c>
      <x:c r="BK1" s="27" t="str">
        <x:v>graph_construction_time</x:v>
      </x:c>
      <x:c r="BL1" s="27" t="str">
        <x:v>complexity_formula</x:v>
      </x:c>
      <x:c r="BM1" s="27" t="str">
        <x:v>scale_up_experiment</x:v>
      </x:c>
      <x:c r="BN1" s="27" t="str">
        <x:v>oom_timeout_reported</x:v>
      </x:c>
      <x:c r="BO1" s="27" t="str">
        <x:v>coding_basis</x:v>
      </x:c>
      <x:c r="BP1" s="27" t="str">
        <x:v>coder_id</x:v>
      </x:c>
      <x:c r="BQ1" s="27" t="str">
        <x:v>coder_confidence</x:v>
      </x:c>
      <x:c r="BR1" s="27" t="str">
        <x:v>evidence_locator</x:v>
      </x:c>
      <x:c r="BS1" s="27" t="str">
        <x:v>evidence_note</x:v>
      </x:c>
      <x:c r="BT1" s="27" t="str">
        <x:v>adjudication_status</x:v>
      </x:c>
      <x:c r="BU1" s="27"/>
    </x:row>
    <x:row r="2">
      <x:c r="A2" s="12" t="str">
        <x:v>PILOT_01_E01</x:v>
      </x:c>
      <x:c r="B2" s="12" t="str">
        <x:v>PILOT_01</x:v>
      </x:c>
      <x:c r="C2" s="12" t="str">
        <x:v>PILOT_01_M01</x:v>
      </x:c>
      <x:c r="D2" s="12" t="str"/>
      <x:c r="E2" s="12" t="str"/>
      <x:c r="F2" s="12" t="str"/>
      <x:c r="G2" s="12" t="str"/>
      <x:c r="H2" s="12" t="str"/>
      <x:c r="I2" s="12" t="str"/>
      <x:c r="J2" s="12" t="str"/>
      <x:c r="K2" s="12" t="str"/>
      <x:c r="L2" s="12" t="str"/>
      <x:c r="M2" s="12" t="str"/>
      <x:c r="N2" s="12" t="str"/>
      <x:c r="O2" s="12" t="str"/>
      <x:c r="P2" s="12" t="str"/>
      <x:c r="Q2" s="12" t="str"/>
      <x:c r="R2" s="12" t="str"/>
      <x:c r="S2" s="12" t="str"/>
      <x:c r="T2" s="12" t="str"/>
      <x:c r="U2" s="12" t="str"/>
      <x:c r="V2" s="12" t="str"/>
      <x:c r="W2" s="12" t="str"/>
      <x:c r="X2" s="12" t="str"/>
      <x:c r="Y2" s="12" t="str"/>
      <x:c r="Z2" s="12" t="str"/>
      <x:c r="AA2" s="12" t="str"/>
      <x:c r="AB2" s="12" t="str"/>
      <x:c r="AC2" s="12" t="str"/>
      <x:c r="AD2" s="12" t="str"/>
      <x:c r="AE2" s="12" t="str"/>
      <x:c r="AF2" s="12" t="str"/>
      <x:c r="AG2" s="12" t="str"/>
      <x:c r="AH2" s="12" t="str"/>
      <x:c r="AI2" s="12" t="str"/>
      <x:c r="AJ2" s="12" t="str"/>
      <x:c r="AK2" s="12" t="str"/>
      <x:c r="AL2" s="12" t="str"/>
      <x:c r="AM2" s="12" t="str"/>
      <x:c r="AN2" s="12" t="str"/>
      <x:c r="AO2" s="12" t="str"/>
      <x:c r="AP2" s="12" t="str"/>
      <x:c r="AQ2" s="12" t="str"/>
      <x:c r="AR2" s="12" t="str"/>
      <x:c r="AS2" s="12" t="str"/>
      <x:c r="AT2" s="12" t="str"/>
      <x:c r="AU2" s="12" t="str"/>
      <x:c r="AV2" s="12" t="str"/>
      <x:c r="AW2" s="12" t="str"/>
      <x:c r="AX2" s="12" t="str"/>
      <x:c r="AY2" s="12" t="str"/>
      <x:c r="AZ2" s="12" t="str"/>
      <x:c r="BA2" s="12" t="str"/>
      <x:c r="BB2" s="12" t="str"/>
      <x:c r="BC2" s="12" t="str"/>
      <x:c r="BD2" s="12" t="str"/>
      <x:c r="BE2" s="12" t="str"/>
      <x:c r="BF2" s="12" t="str"/>
      <x:c r="BG2" s="12" t="str"/>
      <x:c r="BH2" s="12" t="str"/>
      <x:c r="BI2" s="12" t="str"/>
      <x:c r="BJ2" s="12" t="str"/>
      <x:c r="BK2" s="12" t="str"/>
      <x:c r="BL2" s="12" t="str"/>
      <x:c r="BM2" s="12" t="str"/>
      <x:c r="BN2" s="12" t="str"/>
      <x:c r="BO2" s="12" t="str"/>
      <x:c r="BP2" s="12" t="str"/>
      <x:c r="BQ2" s="12" t="str"/>
      <x:c r="BR2" s="12" t="str">
        <x:v>NOT_NEEDED</x:v>
      </x:c>
      <x:c r="BS2" s="12"/>
      <x:c r="BT2" s="12"/>
      <x:c r="BU2" s="12"/>
    </x:row>
    <x:row r="3">
      <x:c r="A3" s="12" t="str">
        <x:v>PILOT_02_E01</x:v>
      </x:c>
      <x:c r="B3" s="12" t="str">
        <x:v>PILOT_02</x:v>
      </x:c>
      <x:c r="C3" s="12" t="str">
        <x:v>PILOT_02_M01</x:v>
      </x:c>
      <x:c r="D3" s="12" t="str"/>
      <x:c r="E3" s="12" t="str"/>
      <x:c r="F3" s="12" t="str"/>
      <x:c r="G3" s="12" t="str"/>
      <x:c r="H3" s="12" t="str"/>
      <x:c r="I3" s="12" t="str"/>
      <x:c r="J3" s="12" t="str"/>
      <x:c r="K3" s="12" t="str"/>
      <x:c r="L3" s="12" t="str"/>
      <x:c r="M3" s="12" t="str"/>
      <x:c r="N3" s="12" t="str"/>
      <x:c r="O3" s="12" t="str"/>
      <x:c r="P3" s="12" t="str"/>
      <x:c r="Q3" s="12" t="str"/>
      <x:c r="R3" s="12" t="str"/>
      <x:c r="S3" s="12" t="str"/>
      <x:c r="T3" s="12" t="str"/>
      <x:c r="U3" s="12" t="str"/>
      <x:c r="V3" s="12" t="str"/>
      <x:c r="W3" s="12" t="str"/>
      <x:c r="X3" s="12" t="str"/>
      <x:c r="Y3" s="12" t="str"/>
      <x:c r="Z3" s="12" t="str"/>
      <x:c r="AA3" s="12" t="str"/>
      <x:c r="AB3" s="12" t="str"/>
      <x:c r="AC3" s="12" t="str"/>
      <x:c r="AD3" s="12" t="str"/>
      <x:c r="AE3" s="12" t="str"/>
      <x:c r="AF3" s="12" t="str"/>
      <x:c r="AG3" s="12" t="str"/>
      <x:c r="AH3" s="12" t="str"/>
      <x:c r="AI3" s="12" t="str"/>
      <x:c r="AJ3" s="12" t="str"/>
      <x:c r="AK3" s="12" t="str"/>
      <x:c r="AL3" s="12" t="str"/>
      <x:c r="AM3" s="12" t="str"/>
      <x:c r="AN3" s="12" t="str"/>
      <x:c r="AO3" s="12" t="str"/>
      <x:c r="AP3" s="12" t="str"/>
      <x:c r="AQ3" s="12" t="str"/>
      <x:c r="AR3" s="12" t="str"/>
      <x:c r="AS3" s="12" t="str"/>
      <x:c r="AT3" s="12" t="str"/>
      <x:c r="AU3" s="12" t="str"/>
      <x:c r="AV3" s="12" t="str"/>
      <x:c r="AW3" s="12" t="str"/>
      <x:c r="AX3" s="12" t="str"/>
      <x:c r="AY3" s="12" t="str"/>
      <x:c r="AZ3" s="12" t="str"/>
      <x:c r="BA3" s="12" t="str"/>
      <x:c r="BB3" s="12" t="str"/>
      <x:c r="BC3" s="12" t="str"/>
      <x:c r="BD3" s="12" t="str"/>
      <x:c r="BE3" s="12" t="str"/>
      <x:c r="BF3" s="12" t="str"/>
      <x:c r="BG3" s="12" t="str"/>
      <x:c r="BH3" s="12" t="str"/>
      <x:c r="BI3" s="12" t="str"/>
      <x:c r="BJ3" s="12" t="str"/>
      <x:c r="BK3" s="12" t="str"/>
      <x:c r="BL3" s="12" t="str"/>
      <x:c r="BM3" s="12" t="str"/>
      <x:c r="BN3" s="12" t="str"/>
      <x:c r="BO3" s="12" t="str"/>
      <x:c r="BP3" s="12" t="str"/>
      <x:c r="BQ3" s="12" t="str"/>
      <x:c r="BR3" s="12" t="str">
        <x:v>NOT_NEEDED</x:v>
      </x:c>
      <x:c r="BS3" s="12"/>
      <x:c r="BT3" s="12"/>
      <x:c r="BU3" s="12"/>
    </x:row>
    <x:row r="4">
      <x:c r="A4" s="12" t="str">
        <x:v>PILOT_03_E01</x:v>
      </x:c>
      <x:c r="B4" s="12" t="str">
        <x:v>PILOT_03</x:v>
      </x:c>
      <x:c r="C4" s="12" t="str">
        <x:v>PILOT_03_M01</x:v>
      </x:c>
      <x:c r="D4" s="12" t="str"/>
      <x:c r="E4" s="12" t="str"/>
      <x:c r="F4" s="12" t="str"/>
      <x:c r="G4" s="12" t="str"/>
      <x:c r="H4" s="12" t="str"/>
      <x:c r="I4" s="12" t="str"/>
      <x:c r="J4" s="12" t="str"/>
      <x:c r="K4" s="12" t="str"/>
      <x:c r="L4" s="12" t="str"/>
      <x:c r="M4" s="12" t="str"/>
      <x:c r="N4" s="12" t="str"/>
      <x:c r="O4" s="12" t="str"/>
      <x:c r="P4" s="12" t="str"/>
      <x:c r="Q4" s="12" t="str"/>
      <x:c r="R4" s="12" t="str"/>
      <x:c r="S4" s="12" t="str"/>
      <x:c r="T4" s="12" t="str"/>
      <x:c r="U4" s="12" t="str"/>
      <x:c r="V4" s="12" t="str"/>
      <x:c r="W4" s="12" t="str"/>
      <x:c r="X4" s="12" t="str"/>
      <x:c r="Y4" s="12" t="str"/>
      <x:c r="Z4" s="12" t="str"/>
      <x:c r="AA4" s="12" t="str"/>
      <x:c r="AB4" s="12" t="str"/>
      <x:c r="AC4" s="12" t="str"/>
      <x:c r="AD4" s="12" t="str"/>
      <x:c r="AE4" s="12" t="str"/>
      <x:c r="AF4" s="12" t="str"/>
      <x:c r="AG4" s="12" t="str"/>
      <x:c r="AH4" s="12" t="str"/>
      <x:c r="AI4" s="12" t="str"/>
      <x:c r="AJ4" s="12" t="str"/>
      <x:c r="AK4" s="12" t="str"/>
      <x:c r="AL4" s="12" t="str"/>
      <x:c r="AM4" s="12" t="str"/>
      <x:c r="AN4" s="12" t="str"/>
      <x:c r="AO4" s="12" t="str"/>
      <x:c r="AP4" s="12" t="str"/>
      <x:c r="AQ4" s="12" t="str"/>
      <x:c r="AR4" s="12" t="str"/>
      <x:c r="AS4" s="12" t="str"/>
      <x:c r="AT4" s="12" t="str"/>
      <x:c r="AU4" s="12" t="str"/>
      <x:c r="AV4" s="12" t="str"/>
      <x:c r="AW4" s="12" t="str"/>
      <x:c r="AX4" s="12" t="str"/>
      <x:c r="AY4" s="12" t="str"/>
      <x:c r="AZ4" s="12" t="str"/>
      <x:c r="BA4" s="12" t="str"/>
      <x:c r="BB4" s="12" t="str"/>
      <x:c r="BC4" s="12" t="str"/>
      <x:c r="BD4" s="12" t="str"/>
      <x:c r="BE4" s="12" t="str"/>
      <x:c r="BF4" s="12" t="str"/>
      <x:c r="BG4" s="12" t="str"/>
      <x:c r="BH4" s="12" t="str"/>
      <x:c r="BI4" s="12" t="str"/>
      <x:c r="BJ4" s="12" t="str"/>
      <x:c r="BK4" s="12" t="str"/>
      <x:c r="BL4" s="12" t="str"/>
      <x:c r="BM4" s="12" t="str"/>
      <x:c r="BN4" s="12" t="str"/>
      <x:c r="BO4" s="12" t="str"/>
      <x:c r="BP4" s="12" t="str"/>
      <x:c r="BQ4" s="12" t="str"/>
      <x:c r="BR4" s="12" t="str">
        <x:v>NOT_NEEDED</x:v>
      </x:c>
      <x:c r="BS4" s="12"/>
      <x:c r="BT4" s="12"/>
      <x:c r="BU4" s="12"/>
    </x:row>
    <x:row r="5">
      <x:c r="A5" s="12" t="str">
        <x:v>PILOT_04_E01</x:v>
      </x:c>
      <x:c r="B5" s="12" t="str">
        <x:v>PILOT_04</x:v>
      </x:c>
      <x:c r="C5" s="12" t="str">
        <x:v>PILOT_04_M01</x:v>
      </x:c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/>
      <x:c r="N5" s="12" t="str"/>
      <x:c r="O5" s="12" t="str"/>
      <x:c r="P5" s="12" t="str"/>
      <x:c r="Q5" s="12" t="str"/>
      <x:c r="R5" s="12" t="str"/>
      <x:c r="S5" s="12" t="str"/>
      <x:c r="T5" s="12" t="str"/>
      <x:c r="U5" s="12" t="str"/>
      <x:c r="V5" s="12" t="str"/>
      <x:c r="W5" s="12" t="str"/>
      <x:c r="X5" s="12" t="str"/>
      <x:c r="Y5" s="12" t="str"/>
      <x:c r="Z5" s="12" t="str"/>
      <x:c r="AA5" s="12" t="str"/>
      <x:c r="AB5" s="12" t="str"/>
      <x:c r="AC5" s="12" t="str"/>
      <x:c r="AD5" s="12" t="str"/>
      <x:c r="AE5" s="12" t="str"/>
      <x:c r="AF5" s="12" t="str"/>
      <x:c r="AG5" s="12" t="str"/>
      <x:c r="AH5" s="12" t="str"/>
      <x:c r="AI5" s="12" t="str"/>
      <x:c r="AJ5" s="12" t="str"/>
      <x:c r="AK5" s="12" t="str"/>
      <x:c r="AL5" s="12" t="str"/>
      <x:c r="AM5" s="12" t="str"/>
      <x:c r="AN5" s="12" t="str"/>
      <x:c r="AO5" s="12" t="str"/>
      <x:c r="AP5" s="12" t="str"/>
      <x:c r="AQ5" s="12" t="str"/>
      <x:c r="AR5" s="12" t="str"/>
      <x:c r="AS5" s="12" t="str"/>
      <x:c r="AT5" s="12" t="str"/>
      <x:c r="AU5" s="12" t="str"/>
      <x:c r="AV5" s="12" t="str"/>
      <x:c r="AW5" s="12" t="str"/>
      <x:c r="AX5" s="12" t="str"/>
      <x:c r="AY5" s="12" t="str"/>
      <x:c r="AZ5" s="12" t="str"/>
      <x:c r="BA5" s="12" t="str"/>
      <x:c r="BB5" s="12" t="str"/>
      <x:c r="BC5" s="12" t="str"/>
      <x:c r="BD5" s="12" t="str"/>
      <x:c r="BE5" s="12" t="str"/>
      <x:c r="BF5" s="12" t="str"/>
      <x:c r="BG5" s="12" t="str"/>
      <x:c r="BH5" s="12" t="str"/>
      <x:c r="BI5" s="12" t="str"/>
      <x:c r="BJ5" s="12" t="str"/>
      <x:c r="BK5" s="12" t="str"/>
      <x:c r="BL5" s="12" t="str"/>
      <x:c r="BM5" s="12" t="str"/>
      <x:c r="BN5" s="12" t="str"/>
      <x:c r="BO5" s="12" t="str"/>
      <x:c r="BP5" s="12" t="str"/>
      <x:c r="BQ5" s="12" t="str"/>
      <x:c r="BR5" s="12" t="str">
        <x:v>NOT_NEEDED</x:v>
      </x:c>
      <x:c r="BS5" s="12"/>
      <x:c r="BT5" s="12"/>
      <x:c r="BU5" s="12"/>
    </x:row>
    <x:row r="6">
      <x:c r="A6" s="12" t="str">
        <x:v>PILOT_05_E01</x:v>
      </x:c>
      <x:c r="B6" s="12" t="str">
        <x:v>PILOT_05</x:v>
      </x:c>
      <x:c r="C6" s="12" t="str">
        <x:v>PILOT_05_M01</x:v>
      </x:c>
      <x:c r="D6" s="12" t="str"/>
      <x:c r="E6" s="12" t="str"/>
      <x:c r="F6" s="12" t="str"/>
      <x:c r="G6" s="12" t="str"/>
      <x:c r="H6" s="12" t="str"/>
      <x:c r="I6" s="12" t="str"/>
      <x:c r="J6" s="12" t="str"/>
      <x:c r="K6" s="12" t="str"/>
      <x:c r="L6" s="12" t="str"/>
      <x:c r="M6" s="12" t="str"/>
      <x:c r="N6" s="12" t="str"/>
      <x:c r="O6" s="12" t="str"/>
      <x:c r="P6" s="12" t="str"/>
      <x:c r="Q6" s="12" t="str"/>
      <x:c r="R6" s="12" t="str"/>
      <x:c r="S6" s="12" t="str"/>
      <x:c r="T6" s="12" t="str"/>
      <x:c r="U6" s="12" t="str"/>
      <x:c r="V6" s="12" t="str"/>
      <x:c r="W6" s="12" t="str"/>
      <x:c r="X6" s="12" t="str"/>
      <x:c r="Y6" s="12" t="str"/>
      <x:c r="Z6" s="12" t="str"/>
      <x:c r="AA6" s="12" t="str"/>
      <x:c r="AB6" s="12" t="str"/>
      <x:c r="AC6" s="12" t="str"/>
      <x:c r="AD6" s="12" t="str"/>
      <x:c r="AE6" s="12" t="str"/>
      <x:c r="AF6" s="12" t="str"/>
      <x:c r="AG6" s="12" t="str"/>
      <x:c r="AH6" s="12" t="str"/>
      <x:c r="AI6" s="12" t="str"/>
      <x:c r="AJ6" s="12" t="str"/>
      <x:c r="AK6" s="12" t="str"/>
      <x:c r="AL6" s="12" t="str"/>
      <x:c r="AM6" s="12" t="str"/>
      <x:c r="AN6" s="12" t="str"/>
      <x:c r="AO6" s="12" t="str"/>
      <x:c r="AP6" s="12" t="str"/>
      <x:c r="AQ6" s="12" t="str"/>
      <x:c r="AR6" s="12" t="str"/>
      <x:c r="AS6" s="12" t="str"/>
      <x:c r="AT6" s="12" t="str"/>
      <x:c r="AU6" s="12" t="str"/>
      <x:c r="AV6" s="12" t="str"/>
      <x:c r="AW6" s="12" t="str"/>
      <x:c r="AX6" s="12" t="str"/>
      <x:c r="AY6" s="12" t="str"/>
      <x:c r="AZ6" s="12" t="str"/>
      <x:c r="BA6" s="12" t="str"/>
      <x:c r="BB6" s="12" t="str"/>
      <x:c r="BC6" s="12" t="str"/>
      <x:c r="BD6" s="12" t="str"/>
      <x:c r="BE6" s="12" t="str"/>
      <x:c r="BF6" s="12" t="str"/>
      <x:c r="BG6" s="12" t="str"/>
      <x:c r="BH6" s="12" t="str"/>
      <x:c r="BI6" s="12" t="str"/>
      <x:c r="BJ6" s="12" t="str"/>
      <x:c r="BK6" s="12" t="str"/>
      <x:c r="BL6" s="12" t="str"/>
      <x:c r="BM6" s="12" t="str"/>
      <x:c r="BN6" s="12" t="str"/>
      <x:c r="BO6" s="12" t="str"/>
      <x:c r="BP6" s="12" t="str"/>
      <x:c r="BQ6" s="12" t="str"/>
      <x:c r="BR6" s="12" t="str">
        <x:v>NOT_NEEDED</x:v>
      </x:c>
      <x:c r="BS6" s="12"/>
      <x:c r="BT6" s="12"/>
      <x:c r="BU6" s="12"/>
    </x:row>
    <x:row r="7">
      <x:c r="A7" s="12" t="str">
        <x:v>PILOT_06_E01</x:v>
      </x:c>
      <x:c r="B7" s="12" t="str">
        <x:v>PILOT_06</x:v>
      </x:c>
      <x:c r="C7" s="12" t="str">
        <x:v>PILOT_06_M01</x:v>
      </x:c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  <x:c r="M7" s="12" t="str"/>
      <x:c r="N7" s="12" t="str"/>
      <x:c r="O7" s="12" t="str"/>
      <x:c r="P7" s="12" t="str"/>
      <x:c r="Q7" s="12" t="str"/>
      <x:c r="R7" s="12" t="str"/>
      <x:c r="S7" s="12" t="str"/>
      <x:c r="T7" s="12" t="str"/>
      <x:c r="U7" s="12" t="str"/>
      <x:c r="V7" s="12" t="str"/>
      <x:c r="W7" s="12" t="str"/>
      <x:c r="X7" s="12" t="str"/>
      <x:c r="Y7" s="12" t="str"/>
      <x:c r="Z7" s="12" t="str"/>
      <x:c r="AA7" s="12" t="str"/>
      <x:c r="AB7" s="12" t="str"/>
      <x:c r="AC7" s="12" t="str"/>
      <x:c r="AD7" s="12" t="str"/>
      <x:c r="AE7" s="12" t="str"/>
      <x:c r="AF7" s="12" t="str"/>
      <x:c r="AG7" s="12" t="str"/>
      <x:c r="AH7" s="12" t="str"/>
      <x:c r="AI7" s="12" t="str"/>
      <x:c r="AJ7" s="12" t="str"/>
      <x:c r="AK7" s="12" t="str"/>
      <x:c r="AL7" s="12" t="str"/>
      <x:c r="AM7" s="12" t="str"/>
      <x:c r="AN7" s="12" t="str"/>
      <x:c r="AO7" s="12" t="str"/>
      <x:c r="AP7" s="12" t="str"/>
      <x:c r="AQ7" s="12" t="str"/>
      <x:c r="AR7" s="12" t="str"/>
      <x:c r="AS7" s="12" t="str"/>
      <x:c r="AT7" s="12" t="str"/>
      <x:c r="AU7" s="12" t="str"/>
      <x:c r="AV7" s="12" t="str"/>
      <x:c r="AW7" s="12" t="str"/>
      <x:c r="AX7" s="12" t="str"/>
      <x:c r="AY7" s="12" t="str"/>
      <x:c r="AZ7" s="12" t="str"/>
      <x:c r="BA7" s="12" t="str"/>
      <x:c r="BB7" s="12" t="str"/>
      <x:c r="BC7" s="12" t="str"/>
      <x:c r="BD7" s="12" t="str"/>
      <x:c r="BE7" s="12" t="str"/>
      <x:c r="BF7" s="12" t="str"/>
      <x:c r="BG7" s="12" t="str"/>
      <x:c r="BH7" s="12" t="str"/>
      <x:c r="BI7" s="12" t="str"/>
      <x:c r="BJ7" s="12" t="str"/>
      <x:c r="BK7" s="12" t="str"/>
      <x:c r="BL7" s="12" t="str"/>
      <x:c r="BM7" s="12" t="str"/>
      <x:c r="BN7" s="12" t="str"/>
      <x:c r="BO7" s="12" t="str"/>
      <x:c r="BP7" s="12" t="str"/>
      <x:c r="BQ7" s="12" t="str"/>
      <x:c r="BR7" s="12" t="str">
        <x:v>NOT_NEEDED</x:v>
      </x:c>
      <x:c r="BS7" s="12"/>
      <x:c r="BT7" s="12"/>
      <x:c r="BU7" s="12"/>
    </x:row>
    <x:row r="8">
      <x:c r="A8" s="12" t="str">
        <x:v>PILOT_07_E01</x:v>
      </x:c>
      <x:c r="B8" s="12" t="str">
        <x:v>PILOT_07</x:v>
      </x:c>
      <x:c r="C8" s="12" t="str">
        <x:v>PILOT_07_M01</x:v>
      </x:c>
      <x:c r="D8" s="12" t="str"/>
      <x:c r="E8" s="12" t="str"/>
      <x:c r="F8" s="12" t="str"/>
      <x:c r="G8" s="12" t="str"/>
      <x:c r="H8" s="12" t="str"/>
      <x:c r="I8" s="12" t="str"/>
      <x:c r="J8" s="12" t="str"/>
      <x:c r="K8" s="12" t="str"/>
      <x:c r="L8" s="12" t="str"/>
      <x:c r="M8" s="12" t="str"/>
      <x:c r="N8" s="12" t="str"/>
      <x:c r="O8" s="12" t="str"/>
      <x:c r="P8" s="12" t="str"/>
      <x:c r="Q8" s="12" t="str"/>
      <x:c r="R8" s="12" t="str"/>
      <x:c r="S8" s="12" t="str"/>
      <x:c r="T8" s="12" t="str"/>
      <x:c r="U8" s="12" t="str"/>
      <x:c r="V8" s="12" t="str"/>
      <x:c r="W8" s="12" t="str"/>
      <x:c r="X8" s="12" t="str"/>
      <x:c r="Y8" s="12" t="str"/>
      <x:c r="Z8" s="12" t="str"/>
      <x:c r="AA8" s="12" t="str"/>
      <x:c r="AB8" s="12" t="str"/>
      <x:c r="AC8" s="12" t="str"/>
      <x:c r="AD8" s="12" t="str"/>
      <x:c r="AE8" s="12" t="str"/>
      <x:c r="AF8" s="12" t="str"/>
      <x:c r="AG8" s="12" t="str"/>
      <x:c r="AH8" s="12" t="str"/>
      <x:c r="AI8" s="12" t="str"/>
      <x:c r="AJ8" s="12" t="str"/>
      <x:c r="AK8" s="12" t="str"/>
      <x:c r="AL8" s="12" t="str"/>
      <x:c r="AM8" s="12" t="str"/>
      <x:c r="AN8" s="12" t="str"/>
      <x:c r="AO8" s="12" t="str"/>
      <x:c r="AP8" s="12" t="str"/>
      <x:c r="AQ8" s="12" t="str"/>
      <x:c r="AR8" s="12" t="str"/>
      <x:c r="AS8" s="12" t="str"/>
      <x:c r="AT8" s="12" t="str"/>
      <x:c r="AU8" s="12" t="str"/>
      <x:c r="AV8" s="12" t="str"/>
      <x:c r="AW8" s="12" t="str"/>
      <x:c r="AX8" s="12" t="str"/>
      <x:c r="AY8" s="12" t="str"/>
      <x:c r="AZ8" s="12" t="str"/>
      <x:c r="BA8" s="12" t="str"/>
      <x:c r="BB8" s="12" t="str"/>
      <x:c r="BC8" s="12" t="str"/>
      <x:c r="BD8" s="12" t="str"/>
      <x:c r="BE8" s="12" t="str"/>
      <x:c r="BF8" s="12" t="str"/>
      <x:c r="BG8" s="12" t="str"/>
      <x:c r="BH8" s="12" t="str"/>
      <x:c r="BI8" s="12" t="str"/>
      <x:c r="BJ8" s="12" t="str"/>
      <x:c r="BK8" s="12" t="str"/>
      <x:c r="BL8" s="12" t="str"/>
      <x:c r="BM8" s="12" t="str"/>
      <x:c r="BN8" s="12" t="str"/>
      <x:c r="BO8" s="12" t="str"/>
      <x:c r="BP8" s="12" t="str"/>
      <x:c r="BQ8" s="12" t="str"/>
      <x:c r="BR8" s="12" t="str">
        <x:v>NOT_NEEDED</x:v>
      </x:c>
      <x:c r="BS8" s="12"/>
      <x:c r="BT8" s="12"/>
      <x:c r="BU8" s="12"/>
    </x:row>
    <x:row r="9">
      <x:c r="A9" s="12" t="str">
        <x:v>PILOT_08_E01</x:v>
      </x:c>
      <x:c r="B9" s="12" t="str">
        <x:v>PILOT_08</x:v>
      </x:c>
      <x:c r="C9" s="12" t="str">
        <x:v>PILOT_08_M01</x:v>
      </x:c>
      <x:c r="D9" s="12" t="str"/>
      <x:c r="E9" s="12" t="str"/>
      <x:c r="F9" s="12" t="str"/>
      <x:c r="G9" s="12" t="str"/>
      <x:c r="H9" s="12" t="str"/>
      <x:c r="I9" s="12" t="str"/>
      <x:c r="J9" s="12" t="str"/>
      <x:c r="K9" s="12" t="str"/>
      <x:c r="L9" s="12" t="str"/>
      <x:c r="M9" s="12" t="str"/>
      <x:c r="N9" s="12" t="str"/>
      <x:c r="O9" s="12" t="str"/>
      <x:c r="P9" s="12" t="str"/>
      <x:c r="Q9" s="12" t="str"/>
      <x:c r="R9" s="12" t="str"/>
      <x:c r="S9" s="12" t="str"/>
      <x:c r="T9" s="12" t="str"/>
      <x:c r="U9" s="12" t="str"/>
      <x:c r="V9" s="12" t="str"/>
      <x:c r="W9" s="12" t="str"/>
      <x:c r="X9" s="12" t="str"/>
      <x:c r="Y9" s="12" t="str"/>
      <x:c r="Z9" s="12" t="str"/>
      <x:c r="AA9" s="12" t="str"/>
      <x:c r="AB9" s="12" t="str"/>
      <x:c r="AC9" s="12" t="str"/>
      <x:c r="AD9" s="12" t="str"/>
      <x:c r="AE9" s="12" t="str"/>
      <x:c r="AF9" s="12" t="str"/>
      <x:c r="AG9" s="12" t="str"/>
      <x:c r="AH9" s="12" t="str"/>
      <x:c r="AI9" s="12" t="str"/>
      <x:c r="AJ9" s="12" t="str"/>
      <x:c r="AK9" s="12" t="str"/>
      <x:c r="AL9" s="12" t="str"/>
      <x:c r="AM9" s="12" t="str"/>
      <x:c r="AN9" s="12" t="str"/>
      <x:c r="AO9" s="12" t="str"/>
      <x:c r="AP9" s="12" t="str"/>
      <x:c r="AQ9" s="12" t="str"/>
      <x:c r="AR9" s="12" t="str"/>
      <x:c r="AS9" s="12" t="str"/>
      <x:c r="AT9" s="12" t="str"/>
      <x:c r="AU9" s="12" t="str"/>
      <x:c r="AV9" s="12" t="str"/>
      <x:c r="AW9" s="12" t="str"/>
      <x:c r="AX9" s="12" t="str"/>
      <x:c r="AY9" s="12" t="str"/>
      <x:c r="AZ9" s="12" t="str"/>
      <x:c r="BA9" s="12" t="str"/>
      <x:c r="BB9" s="12" t="str"/>
      <x:c r="BC9" s="12" t="str"/>
      <x:c r="BD9" s="12" t="str"/>
      <x:c r="BE9" s="12" t="str"/>
      <x:c r="BF9" s="12" t="str"/>
      <x:c r="BG9" s="12" t="str"/>
      <x:c r="BH9" s="12" t="str"/>
      <x:c r="BI9" s="12" t="str"/>
      <x:c r="BJ9" s="12" t="str"/>
      <x:c r="BK9" s="12" t="str"/>
      <x:c r="BL9" s="12" t="str"/>
      <x:c r="BM9" s="12" t="str"/>
      <x:c r="BN9" s="12" t="str"/>
      <x:c r="BO9" s="12" t="str"/>
      <x:c r="BP9" s="12" t="str"/>
      <x:c r="BQ9" s="12" t="str"/>
      <x:c r="BR9" s="12" t="str">
        <x:v>NOT_NEEDED</x:v>
      </x:c>
      <x:c r="BS9" s="12"/>
      <x:c r="BT9" s="12"/>
      <x:c r="BU9" s="12"/>
    </x:row>
    <x:row r="10">
      <x:c r="A10" s="12" t="str">
        <x:v>PILOT_09_E01</x:v>
      </x:c>
      <x:c r="B10" s="12" t="str">
        <x:v>PILOT_09</x:v>
      </x:c>
      <x:c r="C10" s="12" t="str">
        <x:v>PILOT_09_M01</x:v>
      </x:c>
      <x:c r="D10" s="12" t="str"/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/>
      <x:c r="M10" s="12" t="str"/>
      <x:c r="N10" s="12" t="str"/>
      <x:c r="O10" s="12" t="str"/>
      <x:c r="P10" s="12" t="str"/>
      <x:c r="Q10" s="12" t="str"/>
      <x:c r="R10" s="12" t="str"/>
      <x:c r="S10" s="12" t="str"/>
      <x:c r="T10" s="12" t="str"/>
      <x:c r="U10" s="12" t="str"/>
      <x:c r="V10" s="12" t="str"/>
      <x:c r="W10" s="12" t="str"/>
      <x:c r="X10" s="12" t="str"/>
      <x:c r="Y10" s="12" t="str"/>
      <x:c r="Z10" s="12" t="str"/>
      <x:c r="AA10" s="12" t="str"/>
      <x:c r="AB10" s="12" t="str"/>
      <x:c r="AC10" s="12" t="str"/>
      <x:c r="AD10" s="12" t="str"/>
      <x:c r="AE10" s="12" t="str"/>
      <x:c r="AF10" s="12" t="str"/>
      <x:c r="AG10" s="12" t="str"/>
      <x:c r="AH10" s="12" t="str"/>
      <x:c r="AI10" s="12" t="str"/>
      <x:c r="AJ10" s="12" t="str"/>
      <x:c r="AK10" s="12" t="str"/>
      <x:c r="AL10" s="12" t="str"/>
      <x:c r="AM10" s="12" t="str"/>
      <x:c r="AN10" s="12" t="str"/>
      <x:c r="AO10" s="12" t="str"/>
      <x:c r="AP10" s="12" t="str"/>
      <x:c r="AQ10" s="12" t="str"/>
      <x:c r="AR10" s="12" t="str"/>
      <x:c r="AS10" s="12" t="str"/>
      <x:c r="AT10" s="12" t="str"/>
      <x:c r="AU10" s="12" t="str"/>
      <x:c r="AV10" s="12" t="str"/>
      <x:c r="AW10" s="12" t="str"/>
      <x:c r="AX10" s="12" t="str"/>
      <x:c r="AY10" s="12" t="str"/>
      <x:c r="AZ10" s="12" t="str"/>
      <x:c r="BA10" s="12" t="str"/>
      <x:c r="BB10" s="12" t="str"/>
      <x:c r="BC10" s="12" t="str"/>
      <x:c r="BD10" s="12" t="str"/>
      <x:c r="BE10" s="12" t="str"/>
      <x:c r="BF10" s="12" t="str"/>
      <x:c r="BG10" s="12" t="str"/>
      <x:c r="BH10" s="12" t="str"/>
      <x:c r="BI10" s="12" t="str"/>
      <x:c r="BJ10" s="12" t="str"/>
      <x:c r="BK10" s="12" t="str"/>
      <x:c r="BL10" s="12" t="str"/>
      <x:c r="BM10" s="12" t="str"/>
      <x:c r="BN10" s="12" t="str"/>
      <x:c r="BO10" s="12" t="str"/>
      <x:c r="BP10" s="12" t="str"/>
      <x:c r="BQ10" s="12" t="str"/>
      <x:c r="BR10" s="12" t="str">
        <x:v>NOT_NEEDED</x:v>
      </x:c>
      <x:c r="BS10" s="12"/>
      <x:c r="BT10" s="12"/>
      <x:c r="BU10" s="12"/>
    </x:row>
    <x:row r="11">
      <x:c r="A11" s="12" t="str">
        <x:v>PILOT_10_E01</x:v>
      </x:c>
      <x:c r="B11" s="12" t="str">
        <x:v>PILOT_10</x:v>
      </x:c>
      <x:c r="C11" s="12" t="str">
        <x:v>PILOT_10_M01</x:v>
      </x:c>
      <x:c r="D11" s="12" t="str"/>
      <x:c r="E11" s="12" t="str"/>
      <x:c r="F11" s="12" t="str"/>
      <x:c r="G11" s="12" t="str"/>
      <x:c r="H11" s="12" t="str"/>
      <x:c r="I11" s="12" t="str"/>
      <x:c r="J11" s="12" t="str"/>
      <x:c r="K11" s="12" t="str"/>
      <x:c r="L11" s="12" t="str"/>
      <x:c r="M11" s="12" t="str"/>
      <x:c r="N11" s="12" t="str"/>
      <x:c r="O11" s="12" t="str"/>
      <x:c r="P11" s="12" t="str"/>
      <x:c r="Q11" s="12" t="str"/>
      <x:c r="R11" s="12" t="str"/>
      <x:c r="S11" s="12" t="str"/>
      <x:c r="T11" s="12" t="str"/>
      <x:c r="U11" s="12" t="str"/>
      <x:c r="V11" s="12" t="str"/>
      <x:c r="W11" s="12" t="str"/>
      <x:c r="X11" s="12" t="str"/>
      <x:c r="Y11" s="12" t="str"/>
      <x:c r="Z11" s="12" t="str"/>
      <x:c r="AA11" s="12" t="str"/>
      <x:c r="AB11" s="12" t="str"/>
      <x:c r="AC11" s="12" t="str"/>
      <x:c r="AD11" s="12" t="str"/>
      <x:c r="AE11" s="12" t="str"/>
      <x:c r="AF11" s="12" t="str"/>
      <x:c r="AG11" s="12" t="str"/>
      <x:c r="AH11" s="12" t="str"/>
      <x:c r="AI11" s="12" t="str"/>
      <x:c r="AJ11" s="12" t="str"/>
      <x:c r="AK11" s="12" t="str"/>
      <x:c r="AL11" s="12" t="str"/>
      <x:c r="AM11" s="12" t="str"/>
      <x:c r="AN11" s="12" t="str"/>
      <x:c r="AO11" s="12" t="str"/>
      <x:c r="AP11" s="12" t="str"/>
      <x:c r="AQ11" s="12" t="str"/>
      <x:c r="AR11" s="12" t="str"/>
      <x:c r="AS11" s="12" t="str"/>
      <x:c r="AT11" s="12" t="str"/>
      <x:c r="AU11" s="12" t="str"/>
      <x:c r="AV11" s="12" t="str"/>
      <x:c r="AW11" s="12" t="str"/>
      <x:c r="AX11" s="12" t="str"/>
      <x:c r="AY11" s="12" t="str"/>
      <x:c r="AZ11" s="12" t="str"/>
      <x:c r="BA11" s="12" t="str"/>
      <x:c r="BB11" s="12" t="str"/>
      <x:c r="BC11" s="12" t="str"/>
      <x:c r="BD11" s="12" t="str"/>
      <x:c r="BE11" s="12" t="str"/>
      <x:c r="BF11" s="12" t="str"/>
      <x:c r="BG11" s="12" t="str"/>
      <x:c r="BH11" s="12" t="str"/>
      <x:c r="BI11" s="12" t="str"/>
      <x:c r="BJ11" s="12" t="str"/>
      <x:c r="BK11" s="12" t="str"/>
      <x:c r="BL11" s="12" t="str"/>
      <x:c r="BM11" s="12" t="str"/>
      <x:c r="BN11" s="12" t="str"/>
      <x:c r="BO11" s="12" t="str"/>
      <x:c r="BP11" s="12" t="str"/>
      <x:c r="BQ11" s="12" t="str"/>
      <x:c r="BR11" s="12" t="str">
        <x:v>NOT_NEEDED</x:v>
      </x:c>
      <x:c r="BS11" s="12"/>
      <x:c r="BT11" s="12"/>
      <x:c r="BU11" s="12"/>
    </x:row>
    <x:row r="12">
      <x:c r="A12" s="12" t="str">
        <x:v>PILOT_11_E01</x:v>
      </x:c>
      <x:c r="B12" s="12" t="str">
        <x:v>PILOT_11</x:v>
      </x:c>
      <x:c r="C12" s="12" t="str">
        <x:v>PILOT_11_M01</x:v>
      </x:c>
      <x:c r="D12" s="12" t="str"/>
      <x:c r="E12" s="12" t="str"/>
      <x:c r="F12" s="12" t="str"/>
      <x:c r="G12" s="12" t="str"/>
      <x:c r="H12" s="12" t="str"/>
      <x:c r="I12" s="12" t="str"/>
      <x:c r="J12" s="12" t="str"/>
      <x:c r="K12" s="12" t="str"/>
      <x:c r="L12" s="12" t="str"/>
      <x:c r="M12" s="12" t="str"/>
      <x:c r="N12" s="12" t="str"/>
      <x:c r="O12" s="12" t="str"/>
      <x:c r="P12" s="12" t="str"/>
      <x:c r="Q12" s="12" t="str"/>
      <x:c r="R12" s="12" t="str"/>
      <x:c r="S12" s="12" t="str"/>
      <x:c r="T12" s="12" t="str"/>
      <x:c r="U12" s="12" t="str"/>
      <x:c r="V12" s="12" t="str"/>
      <x:c r="W12" s="12" t="str"/>
      <x:c r="X12" s="12" t="str"/>
      <x:c r="Y12" s="12" t="str"/>
      <x:c r="Z12" s="12" t="str"/>
      <x:c r="AA12" s="12" t="str"/>
      <x:c r="AB12" s="12" t="str"/>
      <x:c r="AC12" s="12" t="str"/>
      <x:c r="AD12" s="12" t="str"/>
      <x:c r="AE12" s="12" t="str"/>
      <x:c r="AF12" s="12" t="str"/>
      <x:c r="AG12" s="12" t="str"/>
      <x:c r="AH12" s="12" t="str"/>
      <x:c r="AI12" s="12" t="str"/>
      <x:c r="AJ12" s="12" t="str"/>
      <x:c r="AK12" s="12" t="str"/>
      <x:c r="AL12" s="12" t="str"/>
      <x:c r="AM12" s="12" t="str"/>
      <x:c r="AN12" s="12" t="str"/>
      <x:c r="AO12" s="12" t="str"/>
      <x:c r="AP12" s="12" t="str"/>
      <x:c r="AQ12" s="12" t="str"/>
      <x:c r="AR12" s="12" t="str"/>
      <x:c r="AS12" s="12" t="str"/>
      <x:c r="AT12" s="12" t="str"/>
      <x:c r="AU12" s="12" t="str"/>
      <x:c r="AV12" s="12" t="str"/>
      <x:c r="AW12" s="12" t="str"/>
      <x:c r="AX12" s="12" t="str"/>
      <x:c r="AY12" s="12" t="str"/>
      <x:c r="AZ12" s="12" t="str"/>
      <x:c r="BA12" s="12" t="str"/>
      <x:c r="BB12" s="12" t="str"/>
      <x:c r="BC12" s="12" t="str"/>
      <x:c r="BD12" s="12" t="str"/>
      <x:c r="BE12" s="12" t="str"/>
      <x:c r="BF12" s="12" t="str"/>
      <x:c r="BG12" s="12" t="str"/>
      <x:c r="BH12" s="12" t="str"/>
      <x:c r="BI12" s="12" t="str"/>
      <x:c r="BJ12" s="12" t="str"/>
      <x:c r="BK12" s="12" t="str"/>
      <x:c r="BL12" s="12" t="str"/>
      <x:c r="BM12" s="12" t="str"/>
      <x:c r="BN12" s="12" t="str"/>
      <x:c r="BO12" s="12" t="str"/>
      <x:c r="BP12" s="12" t="str"/>
      <x:c r="BQ12" s="12" t="str"/>
      <x:c r="BR12" s="12" t="str">
        <x:v>NOT_NEEDED</x:v>
      </x:c>
      <x:c r="BS12" s="12"/>
      <x:c r="BT12" s="12"/>
      <x:c r="BU12" s="12"/>
    </x:row>
    <x:row r="13">
      <x:c r="A13" s="12" t="str">
        <x:v>PILOT_12_E01</x:v>
      </x:c>
      <x:c r="B13" s="12" t="str">
        <x:v>PILOT_12</x:v>
      </x:c>
      <x:c r="C13" s="12" t="str">
        <x:v>PILOT_12_M01</x:v>
      </x:c>
      <x:c r="D13" s="12" t="str"/>
      <x:c r="E13" s="12" t="str"/>
      <x:c r="F13" s="12" t="str"/>
      <x:c r="G13" s="12" t="str"/>
      <x:c r="H13" s="12" t="str"/>
      <x:c r="I13" s="12" t="str"/>
      <x:c r="J13" s="12" t="str"/>
      <x:c r="K13" s="12" t="str"/>
      <x:c r="L13" s="12" t="str"/>
      <x:c r="M13" s="12" t="str"/>
      <x:c r="N13" s="12" t="str"/>
      <x:c r="O13" s="12" t="str"/>
      <x:c r="P13" s="12" t="str"/>
      <x:c r="Q13" s="12" t="str"/>
      <x:c r="R13" s="12" t="str"/>
      <x:c r="S13" s="12" t="str"/>
      <x:c r="T13" s="12" t="str"/>
      <x:c r="U13" s="12" t="str"/>
      <x:c r="V13" s="12" t="str"/>
      <x:c r="W13" s="12" t="str"/>
      <x:c r="X13" s="12" t="str"/>
      <x:c r="Y13" s="12" t="str"/>
      <x:c r="Z13" s="12" t="str"/>
      <x:c r="AA13" s="12" t="str"/>
      <x:c r="AB13" s="12" t="str"/>
      <x:c r="AC13" s="12" t="str"/>
      <x:c r="AD13" s="12" t="str"/>
      <x:c r="AE13" s="12" t="str"/>
      <x:c r="AF13" s="12" t="str"/>
      <x:c r="AG13" s="12" t="str"/>
      <x:c r="AH13" s="12" t="str"/>
      <x:c r="AI13" s="12" t="str"/>
      <x:c r="AJ13" s="12" t="str"/>
      <x:c r="AK13" s="12" t="str"/>
      <x:c r="AL13" s="12" t="str"/>
      <x:c r="AM13" s="12" t="str"/>
      <x:c r="AN13" s="12" t="str"/>
      <x:c r="AO13" s="12" t="str"/>
      <x:c r="AP13" s="12" t="str"/>
      <x:c r="AQ13" s="12" t="str"/>
      <x:c r="AR13" s="12" t="str"/>
      <x:c r="AS13" s="12" t="str"/>
      <x:c r="AT13" s="12" t="str"/>
      <x:c r="AU13" s="12" t="str"/>
      <x:c r="AV13" s="12" t="str"/>
      <x:c r="AW13" s="12" t="str"/>
      <x:c r="AX13" s="12" t="str"/>
      <x:c r="AY13" s="12" t="str"/>
      <x:c r="AZ13" s="12" t="str"/>
      <x:c r="BA13" s="12" t="str"/>
      <x:c r="BB13" s="12" t="str"/>
      <x:c r="BC13" s="12" t="str"/>
      <x:c r="BD13" s="12" t="str"/>
      <x:c r="BE13" s="12" t="str"/>
      <x:c r="BF13" s="12" t="str"/>
      <x:c r="BG13" s="12" t="str"/>
      <x:c r="BH13" s="12" t="str"/>
      <x:c r="BI13" s="12" t="str"/>
      <x:c r="BJ13" s="12" t="str"/>
      <x:c r="BK13" s="12" t="str"/>
      <x:c r="BL13" s="12" t="str"/>
      <x:c r="BM13" s="12" t="str"/>
      <x:c r="BN13" s="12" t="str"/>
      <x:c r="BO13" s="12" t="str"/>
      <x:c r="BP13" s="12" t="str"/>
      <x:c r="BQ13" s="12" t="str"/>
      <x:c r="BR13" s="12" t="str">
        <x:v>NOT_NEEDED</x:v>
      </x:c>
      <x:c r="BS13" s="12"/>
      <x:c r="BT13" s="12"/>
      <x:c r="BU13" s="12"/>
    </x:row>
    <x:row r="14">
      <x:c r="A14" s="12" t="str">
        <x:v>PILOT_13_E01</x:v>
      </x:c>
      <x:c r="B14" s="12" t="str">
        <x:v>PILOT_13</x:v>
      </x:c>
      <x:c r="C14" s="12" t="str">
        <x:v>PILOT_13_M01</x:v>
      </x:c>
      <x:c r="D14" s="12" t="str"/>
      <x:c r="E14" s="12" t="str"/>
      <x:c r="F14" s="12" t="str"/>
      <x:c r="G14" s="12" t="str"/>
      <x:c r="H14" s="12" t="str"/>
      <x:c r="I14" s="12" t="str"/>
      <x:c r="J14" s="12" t="str"/>
      <x:c r="K14" s="12" t="str"/>
      <x:c r="L14" s="12" t="str"/>
      <x:c r="M14" s="12" t="str"/>
      <x:c r="N14" s="12" t="str"/>
      <x:c r="O14" s="12" t="str"/>
      <x:c r="P14" s="12" t="str"/>
      <x:c r="Q14" s="12" t="str"/>
      <x:c r="R14" s="12" t="str"/>
      <x:c r="S14" s="12" t="str"/>
      <x:c r="T14" s="12" t="str"/>
      <x:c r="U14" s="12" t="str"/>
      <x:c r="V14" s="12" t="str"/>
      <x:c r="W14" s="12" t="str"/>
      <x:c r="X14" s="12" t="str"/>
      <x:c r="Y14" s="12" t="str"/>
      <x:c r="Z14" s="12" t="str"/>
      <x:c r="AA14" s="12" t="str"/>
      <x:c r="AB14" s="12" t="str"/>
      <x:c r="AC14" s="12" t="str"/>
      <x:c r="AD14" s="12" t="str"/>
      <x:c r="AE14" s="12" t="str"/>
      <x:c r="AF14" s="12" t="str"/>
      <x:c r="AG14" s="12" t="str"/>
      <x:c r="AH14" s="12" t="str"/>
      <x:c r="AI14" s="12" t="str"/>
      <x:c r="AJ14" s="12" t="str"/>
      <x:c r="AK14" s="12" t="str"/>
      <x:c r="AL14" s="12" t="str"/>
      <x:c r="AM14" s="12" t="str"/>
      <x:c r="AN14" s="12" t="str"/>
      <x:c r="AO14" s="12" t="str"/>
      <x:c r="AP14" s="12" t="str"/>
      <x:c r="AQ14" s="12" t="str"/>
      <x:c r="AR14" s="12" t="str"/>
      <x:c r="AS14" s="12" t="str"/>
      <x:c r="AT14" s="12" t="str"/>
      <x:c r="AU14" s="12" t="str"/>
      <x:c r="AV14" s="12" t="str"/>
      <x:c r="AW14" s="12" t="str"/>
      <x:c r="AX14" s="12" t="str"/>
      <x:c r="AY14" s="12" t="str"/>
      <x:c r="AZ14" s="12" t="str"/>
      <x:c r="BA14" s="12" t="str"/>
      <x:c r="BB14" s="12" t="str"/>
      <x:c r="BC14" s="12" t="str"/>
      <x:c r="BD14" s="12" t="str"/>
      <x:c r="BE14" s="12" t="str"/>
      <x:c r="BF14" s="12" t="str"/>
      <x:c r="BG14" s="12" t="str"/>
      <x:c r="BH14" s="12" t="str"/>
      <x:c r="BI14" s="12" t="str"/>
      <x:c r="BJ14" s="12" t="str"/>
      <x:c r="BK14" s="12" t="str"/>
      <x:c r="BL14" s="12" t="str"/>
      <x:c r="BM14" s="12" t="str"/>
      <x:c r="BN14" s="12" t="str"/>
      <x:c r="BO14" s="12" t="str"/>
      <x:c r="BP14" s="12" t="str"/>
      <x:c r="BQ14" s="12" t="str"/>
      <x:c r="BR14" s="12" t="str">
        <x:v>NOT_NEEDED</x:v>
      </x:c>
      <x:c r="BS14" s="12"/>
      <x:c r="BT14" s="12"/>
      <x:c r="BU14" s="12"/>
    </x:row>
    <x:row r="15">
      <x:c r="A15" s="12" t="str">
        <x:v>PILOT_14_E01</x:v>
      </x:c>
      <x:c r="B15" s="12" t="str">
        <x:v>PILOT_14</x:v>
      </x:c>
      <x:c r="C15" s="12" t="str">
        <x:v>PILOT_14_M01</x:v>
      </x:c>
      <x:c r="D15" s="12" t="str"/>
      <x:c r="E15" s="12" t="str"/>
      <x:c r="F15" s="12" t="str"/>
      <x:c r="G15" s="12" t="str"/>
      <x:c r="H15" s="12" t="str"/>
      <x:c r="I15" s="12" t="str"/>
      <x:c r="J15" s="12" t="str"/>
      <x:c r="K15" s="12" t="str"/>
      <x:c r="L15" s="12" t="str"/>
      <x:c r="M15" s="12" t="str"/>
      <x:c r="N15" s="12" t="str"/>
      <x:c r="O15" s="12" t="str"/>
      <x:c r="P15" s="12" t="str"/>
      <x:c r="Q15" s="12" t="str"/>
      <x:c r="R15" s="12" t="str"/>
      <x:c r="S15" s="12" t="str"/>
      <x:c r="T15" s="12" t="str"/>
      <x:c r="U15" s="12" t="str"/>
      <x:c r="V15" s="12" t="str"/>
      <x:c r="W15" s="12" t="str"/>
      <x:c r="X15" s="12" t="str"/>
      <x:c r="Y15" s="12" t="str"/>
      <x:c r="Z15" s="12" t="str"/>
      <x:c r="AA15" s="12" t="str"/>
      <x:c r="AB15" s="12" t="str"/>
      <x:c r="AC15" s="12" t="str"/>
      <x:c r="AD15" s="12" t="str"/>
      <x:c r="AE15" s="12" t="str"/>
      <x:c r="AF15" s="12" t="str"/>
      <x:c r="AG15" s="12" t="str"/>
      <x:c r="AH15" s="12" t="str"/>
      <x:c r="AI15" s="12" t="str"/>
      <x:c r="AJ15" s="12" t="str"/>
      <x:c r="AK15" s="12" t="str"/>
      <x:c r="AL15" s="12" t="str"/>
      <x:c r="AM15" s="12" t="str"/>
      <x:c r="AN15" s="12" t="str"/>
      <x:c r="AO15" s="12" t="str"/>
      <x:c r="AP15" s="12" t="str"/>
      <x:c r="AQ15" s="12" t="str"/>
      <x:c r="AR15" s="12" t="str"/>
      <x:c r="AS15" s="12" t="str"/>
      <x:c r="AT15" s="12" t="str"/>
      <x:c r="AU15" s="12" t="str"/>
      <x:c r="AV15" s="12" t="str"/>
      <x:c r="AW15" s="12" t="str"/>
      <x:c r="AX15" s="12" t="str"/>
      <x:c r="AY15" s="12" t="str"/>
      <x:c r="AZ15" s="12" t="str"/>
      <x:c r="BA15" s="12" t="str"/>
      <x:c r="BB15" s="12" t="str"/>
      <x:c r="BC15" s="12" t="str"/>
      <x:c r="BD15" s="12" t="str"/>
      <x:c r="BE15" s="12" t="str"/>
      <x:c r="BF15" s="12" t="str"/>
      <x:c r="BG15" s="12" t="str"/>
      <x:c r="BH15" s="12" t="str"/>
      <x:c r="BI15" s="12" t="str"/>
      <x:c r="BJ15" s="12" t="str"/>
      <x:c r="BK15" s="12" t="str"/>
      <x:c r="BL15" s="12" t="str"/>
      <x:c r="BM15" s="12" t="str"/>
      <x:c r="BN15" s="12" t="str"/>
      <x:c r="BO15" s="12" t="str"/>
      <x:c r="BP15" s="12" t="str"/>
      <x:c r="BQ15" s="12" t="str"/>
      <x:c r="BR15" s="12" t="str">
        <x:v>NOT_NEEDED</x:v>
      </x:c>
      <x:c r="BS15" s="12"/>
      <x:c r="BT15" s="12"/>
      <x:c r="BU15" s="12"/>
    </x:row>
    <x:row r="16">
      <x:c r="A16" s="12" t="str">
        <x:v>PILOT_15_E01</x:v>
      </x:c>
      <x:c r="B16" s="12" t="str">
        <x:v>PILOT_15</x:v>
      </x:c>
      <x:c r="C16" s="12" t="str">
        <x:v>PILOT_15_M01</x:v>
      </x:c>
      <x:c r="D16" s="12" t="str"/>
      <x:c r="E16" s="12" t="str"/>
      <x:c r="F16" s="12" t="str"/>
      <x:c r="G16" s="12" t="str"/>
      <x:c r="H16" s="12" t="str"/>
      <x:c r="I16" s="12" t="str"/>
      <x:c r="J16" s="12" t="str"/>
      <x:c r="K16" s="12" t="str"/>
      <x:c r="L16" s="12" t="str"/>
      <x:c r="M16" s="12" t="str"/>
      <x:c r="N16" s="12" t="str"/>
      <x:c r="O16" s="12" t="str"/>
      <x:c r="P16" s="12" t="str"/>
      <x:c r="Q16" s="12" t="str"/>
      <x:c r="R16" s="12" t="str"/>
      <x:c r="S16" s="12" t="str"/>
      <x:c r="T16" s="12" t="str"/>
      <x:c r="U16" s="12" t="str"/>
      <x:c r="V16" s="12" t="str"/>
      <x:c r="W16" s="12" t="str"/>
      <x:c r="X16" s="12" t="str"/>
      <x:c r="Y16" s="12" t="str"/>
      <x:c r="Z16" s="12" t="str"/>
      <x:c r="AA16" s="12" t="str"/>
      <x:c r="AB16" s="12" t="str"/>
      <x:c r="AC16" s="12" t="str"/>
      <x:c r="AD16" s="12" t="str"/>
      <x:c r="AE16" s="12" t="str"/>
      <x:c r="AF16" s="12" t="str"/>
      <x:c r="AG16" s="12" t="str"/>
      <x:c r="AH16" s="12" t="str"/>
      <x:c r="AI16" s="12" t="str"/>
      <x:c r="AJ16" s="12" t="str"/>
      <x:c r="AK16" s="12" t="str"/>
      <x:c r="AL16" s="12" t="str"/>
      <x:c r="AM16" s="12" t="str"/>
      <x:c r="AN16" s="12" t="str"/>
      <x:c r="AO16" s="12" t="str"/>
      <x:c r="AP16" s="12" t="str"/>
      <x:c r="AQ16" s="12" t="str"/>
      <x:c r="AR16" s="12" t="str"/>
      <x:c r="AS16" s="12" t="str"/>
      <x:c r="AT16" s="12" t="str"/>
      <x:c r="AU16" s="12" t="str"/>
      <x:c r="AV16" s="12" t="str"/>
      <x:c r="AW16" s="12" t="str"/>
      <x:c r="AX16" s="12" t="str"/>
      <x:c r="AY16" s="12" t="str"/>
      <x:c r="AZ16" s="12" t="str"/>
      <x:c r="BA16" s="12" t="str"/>
      <x:c r="BB16" s="12" t="str"/>
      <x:c r="BC16" s="12" t="str"/>
      <x:c r="BD16" s="12" t="str"/>
      <x:c r="BE16" s="12" t="str"/>
      <x:c r="BF16" s="12" t="str"/>
      <x:c r="BG16" s="12" t="str"/>
      <x:c r="BH16" s="12" t="str"/>
      <x:c r="BI16" s="12" t="str"/>
      <x:c r="BJ16" s="12" t="str"/>
      <x:c r="BK16" s="12" t="str"/>
      <x:c r="BL16" s="12" t="str"/>
      <x:c r="BM16" s="12" t="str"/>
      <x:c r="BN16" s="12" t="str"/>
      <x:c r="BO16" s="12" t="str"/>
      <x:c r="BP16" s="12" t="str"/>
      <x:c r="BQ16" s="12" t="str"/>
      <x:c r="BR16" s="12" t="str">
        <x:v>NOT_NEEDED</x:v>
      </x:c>
      <x:c r="BS16" s="12"/>
      <x:c r="BT16" s="12"/>
      <x:c r="BU16" s="12"/>
    </x:row>
  </x:sheetData>
  <x:dataValidations count="14">
    <x:dataValidation type="list" sqref="K2:K16">
      <x:formula1>"Y,N,NR,UNCLEAR,NA"</x:formula1>
    </x:dataValidation>
    <x:dataValidation type="list" sqref="O2:O16">
      <x:formula1>"Y,N,NR,UNCLEAR,NA"</x:formula1>
    </x:dataValidation>
    <x:dataValidation type="list" sqref="P2:P16">
      <x:formula1>"Y,N,NR,UNCLEAR,NA"</x:formula1>
    </x:dataValidation>
    <x:dataValidation type="list" sqref="V2:V16">
      <x:formula1>"Y,N,NR,UNCLEAR,NA"</x:formula1>
    </x:dataValidation>
    <x:dataValidation type="list" sqref="W2:W16">
      <x:formula1>"Y,N,NR,UNCLEAR,NA"</x:formula1>
    </x:dataValidation>
    <x:dataValidation type="list" sqref="X2:X16">
      <x:formula1>"Y,N,NR,UNCLEAR,NA"</x:formula1>
    </x:dataValidation>
    <x:dataValidation type="list" sqref="Y2:Y16">
      <x:formula1>"Y,N,NR,UNCLEAR,NA"</x:formula1>
    </x:dataValidation>
    <x:dataValidation type="list" sqref="Z2:Z16">
      <x:formula1>"Y,N,NR,UNCLEAR,NA"</x:formula1>
    </x:dataValidation>
    <x:dataValidation type="list" sqref="AA2:AA16">
      <x:formula1>"Y,N,NR,UNCLEAR,NA"</x:formula1>
    </x:dataValidation>
    <x:dataValidation type="list" sqref="AB2:AB16">
      <x:formula1>"Y,N,NR,UNCLEAR,NA"</x:formula1>
    </x:dataValidation>
    <x:dataValidation type="list" sqref="AH2:AH16">
      <x:formula1>"Y,N,NR,UNCLEAR,NA"</x:formula1>
    </x:dataValidation>
    <x:dataValidation type="list" sqref="AQ2:AQ16">
      <x:formula1>"Y,N,NR,UNCLEAR,NA"</x:formula1>
    </x:dataValidation>
    <x:dataValidation type="list" sqref="BE2:BE16">
      <x:formula1>"Y,N,NR,UNCLEAR,NA"</x:formula1>
    </x:dataValidation>
    <x:dataValidation type="list" sqref="BU2:BU16">
      <x:formula1>"NOT_NEEDED,PENDING,RESOLVED"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7f3f385fdc4bf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8" hidden="0" customWidth="1"/>
    <x:col min="8" max="8" width="38" hidden="0" customWidth="1"/>
    <x:col min="9" max="9" width="38" hidden="0" customWidth="1"/>
    <x:col min="10" max="10" width="22" hidden="0" customWidth="1"/>
    <x:col min="11" max="11" width="22" hidden="0" customWidth="1"/>
  </x:cols>
  <x:sheetData>
    <x:row r="1">
      <x:c r="A1" s="35" t="str">
        <x:v>paper_id</x:v>
      </x:c>
      <x:c r="B1" s="35" t="str">
        <x:v>field</x:v>
      </x:c>
      <x:c r="C1" s="35" t="str">
        <x:v>coder_A</x:v>
      </x:c>
      <x:c r="D1" s="35" t="str">
        <x:v>coder_B</x:v>
      </x:c>
      <x:c r="E1" s="35" t="str">
        <x:v>evidence_locator_A</x:v>
      </x:c>
      <x:c r="F1" s="35" t="str">
        <x:v>evidence_locator_B</x:v>
      </x:c>
      <x:c r="G1" s="35" t="str">
        <x:v>reason_for_disagreement</x:v>
      </x:c>
      <x:c r="H1" s="35" t="str">
        <x:v>adjudicated_value</x:v>
      </x:c>
      <x:c r="I1" s="35" t="str">
        <x:v>resolution_rule</x:v>
      </x:c>
      <x:c r="J1" s="35" t="str">
        <x:v>codebook_change_required</x:v>
      </x:c>
      <x:c r="K1" s="35" t="str">
        <x:v>status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>
        <x:v>OPEN</x:v>
      </x:c>
    </x:row>
  </x:sheetData>
  <x:dataValidations count="2">
    <x:dataValidation type="list" sqref="J2:J500">
      <x:formula1>"Y,N,UNCLEAR"</x:formula1>
    </x:dataValidation>
    <x:dataValidation type="list" sqref="K2:K500">
      <x:formula1>"OPEN,RESOLVED"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999417284c404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45" hidden="0" customWidth="1"/>
    <x:col min="4" max="4" width="45" hidden="0" customWidth="1"/>
    <x:col min="5" max="5" width="30" hidden="0" customWidth="1"/>
    <x:col min="6" max="6" width="30" hidden="0" customWidth="1"/>
    <x:col min="7" max="7" width="30" hidden="0" customWidth="1"/>
    <x:col min="8" max="8" width="22" hidden="0" customWidth="1"/>
    <x:col min="9" max="9" width="22" hidden="0" customWidth="1"/>
  </x:cols>
  <x:sheetData>
    <x:row r="1">
      <x:c r="A1" s="43" t="str">
        <x:v>issue_id</x:v>
      </x:c>
      <x:c r="B1" s="43" t="str">
        <x:v>field/category</x:v>
      </x:c>
      <x:c r="C1" s="43" t="str">
        <x:v>v0.1 issue</x:v>
      </x:c>
      <x:c r="D1" s="43" t="str">
        <x:v>v0.2 proposed rule</x:v>
      </x:c>
      <x:c r="E1" s="43" t="str">
        <x:v>pilot papers testing it</x:v>
      </x:c>
      <x:c r="F1" s="43" t="str">
        <x:v>coder feedback</x:v>
      </x:c>
      <x:c r="G1" s="43" t="str">
        <x:v>decision after pilot</x:v>
      </x:c>
      <x:c r="H1" s="43" t="str">
        <x:v>requires_recode</x:v>
      </x:c>
      <x:c r="I1" s="43" t="str">
        <x:v>status</x:v>
      </x:c>
    </x:row>
    <x:row r="2">
      <x:c r="A2" s="12" t="str">
        <x:v>CB01</x:v>
      </x:c>
      <x:c r="B2" s="12" t="str">
        <x:v>Record hierarchy</x:v>
      </x:c>
      <x:c r="C2" s="12" t="str">
        <x:v>Paper/model/experiment fields mixed in one conceptual row</x:v>
      </x:c>
      <x:c r="D2" s="12" t="str">
        <x:v>Split coding into PAPER, MODEL, and EXPERIMENT levels</x:v>
      </x:c>
      <x:c r="E2" s="12" t="str">
        <x:v>All 15</x:v>
      </x:c>
      <x:c r="F2" s="12" t="str"/>
      <x:c r="G2" s="12" t="str"/>
      <x:c r="H2" s="12" t="str"/>
      <x:c r="I2" s="12" t="str">
        <x:v>OPEN</x:v>
      </x:c>
    </x:row>
    <x:row r="3">
      <x:c r="A3" s="12" t="str">
        <x:v>CB02</x:v>
      </x:c>
      <x:c r="B3" s="12" t="str">
        <x:v>Corpus status</x:v>
      </x:c>
      <x:c r="C3" s="12" t="str">
        <x:v>Generic PRIMARY_ADJACENT conflicts with locked protocol</x:v>
      </x:c>
      <x:c r="D3" s="12" t="str">
        <x:v>Use PRIMARY_ADJACENT_SPARSE and PRIMARY_ADJACENT_METHOD</x:v>
      </x:c>
      <x:c r="E3" s="12" t="str">
        <x:v>KT049; KT055</x:v>
      </x:c>
      <x:c r="F3" s="12" t="str"/>
      <x:c r="G3" s="12" t="str"/>
      <x:c r="H3" s="12" t="str"/>
      <x:c r="I3" s="12" t="str">
        <x:v>OPEN</x:v>
      </x:c>
    </x:row>
    <x:row r="4">
      <x:c r="A4" s="12" t="str">
        <x:v>CB03</x:v>
      </x:c>
      <x:c r="B4" s="12" t="str">
        <x:v>Temporal backbone</x:v>
      </x:c>
      <x:c r="C4" s="12" t="str">
        <x:v>LLM may be auxiliary semantics rather than temporal learner-state model</x:v>
      </x:c>
      <x:c r="D4" s="12" t="str">
        <x:v>Remove LLM default backbone; add semantic_auxiliary_encoder</x:v>
      </x:c>
      <x:c r="E4" s="12" t="str">
        <x:v>KT044</x:v>
      </x:c>
      <x:c r="F4" s="12" t="str"/>
      <x:c r="G4" s="12" t="str"/>
      <x:c r="H4" s="12" t="str"/>
      <x:c r="I4" s="12" t="str">
        <x:v>OPEN</x:v>
      </x:c>
    </x:row>
    <x:row r="5">
      <x:c r="A5" s="12" t="str">
        <x:v>CB04</x:v>
      </x:c>
      <x:c r="B5" s="12" t="str">
        <x:v>SSL family</x:v>
      </x:c>
      <x:c r="C5" s="12" t="str">
        <x:v>PRETRAINING_OTHER could wrongly count generic pretraining as SSL</x:v>
      </x:c>
      <x:c r="D5" s="12" t="str">
        <x:v>Remove from ssl_family; add non_ssl_pretraining</x:v>
      </x:c>
      <x:c r="E5" s="12" t="str">
        <x:v>KT026</x:v>
      </x:c>
      <x:c r="F5" s="12" t="str"/>
      <x:c r="G5" s="12" t="str"/>
      <x:c r="H5" s="12" t="str"/>
      <x:c r="I5" s="12" t="str">
        <x:v>OPEN</x:v>
      </x:c>
    </x:row>
    <x:row r="6">
      <x:c r="A6" s="12" t="str">
        <x:v>CB05</x:v>
      </x:c>
      <x:c r="B6" s="12" t="str">
        <x:v>Structure preservation</x:v>
      </x:c>
      <x:c r="C6" s="12" t="str">
        <x:v>NO_RANDOM label is ambiguous</x:v>
      </x:c>
      <x:c r="D6" s="12" t="str">
        <x:v>Use NO_EXPLICIT_CONSTRAINT / NO_AUGMENTATION</x:v>
      </x:c>
      <x:c r="E6" s="12" t="str">
        <x:v>KT011; KT042; KT066</x:v>
      </x:c>
      <x:c r="F6" s="12" t="str"/>
      <x:c r="G6" s="12" t="str"/>
      <x:c r="H6" s="12" t="str"/>
      <x:c r="I6" s="12" t="str">
        <x:v>OPEN</x:v>
      </x:c>
    </x:row>
    <x:row r="7">
      <x:c r="A7" s="12" t="str">
        <x:v>CB06</x:v>
      </x:c>
      <x:c r="B7" s="12" t="str">
        <x:v>Sparse ontology</x:v>
      </x:c>
      <x:c r="C7" s="12" t="str">
        <x:v>LONG_TAIL naming not aligned with frozen scope</x:v>
      </x:c>
      <x:c r="D7" s="12" t="str">
        <x:v>Use LONG_TAIL_KC and add external_info_for_unseen_kc</x:v>
      </x:c>
      <x:c r="E7" s="12" t="str">
        <x:v>KT044; KT049; KT041</x:v>
      </x:c>
      <x:c r="F7" s="12" t="str"/>
      <x:c r="G7" s="12" t="str"/>
      <x:c r="H7" s="12" t="str"/>
      <x:c r="I7" s="12" t="str">
        <x:v>OPEN</x:v>
      </x:c>
    </x:row>
    <x:row r="8">
      <x:c r="A8" s="12" t="str">
        <x:v>CB07</x:v>
      </x:c>
      <x:c r="B8" s="12" t="str">
        <x:v>Evidence traceability</x:v>
      </x:c>
      <x:c r="C8" s="12" t="str">
        <x:v>No mandatory evidence locator/confidence</x:v>
      </x:c>
      <x:c r="D8" s="12" t="str">
        <x:v>Add coding_basis, evidence_locator, evidence_note, coder_confidence</x:v>
      </x:c>
      <x:c r="E8" s="12" t="str">
        <x:v>All 15</x:v>
      </x:c>
      <x:c r="F8" s="12" t="str"/>
      <x:c r="G8" s="12" t="str"/>
      <x:c r="H8" s="12" t="str"/>
      <x:c r="I8" s="12" t="str">
        <x:v>OPEN</x:v>
      </x:c>
    </x:row>
    <x:row r="9">
      <x:c r="A9" s="12" t="str">
        <x:v>CB08</x:v>
      </x:c>
      <x:c r="B9" s="12" t="str">
        <x:v>Quality score</x:v>
      </x:c>
      <x:c r="C9" s="12" t="str">
        <x:v>v0.1 raw thresholds conflict with locked normalized scoring</x:v>
      </x:c>
      <x:c r="D9" s="12" t="str">
        <x:v>Use normalized_quality = raw/applicable_max; HIGH&gt;=0.80, MODERATE 0.55-0.79</x:v>
      </x:c>
      <x:c r="E9" s="12" t="str">
        <x:v>All 15</x:v>
      </x:c>
      <x:c r="F9" s="12" t="str"/>
      <x:c r="G9" s="12" t="str"/>
      <x:c r="H9" s="12" t="str"/>
      <x:c r="I9" s="12" t="str">
        <x:v>OPEN</x:v>
      </x:c>
    </x:row>
  </x:sheetData>
  <x:dataValidations count="2">
    <x:dataValidation type="list" sqref="H2:H9">
      <x:formula1>"Y,N,TBD"</x:formula1>
    </x:dataValidation>
    <x:dataValidation type="list" sqref="I2:I9">
      <x:formula1>"OPEN,ACCEPTED,REJECTED,REVISED"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f2460c3c8545f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>
      <x:c r="A1" s="50" t="str">
        <x:v>Pilot coding workbook v0.2</x:v>
      </x:c>
      <x:c r="B1" s="50" t="str"/>
    </x:row>
    <x:row r="2">
      <x:c r="A2" t="str">
        <x:v>Purpose</x:v>
      </x:c>
      <x:c r="B2" t="str">
        <x:v>Validate the coding codebook on 15 purposively selected seed papers before freezing v1.0.</x:v>
      </x:c>
    </x:row>
    <x:row r="3">
      <x:c r="A3" t="str">
        <x:v>Locked scope rule</x:v>
      </x:c>
      <x:c r="B3" t="str">
        <x:v>PRIMARY_CORE = KT AND (GRAPH_BASED OR SELF_SUPERVISED)</x:v>
      </x:c>
    </x:row>
    <x:row r="4">
      <x:c r="A4" t="str">
        <x:v>Important</x:v>
      </x:c>
      <x:c r="B4" t="str">
        <x:v>The 15 papers are selected to stress-test the codebook, not as a final corpus or ranking.</x:v>
      </x:c>
    </x:row>
    <x:row r="5">
      <x:c r="A5" t="str">
        <x:v>Workflow 1</x:v>
      </x:c>
      <x:c r="B5" t="str">
        <x:v>Coder A and Coder B independently code Paper_Coding, Model_Coding, and Experiment_Coding.</x:v>
      </x:c>
    </x:row>
    <x:row r="6">
      <x:c r="A6" t="str">
        <x:v>Workflow 2</x:v>
      </x:c>
      <x:c r="B6" t="str">
        <x:v>Every nontrivial code receives evidence_locator + short evidence_note.</x:v>
      </x:c>
    </x:row>
    <x:row r="7">
      <x:c r="A7" t="str">
        <x:v>Workflow 3</x:v>
      </x:c>
      <x:c r="B7" t="str">
        <x:v>Record disagreements in Disagreement_Log before adjudication.</x:v>
      </x:c>
    </x:row>
    <x:row r="8">
      <x:c r="A8" t="str">
        <x:v>Workflow 4</x:v>
      </x:c>
      <x:c r="B8" t="str">
        <x:v>Use Codebook_Changes to decide whether v0.2 rules survive the pilot.</x:v>
      </x:c>
    </x:row>
    <x:row r="9">
      <x:c r="A9" t="str">
        <x:v>Workflow 5</x:v>
      </x:c>
      <x:c r="B9" t="str">
        <x:v>After adjudication, recode affected pilot fields and only then freeze coding_codebook_v1.0.</x:v>
      </x:c>
    </x:row>
  </x:sheetData>
  <x:pageMargins left="0.7" right="0.7" top="0.75" bottom="0.75" header="0.3" footer="0.3"/>
</x:worksheet>
</file>