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b4857015d842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e70893647804fe5"/>
    <x:sheet xmlns:r="http://schemas.openxmlformats.org/officeDocument/2006/relationships" name="Paper_Coding_KT004" sheetId="2" r:id="Re371b85d4453408b"/>
    <x:sheet xmlns:r="http://schemas.openxmlformats.org/officeDocument/2006/relationships" name="Model_Coding_KT004" sheetId="3" r:id="Ra64a600c324a4cc1"/>
    <x:sheet xmlns:r="http://schemas.openxmlformats.org/officeDocument/2006/relationships" name="Experiment_Coding_KT004" sheetId="4" r:id="R3fcbdfdf32004050"/>
    <x:sheet xmlns:r="http://schemas.openxmlformats.org/officeDocument/2006/relationships" name="Field_Guide" sheetId="5" r:id="Rd90704868be84478"/>
    <x:sheet xmlns:r="http://schemas.openxmlformats.org/officeDocument/2006/relationships" name="Codebook_Issues_KT004" sheetId="6" r:id="Rab53048dfed1431c"/>
    <x:sheet xmlns:r="http://schemas.openxmlformats.org/officeDocument/2006/relationships" name="Sources" sheetId="7" r:id="R37958d79dd7747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%"/>
    <x:numFmt numFmtId="202" formatCode="0.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C65911"/>
      </x:patternFill>
    </x:fill>
    <x:fill>
      <x:patternFill patternType="solid">
        <x:fgColor rgb="FF8064A2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65d8ba8c5146b1" /><Relationship Type="http://schemas.openxmlformats.org/officeDocument/2006/relationships/theme" Target="/xl/theme/theme1.xml" Id="R590ddc47a5c04f2a" /><Relationship Type="http://schemas.openxmlformats.org/officeDocument/2006/relationships/sharedStrings" Target="/xl/sharedStrings.xml" Id="R23ccc7f84d0d4d04" /><Relationship Type="http://schemas.openxmlformats.org/officeDocument/2006/relationships/worksheet" Target="/xl/worksheets/sheet1.xml" Id="Rde70893647804fe5" /><Relationship Type="http://schemas.openxmlformats.org/officeDocument/2006/relationships/worksheet" Target="/xl/worksheets/sheet2.xml" Id="Re371b85d4453408b" /><Relationship Type="http://schemas.openxmlformats.org/officeDocument/2006/relationships/worksheet" Target="/xl/worksheets/sheet3.xml" Id="Ra64a600c324a4cc1" /><Relationship Type="http://schemas.openxmlformats.org/officeDocument/2006/relationships/worksheet" Target="/xl/worksheets/sheet4.xml" Id="R3fcbdfdf32004050" /><Relationship Type="http://schemas.openxmlformats.org/officeDocument/2006/relationships/worksheet" Target="/xl/worksheets/sheet5.xml" Id="Rd90704868be84478" /><Relationship Type="http://schemas.openxmlformats.org/officeDocument/2006/relationships/worksheet" Target="/xl/worksheets/sheet6.xml" Id="Rab53048dfed1431c" /><Relationship Type="http://schemas.openxmlformats.org/officeDocument/2006/relationships/worksheet" Target="/xl/worksheets/sheet7.xml" Id="R37958d79dd7747b6" /></Relationships>
</file>

<file path=xl/tables/table1.xml><?xml version="1.0" encoding="utf-8"?>
<x:table xmlns:x="http://schemas.openxmlformats.org/spreadsheetml/2006/main" id="1" name="KT004PaperCoding" displayName="KT004PaperCoding" ref="A1:AM2" headerRowCount="1" totalsRowCount="0" totalsRowShown="0">
  <x:tableColumns count="39">
    <x:tableColumn id="1" name="paper_id"/>
    <x:tableColumn id="2" name="legacy_id"/>
    <x:tableColumn id="3" name="title"/>
    <x:tableColumn id="4" name="year"/>
    <x:tableColumn id="5" name="venue"/>
    <x:tableColumn id="6" name="doi_verified"/>
    <x:tableColumn id="7" name="item_type"/>
    <x:tableColumn id="8" name="peer_reviewed"/>
    <x:tableColumn id="9" name="kt_central_task"/>
    <x:tableColumn id="10" name="G_criterion"/>
    <x:tableColumn id="11" name="S_criterion"/>
    <x:tableColumn id="12" name="primary_gateway_pass"/>
    <x:tableColumn id="13" name="corpus_status"/>
    <x:tableColumn id="14" name="role_in_survey"/>
    <x:tableColumn id="15" name="source_origin"/>
    <x:tableColumn id="16" name="code_available"/>
    <x:tableColumn id="17" name="code_url"/>
    <x:tableColumn id="18" name="data_available"/>
    <x:tableColumn id="19" name="config_available"/>
    <x:tableColumn id="20" name="seed_available"/>
    <x:tableColumn id="21" name="environment_available"/>
    <x:tableColumn id="22" name="artifact_archive_available"/>
    <x:tableColumn id="23" name="QA1"/>
    <x:tableColumn id="24" name="QA2"/>
    <x:tableColumn id="25" name="QA3"/>
    <x:tableColumn id="26" name="QA4"/>
    <x:tableColumn id="27" name="QA5"/>
    <x:tableColumn id="28" name="QA6"/>
    <x:tableColumn id="29" name="QA7"/>
    <x:tableColumn id="30" name="QA8"/>
    <x:tableColumn id="31" name="raw_quality_score"/>
    <x:tableColumn id="32" name="applicable_quality_max"/>
    <x:tableColumn id="33" name="normalized_quality"/>
    <x:tableColumn id="34" name="quality_tier"/>
    <x:tableColumn id="35" name="coder_id"/>
    <x:tableColumn id="36" name="coder_confidence"/>
    <x:tableColumn id="37" name="evidence_locator"/>
    <x:tableColumn id="38" name="evidence_note"/>
    <x:tableColumn id="39" name="adjudication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T004ModelCoding" displayName="KT004ModelCoding" ref="A1:AV7" headerRowCount="1" totalsRowCount="0" totalsRowShown="0">
  <x:tableColumns count="48">
    <x:tableColumn id="1" name="model_entry_id"/>
    <x:tableColumn id="2" name="paper_id"/>
    <x:tableColumn id="3" name="legacy_id"/>
    <x:tableColumn id="4" name="model_name"/>
    <x:tableColumn id="5" name="graph_source"/>
    <x:tableColumn id="6" name="graph_source_original"/>
    <x:tableColumn id="7" name="graph_provenance"/>
    <x:tableColumn id="8" name="graph_leakage_risk"/>
    <x:tableColumn id="9" name="graph_construction_summary"/>
    <x:tableColumn id="10" name="graph_construction_uses_response_labels"/>
    <x:tableColumn id="11" name="graph_construction_uses_test_partition"/>
    <x:tableColumn id="12" name="graph_representation"/>
    <x:tableColumn id="13" name="node_types_original"/>
    <x:tableColumn id="14" name="edge_types_original"/>
    <x:tableColumn id="15" name="directed"/>
    <x:tableColumn id="16" name="weighted"/>
    <x:tableColumn id="17" name="typed_edges"/>
    <x:tableColumn id="18" name="dynamic"/>
    <x:tableColumn id="19" name="dag_enforced"/>
    <x:tableColumn id="20" name="edge_confidence_used"/>
    <x:tableColumn id="21" name="gnn_encoder"/>
    <x:tableColumn id="22" name="gnn_encoder_original"/>
    <x:tableColumn id="23" name="num_graph_layers"/>
    <x:tableColumn id="24" name="message_passing_direction"/>
    <x:tableColumn id="25" name="temporal_backbone"/>
    <x:tableColumn id="26" name="semantic_auxiliary_encoder"/>
    <x:tableColumn id="27" name="fusion_type"/>
    <x:tableColumn id="28" name="fusion_location"/>
    <x:tableColumn id="29" name="fusion_description_original"/>
    <x:tableColumn id="30" name="ssl_family"/>
    <x:tableColumn id="31" name="non_ssl_pretraining"/>
    <x:tableColumn id="32" name="pretraining_description"/>
    <x:tableColumn id="33" name="ssl_training_mode"/>
    <x:tableColumn id="34" name="ssl_target_level"/>
    <x:tableColumn id="35" name="positive_pair_strategy"/>
    <x:tableColumn id="36" name="negative_pair_strategy"/>
    <x:tableColumn id="37" name="ssl_loss_original"/>
    <x:tableColumn id="38" name="ssl_weight_reported"/>
    <x:tableColumn id="39" name="augmentation_type"/>
    <x:tableColumn id="40" name="educational_structure_preservation"/>
    <x:tableColumn id="41" name="preserved_property_original"/>
    <x:tableColumn id="42" name="augmentation_validity_ablation"/>
    <x:tableColumn id="43" name="coding_basis"/>
    <x:tableColumn id="44" name="coder_id"/>
    <x:tableColumn id="45" name="coder_confidence"/>
    <x:tableColumn id="46" name="evidence_locator"/>
    <x:tableColumn id="47" name="evidence_note"/>
    <x:tableColumn id="48" name="adjudicatio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T004ExperimentCoding" displayName="KT004ExperimentCoding" ref="A1:BU13" headerRowCount="1" totalsRowCount="0" totalsRowShown="0">
  <x:tableColumns count="73">
    <x:tableColumn id="1" name="experiment_id"/>
    <x:tableColumn id="2" name="paper_id"/>
    <x:tableColumn id="3" name="model_entry_id"/>
    <x:tableColumn id="4" name="dataset_name"/>
    <x:tableColumn id="5" name="dataset_version"/>
    <x:tableColumn id="6" name="dataset_source"/>
    <x:tableColumn id="7" name="n_learners_reported"/>
    <x:tableColumn id="8" name="n_items_reported"/>
    <x:tableColumn id="9" name="n_kcs_reported"/>
    <x:tableColumn id="10" name="n_interactions_reported"/>
    <x:tableColumn id="11" name="multi_skill_present"/>
    <x:tableColumn id="12" name="multi_skill_handling"/>
    <x:tableColumn id="13" name="sequence_truncation"/>
    <x:tableColumn id="14" name="min_sequence_filter"/>
    <x:tableColumn id="15" name="timestamp_used"/>
    <x:tableColumn id="16" name="preprocessing_code_available"/>
    <x:tableColumn id="17" name="split_type"/>
    <x:tableColumn id="18" name="split_unit_original"/>
    <x:tableColumn id="19" name="train_fraction"/>
    <x:tableColumn id="20" name="validation_fraction"/>
    <x:tableColumn id="21" name="test_fraction"/>
    <x:tableColumn id="22" name="validation_set_separate"/>
    <x:tableColumn id="23" name="early_stopping_validation_only"/>
    <x:tableColumn id="24" name="graph_train_only"/>
    <x:tableColumn id="25" name="normalization_train_only"/>
    <x:tableColumn id="26" name="sparse_strata_train_only"/>
    <x:tableColumn id="27" name="temporal_alignment_audited"/>
    <x:tableColumn id="28" name="duplicate_entity_leakage_checked"/>
    <x:tableColumn id="29" name="sparsity_construct"/>
    <x:tableColumn id="30" name="sparse_definition_original"/>
    <x:tableColumn id="31" name="sparse_threshold_original"/>
    <x:tableColumn id="32" name="threshold_source"/>
    <x:tableColumn id="33" name="frequency_computed_on"/>
    <x:tableColumn id="34" name="strict_zero_train_verified"/>
    <x:tableColumn id="35" name="external_info_for_unseen_kc"/>
    <x:tableColumn id="36" name="support_kcs"/>
    <x:tableColumn id="37" name="support_learners"/>
    <x:tableColumn id="38" name="support_items"/>
    <x:tableColumn id="39" name="support_test_interactions"/>
    <x:tableColumn id="40" name="positive_count"/>
    <x:tableColumn id="41" name="negative_count"/>
    <x:tableColumn id="42" name="metric_name_original"/>
    <x:tableColumn id="43" name="metric_value_original"/>
    <x:tableColumn id="44" name="metric_scope"/>
    <x:tableColumn id="45" name="n_seeds"/>
    <x:tableColumn id="46" name="seed_values_reported"/>
    <x:tableColumn id="47" name="mean_std_reported"/>
    <x:tableColumn id="48" name="confidence_interval"/>
    <x:tableColumn id="49" name="bootstrap_unit"/>
    <x:tableColumn id="50" name="statistical_test"/>
    <x:tableColumn id="51" name="multiple_comparison_correction"/>
    <x:tableColumn id="52" name="effect_size"/>
    <x:tableColumn id="53" name="paired_design"/>
    <x:tableColumn id="54" name="significance_threshold"/>
    <x:tableColumn id="55" name="parameter_count"/>
    <x:tableColumn id="56" name="train_time"/>
    <x:tableColumn id="57" name="time_per_epoch"/>
    <x:tableColumn id="58" name="inference_latency"/>
    <x:tableColumn id="59" name="throughput"/>
    <x:tableColumn id="60" name="cpu_ram"/>
    <x:tableColumn id="61" name="gpu_vram"/>
    <x:tableColumn id="62" name="hardware"/>
    <x:tableColumn id="63" name="graph_construction_time"/>
    <x:tableColumn id="64" name="complexity_formula"/>
    <x:tableColumn id="65" name="scale_up_experiment"/>
    <x:tableColumn id="66" name="oom_timeout_reported"/>
    <x:tableColumn id="67" name="coding_basis"/>
    <x:tableColumn id="68" name="coder_id"/>
    <x:tableColumn id="69" name="coder_confidence"/>
    <x:tableColumn id="70" name="evidence_locator"/>
    <x:tableColumn id="71" name="evidence_note"/>
    <x:tableColumn id="72" name="adjudication_status"/>
    <x:tableColumn id="73" name="Column73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KT004FieldGuide" displayName="KT004FieldGuide" ref="A1:F17" headerRowCount="1" totalsRowCount="0" totalsRowShown="0">
  <x:tableColumns count="6">
    <x:tableColumn id="1" name="Sheet"/>
    <x:tableColumn id="2" name="Field / exact cell(s)"/>
    <x:tableColumn id="3" name="What to enter for KT004"/>
    <x:tableColumn id="4" name="Where to read in paper"/>
    <x:tableColumn id="5" name="Why / coding rule"/>
    <x:tableColumn id="6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7aa9558f8947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4eb99ddcdf41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b653eb80bd43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9ce3ad823f468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6" t="str">
        <x:v>KT004 pilot coding example v0.2</x:v>
      </x:c>
      <x:c r="B1" s="6" t="str"/>
    </x:row>
    <x:row r="2">
      <x:c r="A2" t="str">
        <x:v>Paper</x:v>
      </x:c>
      <x:c r="B2" t="str">
        <x:v>Graph-Based Knowledge Tracing: Modeling Student Proficiency Using Graph Neural Network</x:v>
      </x:c>
    </x:row>
    <x:row r="3">
      <x:c r="A3" t="str">
        <x:v>Official seed identity</x:v>
      </x:c>
      <x:c r="B3" t="str">
        <x:v>KT004</x:v>
      </x:c>
    </x:row>
    <x:row r="4">
      <x:c r="A4" t="str">
        <x:v>Purpose</x:v>
      </x:c>
      <x:c r="B4" t="str">
        <x:v>Show exactly how to fill Paper_Coding, Model_Coding, and Experiment_Coding for the first pilot paper.</x:v>
      </x:c>
    </x:row>
    <x:row r="5">
      <x:c r="A5" t="str">
        <x:v>Important</x:v>
      </x:c>
      <x:c r="B5" t="str">
        <x:v>This is a Coder-A worked example for codebook validation, not a final adjudicated coding.</x:v>
      </x:c>
    </x:row>
    <x:row r="6">
      <x:c r="A6" t="str">
        <x:v>Primary full-text source</x:v>
      </x:c>
      <x:c r="B6" t="str">
        <x:v>https://rlgm.github.io/papers/70.pdf</x:v>
      </x:c>
    </x:row>
    <x:row r="7">
      <x:c r="A7" t="str">
        <x:v>Official DOI</x:v>
      </x:c>
      <x:c r="B7" t="str">
        <x:v>https://doi.org/10.1145/3350546.3352513</x:v>
      </x:c>
    </x:row>
    <x:row r="8">
      <x:c r="A8" t="str">
        <x:v>Third-party implementation found</x:v>
      </x:c>
      <x:c r="B8" t="str">
        <x:v>https://github.com/jhljx/GKT</x:v>
      </x:c>
    </x:row>
    <x:row r="9">
      <x:c r="A9" t="str">
        <x:v>Artifact rule</x:v>
      </x:c>
      <x:c r="B9" t="str">
        <x:v>The third-party GitHub implementation is NOT coded as author-released code because author provenance was not established from the paper.</x:v>
      </x:c>
    </x:row>
    <x:row r="10">
      <x:c r="A10" t="str">
        <x:v>Model-entry rule</x:v>
      </x:c>
      <x:c r="B10" t="str">
        <x:v>KT004 generates 6 proposed GKT model entries because the paper changes graph construction: Dense, Transition, DKT Graph, PAM, MHA, VAE.</x:v>
      </x:c>
    </x:row>
    <x:row r="11">
      <x:c r="A11" t="str">
        <x:v>Experiment-entry rule</x:v>
      </x:c>
      <x:c r="B11" t="str">
        <x:v>Each of the 6 variants is evaluated on 2 datasets, yielding 12 proposed-method experiment rows for the AUC table.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50" hidden="0" customWidth="1"/>
    <x:col min="4" max="4" width="16" hidden="0" customWidth="1"/>
    <x:col min="5" max="5" width="30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54" hidden="0" customWidth="1"/>
    <x:col min="39" max="39" width="54" hidden="0" customWidth="1"/>
  </x:cols>
  <x:sheetData>
    <x:row r="1">
      <x:c r="A1" s="12" t="str">
        <x:v>paper_id</x:v>
      </x:c>
      <x:c r="B1" s="12" t="str">
        <x:v>legacy_id</x:v>
      </x:c>
      <x:c r="C1" s="12" t="str">
        <x:v>title</x:v>
      </x:c>
      <x:c r="D1" s="12" t="str">
        <x:v>year</x:v>
      </x:c>
      <x:c r="E1" s="12" t="str">
        <x:v>venue</x:v>
      </x:c>
      <x:c r="F1" s="12" t="str">
        <x:v>doi_verified</x:v>
      </x:c>
      <x:c r="G1" s="12" t="str">
        <x:v>item_type</x:v>
      </x:c>
      <x:c r="H1" s="12" t="str">
        <x:v>peer_reviewed</x:v>
      </x:c>
      <x:c r="I1" s="12" t="str">
        <x:v>kt_central_task</x:v>
      </x:c>
      <x:c r="J1" s="12" t="str">
        <x:v>G_criterion</x:v>
      </x:c>
      <x:c r="K1" s="12" t="str">
        <x:v>S_criterion</x:v>
      </x:c>
      <x:c r="L1" s="12" t="str">
        <x:v>primary_gateway_pass</x:v>
      </x:c>
      <x:c r="M1" s="12" t="str">
        <x:v>corpus_status</x:v>
      </x:c>
      <x:c r="N1" s="12" t="str">
        <x:v>role_in_survey</x:v>
      </x:c>
      <x:c r="O1" s="12" t="str">
        <x:v>source_origin</x:v>
      </x:c>
      <x:c r="P1" s="12" t="str">
        <x:v>code_available</x:v>
      </x:c>
      <x:c r="Q1" s="12" t="str">
        <x:v>code_url</x:v>
      </x:c>
      <x:c r="R1" s="12" t="str">
        <x:v>data_available</x:v>
      </x:c>
      <x:c r="S1" s="12" t="str">
        <x:v>config_available</x:v>
      </x:c>
      <x:c r="T1" s="12" t="str">
        <x:v>seed_available</x:v>
      </x:c>
      <x:c r="U1" s="12" t="str">
        <x:v>environment_available</x:v>
      </x:c>
      <x:c r="V1" s="12" t="str">
        <x:v>artifact_archive_available</x:v>
      </x:c>
      <x:c r="W1" s="12" t="str">
        <x:v>QA1</x:v>
      </x:c>
      <x:c r="X1" s="12" t="str">
        <x:v>QA2</x:v>
      </x:c>
      <x:c r="Y1" s="12" t="str">
        <x:v>QA3</x:v>
      </x:c>
      <x:c r="Z1" s="12" t="str">
        <x:v>QA4</x:v>
      </x:c>
      <x:c r="AA1" s="12" t="str">
        <x:v>QA5</x:v>
      </x:c>
      <x:c r="AB1" s="12" t="str">
        <x:v>QA6</x:v>
      </x:c>
      <x:c r="AC1" s="12" t="str">
        <x:v>QA7</x:v>
      </x:c>
      <x:c r="AD1" s="12" t="str">
        <x:v>QA8</x:v>
      </x:c>
      <x:c r="AE1" s="12" t="str">
        <x:v>raw_quality_score</x:v>
      </x:c>
      <x:c r="AF1" s="12" t="str">
        <x:v>applicable_quality_max</x:v>
      </x:c>
      <x:c r="AG1" s="12" t="str">
        <x:v>normalized_quality</x:v>
      </x:c>
      <x:c r="AH1" s="12" t="str">
        <x:v>quality_tier</x:v>
      </x:c>
      <x:c r="AI1" s="12" t="str">
        <x:v>coder_id</x:v>
      </x:c>
      <x:c r="AJ1" s="12" t="str">
        <x:v>coder_confidence</x:v>
      </x:c>
      <x:c r="AK1" s="12" t="str">
        <x:v>evidence_locator</x:v>
      </x:c>
      <x:c r="AL1" s="12" t="str">
        <x:v>evidence_note</x:v>
      </x:c>
      <x:c r="AM1" s="12" t="str">
        <x:v>adjudication_status</x:v>
      </x:c>
    </x:row>
    <x:row r="2">
      <x:c r="A2" s="16" t="str">
        <x:v>PILOT_01</x:v>
      </x:c>
      <x:c r="B2" s="16" t="str">
        <x:v>KT004</x:v>
      </x:c>
      <x:c r="C2" s="16" t="str">
        <x:v>Graph-Based Knowledge Tracing: Modeling Student Proficiency Using Graph Neural Network</x:v>
      </x:c>
      <x:c r="D2" s="16" t="n">
        <x:v>2019</x:v>
      </x:c>
      <x:c r="E2" s="16" t="str">
        <x:v>2019 IEEE/WIC/ACM International Conference on Web Intelligence (WI)</x:v>
      </x:c>
      <x:c r="F2" s="16" t="str">
        <x:v>10.1145/3350546.3352513</x:v>
      </x:c>
      <x:c r="G2" s="16" t="str">
        <x:v>CONFERENCE</x:v>
      </x:c>
      <x:c r="H2" s="16" t="str">
        <x:v>Y</x:v>
      </x:c>
      <x:c r="I2" s="16" t="str">
        <x:v>Y</x:v>
      </x:c>
      <x:c r="J2" s="16" t="str">
        <x:v>Y</x:v>
      </x:c>
      <x:c r="K2" s="16" t="str">
        <x:v>N</x:v>
      </x:c>
      <x:c r="L2" s="16" t="str">
        <x:v>PASS</x:v>
      </x:c>
      <x:c r="M2" s="16" t="str">
        <x:v>PRIMARY_CORE</x:v>
      </x:c>
      <x:c r="N2" s="16" t="str">
        <x:v>GRAPH_KT</x:v>
      </x:c>
      <x:c r="O2" s="16" t="str">
        <x:v>LEGACY_SEED</x:v>
      </x:c>
      <x:c r="P2" s="16" t="str">
        <x:v>NR</x:v>
      </x:c>
      <x:c r="Q2" s="16" t="str"/>
      <x:c r="R2" s="16" t="str">
        <x:v>Y</x:v>
      </x:c>
      <x:c r="S2" s="16" t="str">
        <x:v>NR</x:v>
      </x:c>
      <x:c r="T2" s="16" t="str">
        <x:v>NR</x:v>
      </x:c>
      <x:c r="U2" s="16" t="str">
        <x:v>NR</x:v>
      </x:c>
      <x:c r="V2" s="16" t="str">
        <x:v>NR</x:v>
      </x:c>
      <x:c r="W2" s="16" t="n">
        <x:v>2</x:v>
      </x:c>
      <x:c r="X2" s="16" t="n">
        <x:v>2</x:v>
      </x:c>
      <x:c r="Y2" s="16" t="n">
        <x:v>1</x:v>
      </x:c>
      <x:c r="Z2" s="16" t="n">
        <x:v>2</x:v>
      </x:c>
      <x:c r="AA2" s="16" t="n">
        <x:v>0</x:v>
      </x:c>
      <x:c r="AB2" s="16" t="n">
        <x:v>1</x:v>
      </x:c>
      <x:c r="AC2" s="16" t="str">
        <x:v>NA</x:v>
      </x:c>
      <x:c r="AD2" s="16" t="n">
        <x:v>1</x:v>
      </x:c>
      <x:c r="AE2" s="16" t="n">
        <x:f>SUM(W2:AD2)</x:f>
        <x:v>9</x:v>
      </x:c>
      <x:c r="AF2" s="16" t="n">
        <x:f>COUNT(W2:AD2)*2</x:f>
        <x:v>14</x:v>
      </x:c>
      <x:c r="AG2" s="17" t="n">
        <x:f>IF(AF2=0,"",AE2/AF2)</x:f>
        <x:v>0.6428571428571429</x:v>
      </x:c>
      <x:c r="AH2" s="16" t="str">
        <x:f>IF(AG2="","",IF(AG2&gt;=0.8,"HIGH",IF(AG2&gt;=0.55,"MODERATE","LIMITED")))</x:f>
        <x:v>MODERATE</x:v>
      </x:c>
      <x:c r="AI2" s="16" t="str">
        <x:v>Coder_A_EXAMPLE</x:v>
      </x:c>
      <x:c r="AJ2" s="16" t="str">
        <x:v>HIGH</x:v>
      </x:c>
      <x:c r="AK2" s="16" t="str">
        <x:v>Official metadata + Abstract/Introduction; Sec. 2.1–2.2; Sec. 3; Appendix A–B</x:v>
      </x:c>
      <x:c r="AL2" s="16" t="str">
        <x:v>KT is central; explicit KC graph is central; no SSL objective. Public datasets are named/linked. No author-released code, seeds, environment, or artifact archive is reported in the paper. QA values are provisional for pilot adjudication.</x:v>
      </x:c>
      <x:c r="AM2" s="16" t="str">
        <x:v>PENDING</x:v>
      </x:c>
    </x:row>
  </x:sheetData>
  <x:pageMargins left="0.7" right="0.7" top="0.75" bottom="0.75" header="0.3" footer="0.3"/>
  <x:tableParts count="1">
    <x:tablePart xmlns:r="http://schemas.openxmlformats.org/officeDocument/2006/relationships" r:id="R277aa9558f89471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4" hidden="0" customWidth="1"/>
    <x:col min="5" max="5" width="24" hidden="0" customWidth="1"/>
    <x:col min="6" max="6" width="24" hidden="0" customWidth="1"/>
    <x:col min="7" max="7" width="27" hidden="0" customWidth="1"/>
    <x:col min="8" max="8" width="27" hidden="0" customWidth="1"/>
    <x:col min="9" max="9" width="27" hidden="0" customWidth="1"/>
    <x:col min="10" max="10" width="16" hidden="0" customWidth="1"/>
    <x:col min="11" max="11" width="16" hidden="0" customWidth="1"/>
    <x:col min="12" max="12" width="25" hidden="0" customWidth="1"/>
    <x:col min="13" max="13" width="25" hidden="0" customWidth="1"/>
    <x:col min="14" max="14" width="25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28" hidden="0" customWidth="1"/>
    <x:col min="22" max="22" width="28" hidden="0" customWidth="1"/>
    <x:col min="23" max="23" width="16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50" hidden="0" customWidth="1"/>
    <x:col min="47" max="47" width="50" hidden="0" customWidth="1"/>
    <x:col min="48" max="48" width="16" hidden="0" customWidth="1"/>
  </x:cols>
  <x:sheetData>
    <x:row r="1">
      <x:c r="A1" s="23" t="str">
        <x:v>model_entry_id</x:v>
      </x:c>
      <x:c r="B1" s="23" t="str">
        <x:v>paper_id</x:v>
      </x:c>
      <x:c r="C1" s="23" t="str">
        <x:v>legacy_id</x:v>
      </x:c>
      <x:c r="D1" s="23" t="str">
        <x:v>model_name</x:v>
      </x:c>
      <x:c r="E1" s="23" t="str">
        <x:v>graph_source</x:v>
      </x:c>
      <x:c r="F1" s="23" t="str">
        <x:v>graph_source_original</x:v>
      </x:c>
      <x:c r="G1" s="23" t="str">
        <x:v>graph_provenance</x:v>
      </x:c>
      <x:c r="H1" s="23" t="str">
        <x:v>graph_leakage_risk</x:v>
      </x:c>
      <x:c r="I1" s="23" t="str">
        <x:v>graph_construction_summary</x:v>
      </x:c>
      <x:c r="J1" s="23" t="str">
        <x:v>graph_construction_uses_response_labels</x:v>
      </x:c>
      <x:c r="K1" s="23" t="str">
        <x:v>graph_construction_uses_test_partition</x:v>
      </x:c>
      <x:c r="L1" s="23" t="str">
        <x:v>graph_representation</x:v>
      </x:c>
      <x:c r="M1" s="23" t="str">
        <x:v>node_types_original</x:v>
      </x:c>
      <x:c r="N1" s="23" t="str">
        <x:v>edge_types_original</x:v>
      </x:c>
      <x:c r="O1" s="23" t="str">
        <x:v>directed</x:v>
      </x:c>
      <x:c r="P1" s="23" t="str">
        <x:v>weighted</x:v>
      </x:c>
      <x:c r="Q1" s="23" t="str">
        <x:v>typed_edges</x:v>
      </x:c>
      <x:c r="R1" s="23" t="str">
        <x:v>dynamic</x:v>
      </x:c>
      <x:c r="S1" s="23" t="str">
        <x:v>dag_enforced</x:v>
      </x:c>
      <x:c r="T1" s="23" t="str">
        <x:v>edge_confidence_used</x:v>
      </x:c>
      <x:c r="U1" s="23" t="str">
        <x:v>gnn_encoder</x:v>
      </x:c>
      <x:c r="V1" s="23" t="str">
        <x:v>gnn_encoder_original</x:v>
      </x:c>
      <x:c r="W1" s="23" t="str">
        <x:v>num_graph_layers</x:v>
      </x:c>
      <x:c r="X1" s="23" t="str">
        <x:v>message_passing_direction</x:v>
      </x:c>
      <x:c r="Y1" s="23" t="str">
        <x:v>temporal_backbone</x:v>
      </x:c>
      <x:c r="Z1" s="23" t="str">
        <x:v>semantic_auxiliary_encoder</x:v>
      </x:c>
      <x:c r="AA1" s="23" t="str">
        <x:v>fusion_type</x:v>
      </x:c>
      <x:c r="AB1" s="23" t="str">
        <x:v>fusion_location</x:v>
      </x:c>
      <x:c r="AC1" s="23" t="str">
        <x:v>fusion_description_original</x:v>
      </x:c>
      <x:c r="AD1" s="23" t="str">
        <x:v>ssl_family</x:v>
      </x:c>
      <x:c r="AE1" s="23" t="str">
        <x:v>non_ssl_pretraining</x:v>
      </x:c>
      <x:c r="AF1" s="23" t="str">
        <x:v>pretraining_description</x:v>
      </x:c>
      <x:c r="AG1" s="23" t="str">
        <x:v>ssl_training_mode</x:v>
      </x:c>
      <x:c r="AH1" s="23" t="str">
        <x:v>ssl_target_level</x:v>
      </x:c>
      <x:c r="AI1" s="23" t="str">
        <x:v>positive_pair_strategy</x:v>
      </x:c>
      <x:c r="AJ1" s="23" t="str">
        <x:v>negative_pair_strategy</x:v>
      </x:c>
      <x:c r="AK1" s="23" t="str">
        <x:v>ssl_loss_original</x:v>
      </x:c>
      <x:c r="AL1" s="23" t="str">
        <x:v>ssl_weight_reported</x:v>
      </x:c>
      <x:c r="AM1" s="23" t="str">
        <x:v>augmentation_type</x:v>
      </x:c>
      <x:c r="AN1" s="23" t="str">
        <x:v>educational_structure_preservation</x:v>
      </x:c>
      <x:c r="AO1" s="23" t="str">
        <x:v>preserved_property_original</x:v>
      </x:c>
      <x:c r="AP1" s="23" t="str">
        <x:v>augmentation_validity_ablation</x:v>
      </x:c>
      <x:c r="AQ1" s="23" t="str">
        <x:v>coding_basis</x:v>
      </x:c>
      <x:c r="AR1" s="23" t="str">
        <x:v>coder_id</x:v>
      </x:c>
      <x:c r="AS1" s="23" t="str">
        <x:v>coder_confidence</x:v>
      </x:c>
      <x:c r="AT1" s="23" t="str">
        <x:v>evidence_locator</x:v>
      </x:c>
      <x:c r="AU1" s="23" t="str">
        <x:v>evidence_note</x:v>
      </x:c>
      <x:c r="AV1" s="23" t="str">
        <x:v>adjudication_status</x:v>
      </x:c>
    </x:row>
    <x:row r="2">
      <x:c r="A2" s="16" t="str">
        <x:v>PILOT_01_M01</x:v>
      </x:c>
      <x:c r="B2" s="16" t="str">
        <x:v>PILOT_01</x:v>
      </x:c>
      <x:c r="C2" s="16" t="str">
        <x:v>KT004</x:v>
      </x:c>
      <x:c r="D2" s="16" t="str">
        <x:v>GKT-Dense</x:v>
      </x:c>
      <x:c r="E2" s="16" t="str">
        <x:v>OTHER*</x:v>
      </x:c>
      <x:c r="F2" s="16" t="str">
        <x:v>Dense Graph</x:v>
      </x:c>
      <x:c r="G2" s="16" t="str">
        <x:v>MODEL_DEFINED_FIXED*</x:v>
      </x:c>
      <x:c r="H2" s="16" t="str">
        <x:v>LOW</x:v>
      </x:c>
      <x:c r="I2" s="16" t="str">
        <x:v>Uniform dense KC graph: A_ij = 1/(|V|-1) for i != j; zero on diagonal.</x:v>
      </x:c>
      <x:c r="J2" s="16" t="str">
        <x:v>N</x:v>
      </x:c>
      <x:c r="K2" s="16" t="str">
        <x:v>N</x:v>
      </x:c>
      <x:c r="L2" s="16" t="str">
        <x:v>KC_KC</x:v>
      </x:c>
      <x:c r="M2" s="16" t="str">
        <x:v>knowledge concepts / skills</x:v>
      </x:c>
      <x:c r="N2" s="16" t="str">
        <x:v>incoming/outgoing direction functions</x:v>
      </x:c>
      <x:c r="O2" s="16" t="str">
        <x:v>Y</x:v>
      </x:c>
      <x:c r="P2" s="16" t="str">
        <x:v>Y</x:v>
      </x:c>
      <x:c r="Q2" s="16" t="str">
        <x:v>Y</x:v>
      </x:c>
      <x:c r="R2" s="16" t="str">
        <x:v>N</x:v>
      </x:c>
      <x:c r="S2" s="16" t="str">
        <x:v>N</x:v>
      </x:c>
      <x:c r="T2" s="16" t="str">
        <x:v>N</x:v>
      </x:c>
      <x:c r="U2" s="16" t="str">
        <x:v>OTHER</x:v>
      </x:c>
      <x:c r="V2" s="16" t="str">
        <x:v>Custom GKT message passing with MLP f_self/f_outgo/f_income + erase-add gate + GRU</x:v>
      </x:c>
      <x:c r="W2" s="16" t="str">
        <x:v>NA</x:v>
      </x:c>
      <x:c r="X2" s="16" t="str">
        <x:v>answered concept -&gt; neighboring concepts; incoming and outgoing dependency functions are distinguished</x:v>
      </x:c>
      <x:c r="Y2" s="16" t="str">
        <x:v>RNN_LSTM_GRU</x:v>
      </x:c>
      <x:c r="Z2" s="16" t="str">
        <x:v>NA</x:v>
      </x:c>
      <x:c r="AA2" s="16" t="str">
        <x:v>MESSAGE_PASSING_IN_PREDICTION_LOOP</x:v>
      </x:c>
      <x:c r="AB2" s="16" t="str">
        <x:v>HIDDEN_STATE</x:v>
      </x:c>
      <x:c r="AC2" s="16" t="str">
        <x:v>Aggregate answered/neighbor node features, propagate by graph relation, update each concept state with GRU, then predict next correctness.</x:v>
      </x:c>
      <x:c r="AD2" s="16" t="str">
        <x:v>NONE</x:v>
      </x:c>
      <x:c r="AE2" s="16" t="str">
        <x:v>N</x:v>
      </x:c>
      <x:c r="AF2" s="16" t="str">
        <x:v>NA</x:v>
      </x:c>
      <x:c r="AG2" s="16" t="str">
        <x:v>NA</x:v>
      </x:c>
      <x:c r="AH2" s="16" t="str">
        <x:v>NA</x:v>
      </x:c>
      <x:c r="AI2" s="16" t="str">
        <x:v>NA</x:v>
      </x:c>
      <x:c r="AJ2" s="16" t="str">
        <x:v>NA</x:v>
      </x:c>
      <x:c r="AK2" s="16" t="str">
        <x:v>NA</x:v>
      </x:c>
      <x:c r="AL2" s="16" t="str">
        <x:v>NA</x:v>
      </x:c>
      <x:c r="AM2" s="16" t="str">
        <x:v>NO_EXPLICIT_AUGMENTATION</x:v>
      </x:c>
      <x:c r="AN2" s="16" t="str">
        <x:v>NO_AUGMENTATION</x:v>
      </x:c>
      <x:c r="AO2" s="16" t="str">
        <x:v>NA</x:v>
      </x:c>
      <x:c r="AP2" s="16" t="str">
        <x:v>NA</x:v>
      </x:c>
      <x:c r="AQ2" s="16" t="str">
        <x:v>AUTHOR_STATED</x:v>
      </x:c>
      <x:c r="AR2" s="16" t="str">
        <x:v>Coder_A_EXAMPLE</x:v>
      </x:c>
      <x:c r="AS2" s="16" t="str">
        <x:v>HIGH</x:v>
      </x:c>
      <x:c r="AT2" s="16" t="str">
        <x:v>Sec. 2.1; Sec. 2.2 Dense Graph; Appendix B</x:v>
      </x:c>
      <x:c r="AU2" s="16" t="str">
        <x:v>Dense graph is data-independent. `MODEL_DEFINED_FIXED` is a proposed new provenance category discovered during pilot.</x:v>
      </x:c>
      <x:c r="AV2" s="16" t="str">
        <x:v>PENDING</x:v>
      </x:c>
    </x:row>
    <x:row r="3">
      <x:c r="A3" s="16" t="str">
        <x:v>PILOT_01_M02</x:v>
      </x:c>
      <x:c r="B3" s="16" t="str">
        <x:v>PILOT_01</x:v>
      </x:c>
      <x:c r="C3" s="16" t="str">
        <x:v>KT004</x:v>
      </x:c>
      <x:c r="D3" s="16" t="str">
        <x:v>GKT-Transition</x:v>
      </x:c>
      <x:c r="E3" s="16" t="str">
        <x:v>SEQUENTIAL_TRANSITION*</x:v>
      </x:c>
      <x:c r="F3" s="16" t="str">
        <x:v>Transition Graph</x:v>
      </x:c>
      <x:c r="G3" s="16" t="str">
        <x:v>PRECOMPUTED_UNCLEAR_SPLIT</x:v>
      </x:c>
      <x:c r="H3" s="16" t="str">
        <x:v>POTENTIAL</x:v>
      </x:c>
      <x:c r="I3" s="16" t="str">
        <x:v>Directed transition-probability graph; A_ij uses counts of concept j answered immediately after concept i.</x:v>
      </x:c>
      <x:c r="J3" s="16" t="str">
        <x:v>N</x:v>
      </x:c>
      <x:c r="K3" s="16" t="str">
        <x:v>UNCLEAR</x:v>
      </x:c>
      <x:c r="L3" s="16" t="str">
        <x:v>KC_KC</x:v>
      </x:c>
      <x:c r="M3" s="16" t="str">
        <x:v>knowledge concepts / skills</x:v>
      </x:c>
      <x:c r="N3" s="16" t="str">
        <x:v>incoming/outgoing direction functions</x:v>
      </x:c>
      <x:c r="O3" s="16" t="str">
        <x:v>Y</x:v>
      </x:c>
      <x:c r="P3" s="16" t="str">
        <x:v>Y</x:v>
      </x:c>
      <x:c r="Q3" s="16" t="str">
        <x:v>Y</x:v>
      </x:c>
      <x:c r="R3" s="16" t="str">
        <x:v>N</x:v>
      </x:c>
      <x:c r="S3" s="16" t="str">
        <x:v>N</x:v>
      </x:c>
      <x:c r="T3" s="16" t="str">
        <x:v>N</x:v>
      </x:c>
      <x:c r="U3" s="16" t="str">
        <x:v>OTHER</x:v>
      </x:c>
      <x:c r="V3" s="16" t="str">
        <x:v>Custom GKT message passing with transition-weighted MLP messages + erase-add gate + GRU</x:v>
      </x:c>
      <x:c r="W3" s="16" t="str">
        <x:v>NA</x:v>
      </x:c>
      <x:c r="X3" s="16" t="str">
        <x:v>answered concept -&gt; neighboring concepts; incoming and outgoing dependency functions are distinguished</x:v>
      </x:c>
      <x:c r="Y3" s="16" t="str">
        <x:v>RNN_LSTM_GRU</x:v>
      </x:c>
      <x:c r="Z3" s="16" t="str">
        <x:v>NA</x:v>
      </x:c>
      <x:c r="AA3" s="16" t="str">
        <x:v>MESSAGE_PASSING_IN_PREDICTION_LOOP</x:v>
      </x:c>
      <x:c r="AB3" s="16" t="str">
        <x:v>HIDDEN_STATE</x:v>
      </x:c>
      <x:c r="AC3" s="16" t="str">
        <x:v>Aggregate answered/neighbor node features, propagate by graph relation, update each concept state with GRU, then predict next correctness.</x:v>
      </x:c>
      <x:c r="AD3" s="16" t="str">
        <x:v>NONE</x:v>
      </x:c>
      <x:c r="AE3" s="16" t="str">
        <x:v>N</x:v>
      </x:c>
      <x:c r="AF3" s="16" t="str">
        <x:v>NA</x:v>
      </x:c>
      <x:c r="AG3" s="16" t="str">
        <x:v>NA</x:v>
      </x:c>
      <x:c r="AH3" s="16" t="str">
        <x:v>NA</x:v>
      </x:c>
      <x:c r="AI3" s="16" t="str">
        <x:v>NA</x:v>
      </x:c>
      <x:c r="AJ3" s="16" t="str">
        <x:v>NA</x:v>
      </x:c>
      <x:c r="AK3" s="16" t="str">
        <x:v>NA</x:v>
      </x:c>
      <x:c r="AL3" s="16" t="str">
        <x:v>NA</x:v>
      </x:c>
      <x:c r="AM3" s="16" t="str">
        <x:v>NO_EXPLICIT_AUGMENTATION</x:v>
      </x:c>
      <x:c r="AN3" s="16" t="str">
        <x:v>NO_AUGMENTATION</x:v>
      </x:c>
      <x:c r="AO3" s="16" t="str">
        <x:v>NA</x:v>
      </x:c>
      <x:c r="AP3" s="16" t="str">
        <x:v>NA</x:v>
      </x:c>
      <x:c r="AQ3" s="16" t="str">
        <x:v>AUTHOR_STATED + REVIEWER_INFERRED</x:v>
      </x:c>
      <x:c r="AR3" s="16" t="str">
        <x:v>Coder_A_EXAMPLE</x:v>
      </x:c>
      <x:c r="AS3" s="16" t="str">
        <x:v>HIGH</x:v>
      </x:c>
      <x:c r="AT3" s="16" t="str">
        <x:v>Sec. 2.2 Transition Graph; Appendix B split</x:v>
      </x:c>
      <x:c r="AU3" s="16" t="str">
        <x:v>Paper defines transition counts but does not explicitly say whether this precomputed graph is built from training students only; leakage risk therefore coded POTENTIAL.</x:v>
      </x:c>
      <x:c r="AV3" s="16" t="str">
        <x:v>PENDING</x:v>
      </x:c>
    </x:row>
    <x:row r="4">
      <x:c r="A4" s="16" t="str">
        <x:v>PILOT_01_M03</x:v>
      </x:c>
      <x:c r="B4" s="16" t="str">
        <x:v>PILOT_01</x:v>
      </x:c>
      <x:c r="C4" s="16" t="str">
        <x:v>KT004</x:v>
      </x:c>
      <x:c r="D4" s="16" t="str">
        <x:v>GKT-DKTGraph</x:v>
      </x:c>
      <x:c r="E4" s="16" t="str">
        <x:v>LEARNED_FROM_INTERACTIONS</x:v>
      </x:c>
      <x:c r="F4" s="16" t="str">
        <x:v>DKT Graph</x:v>
      </x:c>
      <x:c r="G4" s="16" t="str">
        <x:v>PRECOMPUTED_UNCLEAR_SPLIT</x:v>
      </x:c>
      <x:c r="H4" s="16" t="str">
        <x:v>POTENTIAL</x:v>
      </x:c>
      <x:c r="I4" s="16" t="str">
        <x:v>Graph generated from conditional prediction probabilities of a trained DKT model.</x:v>
      </x:c>
      <x:c r="J4" s="16" t="str">
        <x:v>Y</x:v>
      </x:c>
      <x:c r="K4" s="16" t="str">
        <x:v>UNCLEAR</x:v>
      </x:c>
      <x:c r="L4" s="16" t="str">
        <x:v>KC_KC</x:v>
      </x:c>
      <x:c r="M4" s="16" t="str">
        <x:v>knowledge concepts / skills</x:v>
      </x:c>
      <x:c r="N4" s="16" t="str">
        <x:v>incoming/outgoing direction functions</x:v>
      </x:c>
      <x:c r="O4" s="16" t="str">
        <x:v>Y</x:v>
      </x:c>
      <x:c r="P4" s="16" t="str">
        <x:v>Y</x:v>
      </x:c>
      <x:c r="Q4" s="16" t="str">
        <x:v>Y</x:v>
      </x:c>
      <x:c r="R4" s="16" t="str">
        <x:v>N</x:v>
      </x:c>
      <x:c r="S4" s="16" t="str">
        <x:v>N</x:v>
      </x:c>
      <x:c r="T4" s="16" t="str">
        <x:v>N</x:v>
      </x:c>
      <x:c r="U4" s="16" t="str">
        <x:v>OTHER</x:v>
      </x:c>
      <x:c r="V4" s="16" t="str">
        <x:v>Custom GKT message passing with DKT-derived adjacency + erase-add gate + GRU</x:v>
      </x:c>
      <x:c r="W4" s="16" t="str">
        <x:v>NA</x:v>
      </x:c>
      <x:c r="X4" s="16" t="str">
        <x:v>answered concept -&gt; neighboring concepts; incoming and outgoing dependency functions are distinguished</x:v>
      </x:c>
      <x:c r="Y4" s="16" t="str">
        <x:v>RNN_LSTM_GRU</x:v>
      </x:c>
      <x:c r="Z4" s="16" t="str">
        <x:v>NA</x:v>
      </x:c>
      <x:c r="AA4" s="16" t="str">
        <x:v>MESSAGE_PASSING_IN_PREDICTION_LOOP</x:v>
      </x:c>
      <x:c r="AB4" s="16" t="str">
        <x:v>HIDDEN_STATE</x:v>
      </x:c>
      <x:c r="AC4" s="16" t="str">
        <x:v>Aggregate answered/neighbor node features, propagate by graph relation, update each concept state with GRU, then predict next correctness.</x:v>
      </x:c>
      <x:c r="AD4" s="16" t="str">
        <x:v>NONE</x:v>
      </x:c>
      <x:c r="AE4" s="16" t="str">
        <x:v>N</x:v>
      </x:c>
      <x:c r="AF4" s="16" t="str">
        <x:v>NA</x:v>
      </x:c>
      <x:c r="AG4" s="16" t="str">
        <x:v>NA</x:v>
      </x:c>
      <x:c r="AH4" s="16" t="str">
        <x:v>NA</x:v>
      </x:c>
      <x:c r="AI4" s="16" t="str">
        <x:v>NA</x:v>
      </x:c>
      <x:c r="AJ4" s="16" t="str">
        <x:v>NA</x:v>
      </x:c>
      <x:c r="AK4" s="16" t="str">
        <x:v>NA</x:v>
      </x:c>
      <x:c r="AL4" s="16" t="str">
        <x:v>NA</x:v>
      </x:c>
      <x:c r="AM4" s="16" t="str">
        <x:v>NO_EXPLICIT_AUGMENTATION</x:v>
      </x:c>
      <x:c r="AN4" s="16" t="str">
        <x:v>NO_AUGMENTATION</x:v>
      </x:c>
      <x:c r="AO4" s="16" t="str">
        <x:v>NA</x:v>
      </x:c>
      <x:c r="AP4" s="16" t="str">
        <x:v>NA</x:v>
      </x:c>
      <x:c r="AQ4" s="16" t="str">
        <x:v>AUTHOR_STATED + REVIEWER_INFERRED</x:v>
      </x:c>
      <x:c r="AR4" s="16" t="str">
        <x:v>Coder_A_EXAMPLE</x:v>
      </x:c>
      <x:c r="AS4" s="16" t="str">
        <x:v>HIGH</x:v>
      </x:c>
      <x:c r="AT4" s="16" t="str">
        <x:v>Sec. 2.2 DKT Graph; Appendix B split</x:v>
      </x:c>
      <x:c r="AU4" s="16" t="str">
        <x:v>The graph is based on a trained DKT model, hence response outcomes influence it indirectly. The exact partition used to extract the DKT graph is not explicitly stated in the graph-construction paragraph.</x:v>
      </x:c>
      <x:c r="AV4" s="16" t="str">
        <x:v>PENDING</x:v>
      </x:c>
    </x:row>
    <x:row r="5">
      <x:c r="A5" s="16" t="str">
        <x:v>PILOT_01_M04</x:v>
      </x:c>
      <x:c r="B5" s="16" t="str">
        <x:v>PILOT_01</x:v>
      </x:c>
      <x:c r="C5" s="16" t="str">
        <x:v>KT004</x:v>
      </x:c>
      <x:c r="D5" s="16" t="str">
        <x:v>GKT-PAM</x:v>
      </x:c>
      <x:c r="E5" s="16" t="str">
        <x:v>LEARNED_FROM_INTERACTIONS</x:v>
      </x:c>
      <x:c r="F5" s="16" t="str">
        <x:v>Parametric Adjacency Matrix (PAM)</x:v>
      </x:c>
      <x:c r="G5" s="16" t="str">
        <x:v>JOINTLY_LEARNED_TRAINING</x:v>
      </x:c>
      <x:c r="H5" s="16" t="str">
        <x:v>LOW</x:v>
      </x:c>
      <x:c r="I5" s="16" t="str">
        <x:v>Adjacency matrix is directly parameterized and optimized jointly with KT prediction parameters.</x:v>
      </x:c>
      <x:c r="J5" s="16" t="str">
        <x:v>Y</x:v>
      </x:c>
      <x:c r="K5" s="16" t="str">
        <x:v>N</x:v>
      </x:c>
      <x:c r="L5" s="16" t="str">
        <x:v>KC_KC</x:v>
      </x:c>
      <x:c r="M5" s="16" t="str">
        <x:v>knowledge concepts / skills</x:v>
      </x:c>
      <x:c r="N5" s="16" t="str">
        <x:v>incoming/outgoing direction functions</x:v>
      </x:c>
      <x:c r="O5" s="16" t="str">
        <x:v>Y</x:v>
      </x:c>
      <x:c r="P5" s="16" t="str">
        <x:v>Y</x:v>
      </x:c>
      <x:c r="Q5" s="16" t="str">
        <x:v>Y</x:v>
      </x:c>
      <x:c r="R5" s="16" t="str">
        <x:v>N</x:v>
      </x:c>
      <x:c r="S5" s="16" t="str">
        <x:v>N</x:v>
      </x:c>
      <x:c r="T5" s="16" t="str">
        <x:v>N</x:v>
      </x:c>
      <x:c r="U5" s="16" t="str">
        <x:v>OTHER</x:v>
      </x:c>
      <x:c r="V5" s="16" t="str">
        <x:v>Custom GKT message passing with learned parametric adjacency + erase-add gate + GRU</x:v>
      </x:c>
      <x:c r="W5" s="16" t="str">
        <x:v>NA</x:v>
      </x:c>
      <x:c r="X5" s="16" t="str">
        <x:v>answered concept -&gt; neighboring concepts; incoming and outgoing dependency functions are distinguished</x:v>
      </x:c>
      <x:c r="Y5" s="16" t="str">
        <x:v>RNN_LSTM_GRU</x:v>
      </x:c>
      <x:c r="Z5" s="16" t="str">
        <x:v>NA</x:v>
      </x:c>
      <x:c r="AA5" s="16" t="str">
        <x:v>MESSAGE_PASSING_IN_PREDICTION_LOOP</x:v>
      </x:c>
      <x:c r="AB5" s="16" t="str">
        <x:v>HIDDEN_STATE</x:v>
      </x:c>
      <x:c r="AC5" s="16" t="str">
        <x:v>Aggregate answered/neighbor node features, propagate by graph relation, update each concept state with GRU, then predict next correctness.</x:v>
      </x:c>
      <x:c r="AD5" s="16" t="str">
        <x:v>NONE</x:v>
      </x:c>
      <x:c r="AE5" s="16" t="str">
        <x:v>N</x:v>
      </x:c>
      <x:c r="AF5" s="16" t="str">
        <x:v>NA</x:v>
      </x:c>
      <x:c r="AG5" s="16" t="str">
        <x:v>NA</x:v>
      </x:c>
      <x:c r="AH5" s="16" t="str">
        <x:v>NA</x:v>
      </x:c>
      <x:c r="AI5" s="16" t="str">
        <x:v>NA</x:v>
      </x:c>
      <x:c r="AJ5" s="16" t="str">
        <x:v>NA</x:v>
      </x:c>
      <x:c r="AK5" s="16" t="str">
        <x:v>NA</x:v>
      </x:c>
      <x:c r="AL5" s="16" t="str">
        <x:v>NA</x:v>
      </x:c>
      <x:c r="AM5" s="16" t="str">
        <x:v>NO_EXPLICIT_AUGMENTATION</x:v>
      </x:c>
      <x:c r="AN5" s="16" t="str">
        <x:v>NO_AUGMENTATION</x:v>
      </x:c>
      <x:c r="AO5" s="16" t="str">
        <x:v>NA</x:v>
      </x:c>
      <x:c r="AP5" s="16" t="str">
        <x:v>NA</x:v>
      </x:c>
      <x:c r="AQ5" s="16" t="str">
        <x:v>AUTHOR_STATED</x:v>
      </x:c>
      <x:c r="AR5" s="16" t="str">
        <x:v>Coder_A_EXAMPLE</x:v>
      </x:c>
      <x:c r="AS5" s="16" t="str">
        <x:v>HIGH</x:v>
      </x:c>
      <x:c r="AT5" s="16" t="str">
        <x:v>Sec. 2.2 PAM; Sec. 2.1 NLL; Appendix B split</x:v>
      </x:c>
      <x:c r="AU5" s="16" t="str">
        <x:v>PAM is jointly optimized under the KT training loss. The paper states models are trained on training-student data with validation-student tuning.</x:v>
      </x:c>
      <x:c r="AV5" s="16" t="str">
        <x:v>PENDING</x:v>
      </x:c>
    </x:row>
    <x:row r="6">
      <x:c r="A6" s="16" t="str">
        <x:v>PILOT_01_M05</x:v>
      </x:c>
      <x:c r="B6" s="16" t="str">
        <x:v>PILOT_01</x:v>
      </x:c>
      <x:c r="C6" s="16" t="str">
        <x:v>KT004</x:v>
      </x:c>
      <x:c r="D6" s="16" t="str">
        <x:v>GKT-MHA</x:v>
      </x:c>
      <x:c r="E6" s="16" t="str">
        <x:v>LEARNED_FROM_INTERACTIONS</x:v>
      </x:c>
      <x:c r="F6" s="16" t="str">
        <x:v>Multi-head Attention (MHA)</x:v>
      </x:c>
      <x:c r="G6" s="16" t="str">
        <x:v>JOINTLY_LEARNED_TRAINING</x:v>
      </x:c>
      <x:c r="H6" s="16" t="str">
        <x:v>LOW</x:v>
      </x:c>
      <x:c r="I6" s="16" t="str">
        <x:v>Multi-head attention infers edge weights between concept nodes from static node features.</x:v>
      </x:c>
      <x:c r="J6" s="16" t="str">
        <x:v>Y</x:v>
      </x:c>
      <x:c r="K6" s="16" t="str">
        <x:v>N</x:v>
      </x:c>
      <x:c r="L6" s="16" t="str">
        <x:v>KC_KC</x:v>
      </x:c>
      <x:c r="M6" s="16" t="str">
        <x:v>knowledge concepts / skills</x:v>
      </x:c>
      <x:c r="N6" s="16" t="str">
        <x:v>attention heads; not coded as semantic relation types</x:v>
      </x:c>
      <x:c r="O6" s="16" t="str">
        <x:v>Y</x:v>
      </x:c>
      <x:c r="P6" s="16" t="str">
        <x:v>Y</x:v>
      </x:c>
      <x:c r="Q6" s="16" t="str">
        <x:v>N</x:v>
      </x:c>
      <x:c r="R6" s="16" t="str">
        <x:v>N</x:v>
      </x:c>
      <x:c r="S6" s="16" t="str">
        <x:v>N</x:v>
      </x:c>
      <x:c r="T6" s="16" t="str">
        <x:v>N</x:v>
      </x:c>
      <x:c r="U6" s="16" t="str">
        <x:v>GRAPH_ATTENTION_HYBRID</x:v>
      </x:c>
      <x:c r="V6" s="16" t="str">
        <x:v>MHA edge-weight inference + head-specific message functions + erase-add gate + GRU</x:v>
      </x:c>
      <x:c r="W6" s="16" t="str">
        <x:v>NA</x:v>
      </x:c>
      <x:c r="X6" s="16" t="str">
        <x:v>answered concept -&gt; neighboring concepts; incoming and outgoing dependency functions are distinguished</x:v>
      </x:c>
      <x:c r="Y6" s="16" t="str">
        <x:v>RNN_LSTM_GRU</x:v>
      </x:c>
      <x:c r="Z6" s="16" t="str">
        <x:v>NA</x:v>
      </x:c>
      <x:c r="AA6" s="16" t="str">
        <x:v>MESSAGE_PASSING_IN_PREDICTION_LOOP</x:v>
      </x:c>
      <x:c r="AB6" s="16" t="str">
        <x:v>HIDDEN_STATE</x:v>
      </x:c>
      <x:c r="AC6" s="16" t="str">
        <x:v>Aggregate answered/neighbor node features, propagate by graph relation, update each concept state with GRU, then predict next correctness.</x:v>
      </x:c>
      <x:c r="AD6" s="16" t="str">
        <x:v>NONE</x:v>
      </x:c>
      <x:c r="AE6" s="16" t="str">
        <x:v>N</x:v>
      </x:c>
      <x:c r="AF6" s="16" t="str">
        <x:v>NA</x:v>
      </x:c>
      <x:c r="AG6" s="16" t="str">
        <x:v>NA</x:v>
      </x:c>
      <x:c r="AH6" s="16" t="str">
        <x:v>NA</x:v>
      </x:c>
      <x:c r="AI6" s="16" t="str">
        <x:v>NA</x:v>
      </x:c>
      <x:c r="AJ6" s="16" t="str">
        <x:v>NA</x:v>
      </x:c>
      <x:c r="AK6" s="16" t="str">
        <x:v>NA</x:v>
      </x:c>
      <x:c r="AL6" s="16" t="str">
        <x:v>NA</x:v>
      </x:c>
      <x:c r="AM6" s="16" t="str">
        <x:v>NO_EXPLICIT_AUGMENTATION</x:v>
      </x:c>
      <x:c r="AN6" s="16" t="str">
        <x:v>NO_AUGMENTATION</x:v>
      </x:c>
      <x:c r="AO6" s="16" t="str">
        <x:v>NA</x:v>
      </x:c>
      <x:c r="AP6" s="16" t="str">
        <x:v>NA</x:v>
      </x:c>
      <x:c r="AQ6" s="16" t="str">
        <x:v>AUTHOR_STATED</x:v>
      </x:c>
      <x:c r="AR6" s="16" t="str">
        <x:v>Coder_A_EXAMPLE</x:v>
      </x:c>
      <x:c r="AS6" s="16" t="str">
        <x:v>HIGH</x:v>
      </x:c>
      <x:c r="AT6" s="16" t="str">
        <x:v>Sec. 2.2 MHA; Sec. 2.1 NLL; Appendix B</x:v>
      </x:c>
      <x:c r="AU6" s="16" t="str">
        <x:v>MHA learns edge weights end-to-end. Attention heads are not treated as typed educational relations.</x:v>
      </x:c>
      <x:c r="AV6" s="16" t="str">
        <x:v>PENDING</x:v>
      </x:c>
    </x:row>
    <x:row r="7">
      <x:c r="A7" s="16" t="str">
        <x:v>PILOT_01_M06</x:v>
      </x:c>
      <x:c r="B7" s="16" t="str">
        <x:v>PILOT_01</x:v>
      </x:c>
      <x:c r="C7" s="16" t="str">
        <x:v>KT004</x:v>
      </x:c>
      <x:c r="D7" s="16" t="str">
        <x:v>GKT-VAE</x:v>
      </x:c>
      <x:c r="E7" s="16" t="str">
        <x:v>LEARNED_FROM_INTERACTIONS</x:v>
      </x:c>
      <x:c r="F7" s="16" t="str">
        <x:v>Variational Autoencoder (VAE) / NRI-inspired edge inference</x:v>
      </x:c>
      <x:c r="G7" s="16" t="str">
        <x:v>JOINTLY_LEARNED_TRAINING</x:v>
      </x:c>
      <x:c r="H7" s="16" t="str">
        <x:v>LOW</x:v>
      </x:c>
      <x:c r="I7" s="16" t="str">
        <x:v>Discrete latent edge types are inferred from node features with Gumbel-Softmax; one type represents non-edge; loss combines KT NLL and KL divergence.</x:v>
      </x:c>
      <x:c r="J7" s="16" t="str">
        <x:v>Y</x:v>
      </x:c>
      <x:c r="K7" s="16" t="str">
        <x:v>N</x:v>
      </x:c>
      <x:c r="L7" s="16" t="str">
        <x:v>KC_KC</x:v>
      </x:c>
      <x:c r="M7" s="16" t="str">
        <x:v>knowledge concepts / skills</x:v>
      </x:c>
      <x:c r="N7" s="16" t="str">
        <x:v>K latent edge types; one is non-edge</x:v>
      </x:c>
      <x:c r="O7" s="16" t="str">
        <x:v>Y</x:v>
      </x:c>
      <x:c r="P7" s="16" t="str">
        <x:v>UNCLEAR</x:v>
      </x:c>
      <x:c r="Q7" s="16" t="str">
        <x:v>Y</x:v>
      </x:c>
      <x:c r="R7" s="16" t="str">
        <x:v>N</x:v>
      </x:c>
      <x:c r="S7" s="16" t="str">
        <x:v>N</x:v>
      </x:c>
      <x:c r="T7" s="16" t="str">
        <x:v>N</x:v>
      </x:c>
      <x:c r="U7" s="16" t="str">
        <x:v>OTHER</x:v>
      </x:c>
      <x:c r="V7" s="16" t="str">
        <x:v>NRI/VAE-inspired latent edge-type inference + type-specific message functions + erase-add gate + GRU</x:v>
      </x:c>
      <x:c r="W7" s="16" t="str">
        <x:v>NA</x:v>
      </x:c>
      <x:c r="X7" s="16" t="str">
        <x:v>answered concept -&gt; neighboring concepts; incoming and outgoing dependency functions are distinguished</x:v>
      </x:c>
      <x:c r="Y7" s="16" t="str">
        <x:v>RNN_LSTM_GRU</x:v>
      </x:c>
      <x:c r="Z7" s="16" t="str">
        <x:v>NA</x:v>
      </x:c>
      <x:c r="AA7" s="16" t="str">
        <x:v>MESSAGE_PASSING_IN_PREDICTION_LOOP</x:v>
      </x:c>
      <x:c r="AB7" s="16" t="str">
        <x:v>HIDDEN_STATE</x:v>
      </x:c>
      <x:c r="AC7" s="16" t="str">
        <x:v>Aggregate answered/neighbor node features, propagate by graph relation, update each concept state with GRU, then predict next correctness.</x:v>
      </x:c>
      <x:c r="AD7" s="16" t="str">
        <x:v>NONE</x:v>
      </x:c>
      <x:c r="AE7" s="16" t="str">
        <x:v>N</x:v>
      </x:c>
      <x:c r="AF7" s="16" t="str">
        <x:v>NA</x:v>
      </x:c>
      <x:c r="AG7" s="16" t="str">
        <x:v>NA</x:v>
      </x:c>
      <x:c r="AH7" s="16" t="str">
        <x:v>NA</x:v>
      </x:c>
      <x:c r="AI7" s="16" t="str">
        <x:v>NA</x:v>
      </x:c>
      <x:c r="AJ7" s="16" t="str">
        <x:v>NA</x:v>
      </x:c>
      <x:c r="AK7" s="16" t="str">
        <x:v>NA</x:v>
      </x:c>
      <x:c r="AL7" s="16" t="str">
        <x:v>NA</x:v>
      </x:c>
      <x:c r="AM7" s="16" t="str">
        <x:v>NO_EXPLICIT_AUGMENTATION</x:v>
      </x:c>
      <x:c r="AN7" s="16" t="str">
        <x:v>NO_AUGMENTATION</x:v>
      </x:c>
      <x:c r="AO7" s="16" t="str">
        <x:v>NA</x:v>
      </x:c>
      <x:c r="AP7" s="16" t="str">
        <x:v>NA</x:v>
      </x:c>
      <x:c r="AQ7" s="16" t="str">
        <x:v>AUTHOR_STATED</x:v>
      </x:c>
      <x:c r="AR7" s="16" t="str">
        <x:v>Coder_A_EXAMPLE</x:v>
      </x:c>
      <x:c r="AS7" s="16" t="str">
        <x:v>HIGH</x:v>
      </x:c>
      <x:c r="AT7" s="16" t="str">
        <x:v>Sec. 2.2 VAE; Sec. 2.1 NLL; Appendix B</x:v>
      </x:c>
      <x:c r="AU7" s="16" t="str">
        <x:v>VAE uses a KL term, but this is not coded as SSL under the locked definition because it is part of joint latent-graph inference rather than a separate self-supervised/pretext task.</x:v>
      </x:c>
      <x:c r="AV7" s="16" t="str">
        <x:v>PENDING</x:v>
      </x:c>
    </x:row>
  </x:sheetData>
  <x:pageMargins left="0.7" right="0.7" top="0.75" bottom="0.75" header="0.3" footer="0.3"/>
  <x:tableParts count="1">
    <x:tablePart xmlns:r="http://schemas.openxmlformats.org/officeDocument/2006/relationships" r:id="R5c4eb99ddcdf418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5" hidden="0" customWidth="1"/>
    <x:col min="5" max="5" width="25" hidden="0" customWidth="1"/>
    <x:col min="6" max="6" width="2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3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28" hidden="0" customWidth="1"/>
    <x:col min="30" max="30" width="28" hidden="0" customWidth="1"/>
    <x:col min="31" max="31" width="28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20" hidden="0" customWidth="1"/>
    <x:col min="43" max="43" width="20" hidden="0" customWidth="1"/>
    <x:col min="44" max="44" width="20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52" hidden="0" customWidth="1"/>
    <x:col min="72" max="72" width="52" hidden="0" customWidth="1"/>
    <x:col min="73" max="73" width="15" hidden="0" customWidth="1"/>
  </x:cols>
  <x:sheetData>
    <x:row r="1">
      <x:c r="A1" s="31" t="str">
        <x:v>experiment_id</x:v>
      </x:c>
      <x:c r="B1" s="31" t="str">
        <x:v>paper_id</x:v>
      </x:c>
      <x:c r="C1" s="31" t="str">
        <x:v>model_entry_id</x:v>
      </x:c>
      <x:c r="D1" s="31" t="str">
        <x:v>dataset_name</x:v>
      </x:c>
      <x:c r="E1" s="31" t="str">
        <x:v>dataset_version</x:v>
      </x:c>
      <x:c r="F1" s="31" t="str">
        <x:v>dataset_source</x:v>
      </x:c>
      <x:c r="G1" s="31" t="str">
        <x:v>n_learners_reported</x:v>
      </x:c>
      <x:c r="H1" s="31" t="str">
        <x:v>n_items_reported</x:v>
      </x:c>
      <x:c r="I1" s="31" t="str">
        <x:v>n_kcs_reported</x:v>
      </x:c>
      <x:c r="J1" s="31" t="str">
        <x:v>n_interactions_reported</x:v>
      </x:c>
      <x:c r="K1" s="31" t="str">
        <x:v>multi_skill_present</x:v>
      </x:c>
      <x:c r="L1" s="31" t="str">
        <x:v>multi_skill_handling</x:v>
      </x:c>
      <x:c r="M1" s="31" t="str">
        <x:v>sequence_truncation</x:v>
      </x:c>
      <x:c r="N1" s="31" t="str">
        <x:v>min_sequence_filter</x:v>
      </x:c>
      <x:c r="O1" s="31" t="str">
        <x:v>timestamp_used</x:v>
      </x:c>
      <x:c r="P1" s="31" t="str">
        <x:v>preprocessing_code_available</x:v>
      </x:c>
      <x:c r="Q1" s="31" t="str">
        <x:v>split_type</x:v>
      </x:c>
      <x:c r="R1" s="31" t="str">
        <x:v>split_unit_original</x:v>
      </x:c>
      <x:c r="S1" s="31" t="str">
        <x:v>train_fraction</x:v>
      </x:c>
      <x:c r="T1" s="31" t="str">
        <x:v>validation_fraction</x:v>
      </x:c>
      <x:c r="U1" s="31" t="str">
        <x:v>test_fraction</x:v>
      </x:c>
      <x:c r="V1" s="31" t="str">
        <x:v>validation_set_separate</x:v>
      </x:c>
      <x:c r="W1" s="31" t="str">
        <x:v>early_stopping_validation_only</x:v>
      </x:c>
      <x:c r="X1" s="31" t="str">
        <x:v>graph_train_only</x:v>
      </x:c>
      <x:c r="Y1" s="31" t="str">
        <x:v>normalization_train_only</x:v>
      </x:c>
      <x:c r="Z1" s="31" t="str">
        <x:v>sparse_strata_train_only</x:v>
      </x:c>
      <x:c r="AA1" s="31" t="str">
        <x:v>temporal_alignment_audited</x:v>
      </x:c>
      <x:c r="AB1" s="31" t="str">
        <x:v>duplicate_entity_leakage_checked</x:v>
      </x:c>
      <x:c r="AC1" s="31" t="str">
        <x:v>sparsity_construct</x:v>
      </x:c>
      <x:c r="AD1" s="31" t="str">
        <x:v>sparse_definition_original</x:v>
      </x:c>
      <x:c r="AE1" s="31" t="str">
        <x:v>sparse_threshold_original</x:v>
      </x:c>
      <x:c r="AF1" s="31" t="str">
        <x:v>threshold_source</x:v>
      </x:c>
      <x:c r="AG1" s="31" t="str">
        <x:v>frequency_computed_on</x:v>
      </x:c>
      <x:c r="AH1" s="31" t="str">
        <x:v>strict_zero_train_verified</x:v>
      </x:c>
      <x:c r="AI1" s="31" t="str">
        <x:v>external_info_for_unseen_kc</x:v>
      </x:c>
      <x:c r="AJ1" s="31" t="str">
        <x:v>support_kcs</x:v>
      </x:c>
      <x:c r="AK1" s="31" t="str">
        <x:v>support_learners</x:v>
      </x:c>
      <x:c r="AL1" s="31" t="str">
        <x:v>support_items</x:v>
      </x:c>
      <x:c r="AM1" s="31" t="str">
        <x:v>support_test_interactions</x:v>
      </x:c>
      <x:c r="AN1" s="31" t="str">
        <x:v>positive_count</x:v>
      </x:c>
      <x:c r="AO1" s="31" t="str">
        <x:v>negative_count</x:v>
      </x:c>
      <x:c r="AP1" s="31" t="str">
        <x:v>metric_name_original</x:v>
      </x:c>
      <x:c r="AQ1" s="31" t="str">
        <x:v>metric_value_original</x:v>
      </x:c>
      <x:c r="AR1" s="31" t="str">
        <x:v>metric_scope</x:v>
      </x:c>
      <x:c r="AS1" s="31" t="str">
        <x:v>n_seeds</x:v>
      </x:c>
      <x:c r="AT1" s="31" t="str">
        <x:v>seed_values_reported</x:v>
      </x:c>
      <x:c r="AU1" s="31" t="str">
        <x:v>mean_std_reported</x:v>
      </x:c>
      <x:c r="AV1" s="31" t="str">
        <x:v>confidence_interval</x:v>
      </x:c>
      <x:c r="AW1" s="31" t="str">
        <x:v>bootstrap_unit</x:v>
      </x:c>
      <x:c r="AX1" s="31" t="str">
        <x:v>statistical_test</x:v>
      </x:c>
      <x:c r="AY1" s="31" t="str">
        <x:v>multiple_comparison_correction</x:v>
      </x:c>
      <x:c r="AZ1" s="31" t="str">
        <x:v>effect_size</x:v>
      </x:c>
      <x:c r="BA1" s="31" t="str">
        <x:v>paired_design</x:v>
      </x:c>
      <x:c r="BB1" s="31" t="str">
        <x:v>significance_threshold</x:v>
      </x:c>
      <x:c r="BC1" s="31" t="str">
        <x:v>parameter_count</x:v>
      </x:c>
      <x:c r="BD1" s="31" t="str">
        <x:v>train_time</x:v>
      </x:c>
      <x:c r="BE1" s="31" t="str">
        <x:v>time_per_epoch</x:v>
      </x:c>
      <x:c r="BF1" s="31" t="str">
        <x:v>inference_latency</x:v>
      </x:c>
      <x:c r="BG1" s="31" t="str">
        <x:v>throughput</x:v>
      </x:c>
      <x:c r="BH1" s="31" t="str">
        <x:v>cpu_ram</x:v>
      </x:c>
      <x:c r="BI1" s="31" t="str">
        <x:v>gpu_vram</x:v>
      </x:c>
      <x:c r="BJ1" s="31" t="str">
        <x:v>hardware</x:v>
      </x:c>
      <x:c r="BK1" s="31" t="str">
        <x:v>graph_construction_time</x:v>
      </x:c>
      <x:c r="BL1" s="31" t="str">
        <x:v>complexity_formula</x:v>
      </x:c>
      <x:c r="BM1" s="31" t="str">
        <x:v>scale_up_experiment</x:v>
      </x:c>
      <x:c r="BN1" s="31" t="str">
        <x:v>oom_timeout_reported</x:v>
      </x:c>
      <x:c r="BO1" s="31" t="str">
        <x:v>coding_basis</x:v>
      </x:c>
      <x:c r="BP1" s="31" t="str">
        <x:v>coder_id</x:v>
      </x:c>
      <x:c r="BQ1" s="31" t="str">
        <x:v>coder_confidence</x:v>
      </x:c>
      <x:c r="BR1" s="31" t="str">
        <x:v>evidence_locator</x:v>
      </x:c>
      <x:c r="BS1" s="31" t="str">
        <x:v>evidence_note</x:v>
      </x:c>
      <x:c r="BT1" s="31" t="str">
        <x:v>adjudication_status</x:v>
      </x:c>
      <x:c r="BU1" s="31"/>
    </x:row>
    <x:row r="2">
      <x:c r="A2" s="16" t="str">
        <x:v>PILOT_01_E01</x:v>
      </x:c>
      <x:c r="B2" s="16" t="str">
        <x:v>PILOT_01</x:v>
      </x:c>
      <x:c r="C2" s="16" t="str">
        <x:v>PILOT_01_M01</x:v>
      </x:c>
      <x:c r="D2" s="16" t="str">
        <x:v>ASSISTments</x:v>
      </x:c>
      <x:c r="E2" s="16" t="str">
        <x:v>2009-2010 Skill Builder</x:v>
      </x:c>
      <x:c r="F2" s="16" t="str">
        <x:v>ASSISTments public data</x:v>
      </x:c>
      <x:c r="G2" s="16" t="n">
        <x:v>1000</x:v>
      </x:c>
      <x:c r="H2" s="16" t="str">
        <x:v>NR</x:v>
      </x:c>
      <x:c r="I2" s="16" t="n">
        <x:v>101</x:v>
      </x:c>
      <x:c r="J2" s="16" t="n">
        <x:v>62955</x:v>
      </x:c>
      <x:c r="K2" s="16" t="str">
        <x:v>UNCLEAR</x:v>
      </x:c>
      <x:c r="L2" s="16" t="str">
        <x:v>Combine simultaneous answer logs into one; extract named skill tags</x:v>
      </x:c>
      <x:c r="M2" s="16" t="str">
        <x:v>NR</x:v>
      </x:c>
      <x:c r="N2" s="16" t="str">
        <x:v>NR</x:v>
      </x:c>
      <x:c r="O2" s="16" t="str">
        <x:v>UNCLEAR</x:v>
      </x:c>
      <x:c r="P2" s="16" t="str">
        <x:v>NR</x:v>
      </x:c>
      <x:c r="Q2" s="16" t="str">
        <x:v>LEARNER_BASED</x:v>
      </x:c>
      <x:c r="R2" s="16" t="str">
        <x:v>students</x:v>
      </x:c>
      <x:c r="S2" s="36" t="n">
        <x:v>0.8</x:v>
      </x:c>
      <x:c r="T2" s="36" t="n">
        <x:v>0.1</x:v>
      </x:c>
      <x:c r="U2" s="36" t="n">
        <x:v>0.1</x:v>
      </x:c>
      <x:c r="V2" s="16" t="str">
        <x:v>Y</x:v>
      </x:c>
      <x:c r="W2" s="16" t="str">
        <x:v>UNCLEAR</x:v>
      </x:c>
      <x:c r="X2" s="16" t="str">
        <x:v>NA</x:v>
      </x:c>
      <x:c r="Y2" s="16" t="str">
        <x:v>NR</x:v>
      </x:c>
      <x:c r="Z2" s="16" t="str">
        <x:v>NA</x:v>
      </x:c>
      <x:c r="AA2" s="16" t="str">
        <x:v>NR</x:v>
      </x:c>
      <x:c r="AB2" s="16" t="str">
        <x:v>NR</x:v>
      </x:c>
      <x:c r="AC2" s="16" t="str">
        <x:v>NO_EXPLICIT_FOCUS</x:v>
      </x:c>
      <x:c r="AD2" s="16" t="str">
        <x:v>NA</x:v>
      </x:c>
      <x:c r="AE2" s="16" t="str">
        <x:v>NA</x:v>
      </x:c>
      <x:c r="AF2" s="16" t="str">
        <x:v>NA</x:v>
      </x:c>
      <x:c r="AG2" s="16" t="str">
        <x:v>NA</x:v>
      </x:c>
      <x:c r="AH2" s="16" t="str">
        <x:v>NA</x:v>
      </x:c>
      <x:c r="AI2" s="16" t="str">
        <x:v>NA</x:v>
      </x:c>
      <x:c r="AJ2" s="16" t="str">
        <x:v>NA</x:v>
      </x:c>
      <x:c r="AK2" s="16" t="str">
        <x:v>NA</x:v>
      </x:c>
      <x:c r="AL2" s="16" t="str">
        <x:v>NA</x:v>
      </x:c>
      <x:c r="AM2" s="16" t="str">
        <x:v>NA</x:v>
      </x:c>
      <x:c r="AN2" s="16" t="str">
        <x:v>NA</x:v>
      </x:c>
      <x:c r="AO2" s="16" t="str">
        <x:v>NA</x:v>
      </x:c>
      <x:c r="AP2" s="16" t="str">
        <x:v>AUC</x:v>
      </x:c>
      <x:c r="AQ2" s="38" t="n">
        <x:v>0.722</x:v>
      </x:c>
      <x:c r="AR2" s="16" t="str">
        <x:v>OVERALL</x:v>
      </x:c>
      <x:c r="AS2" s="16" t="str">
        <x:v>NR</x:v>
      </x:c>
      <x:c r="AT2" s="16" t="str">
        <x:v>NR</x:v>
      </x:c>
      <x:c r="AU2" s="16" t="str">
        <x:v>N</x:v>
      </x:c>
      <x:c r="AV2" s="16" t="str">
        <x:v>NR</x:v>
      </x:c>
      <x:c r="AW2" s="16" t="str">
        <x:v>NA</x:v>
      </x:c>
      <x:c r="AX2" s="16" t="str">
        <x:v>NR</x:v>
      </x:c>
      <x:c r="AY2" s="16" t="str">
        <x:v>NR</x:v>
      </x:c>
      <x:c r="AZ2" s="16" t="str">
        <x:v>NR</x:v>
      </x:c>
      <x:c r="BA2" s="16" t="str">
        <x:v>NR</x:v>
      </x:c>
      <x:c r="BB2" s="16" t="str">
        <x:v>NR</x:v>
      </x:c>
      <x:c r="BC2" s="16" t="str">
        <x:v>NR</x:v>
      </x:c>
      <x:c r="BD2" s="16" t="str">
        <x:v>NR</x:v>
      </x:c>
      <x:c r="BE2" s="16" t="str">
        <x:v>NR</x:v>
      </x:c>
      <x:c r="BF2" s="16" t="str">
        <x:v>NR</x:v>
      </x:c>
      <x:c r="BG2" s="16" t="str">
        <x:v>NR</x:v>
      </x:c>
      <x:c r="BH2" s="16" t="str">
        <x:v>NR</x:v>
      </x:c>
      <x:c r="BI2" s="16" t="str">
        <x:v>NR</x:v>
      </x:c>
      <x:c r="BJ2" s="16" t="str">
        <x:v>NR</x:v>
      </x:c>
      <x:c r="BK2" s="16" t="str">
        <x:v>NR</x:v>
      </x:c>
      <x:c r="BL2" s="16" t="str">
        <x:v>NR</x:v>
      </x:c>
      <x:c r="BM2" s="16" t="str">
        <x:v>N</x:v>
      </x:c>
      <x:c r="BN2" s="16" t="str">
        <x:v>NR</x:v>
      </x:c>
      <x:c r="BO2" s="16" t="str">
        <x:v>AUTHOR_STATED</x:v>
      </x:c>
      <x:c r="BP2" s="16" t="str">
        <x:v>Coder_A_EXAMPLE</x:v>
      </x:c>
      <x:c r="BQ2" s="16" t="str">
        <x:v>HIGH</x:v>
      </x:c>
      <x:c r="BR2" s="16" t="str">
        <x:v>Sec. 3 Datasets; Appendix A; Table 2; Table 1; Appendix B</x:v>
      </x:c>
      <x:c r="BS2" s="16" t="str">
        <x:v>Preprocessing: named/non-dummy skills retained and skills answered at least 10 times; students split 8:1:1 into train/validation/test; validation used for hyperparameter tuning. No sparse/cold-start evaluation, seed count, CI, statistical test, calibration metric, runtime, or hardware is reported. </x:v>
      </x:c>
      <x:c r="BT2" s="16" t="str">
        <x:v>PENDING</x:v>
      </x:c>
      <x:c r="BU2" s="16"/>
    </x:row>
    <x:row r="3">
      <x:c r="A3" s="16" t="str">
        <x:v>PILOT_01_E02</x:v>
      </x:c>
      <x:c r="B3" s="16" t="str">
        <x:v>PILOT_01</x:v>
      </x:c>
      <x:c r="C3" s="16" t="str">
        <x:v>PILOT_01_M01</x:v>
      </x:c>
      <x:c r="D3" s="16" t="str">
        <x:v>KDDCup</x:v>
      </x:c>
      <x:c r="E3" s="16" t="str">
        <x:v>Bridge to Algebra 2006-2007</x:v>
      </x:c>
      <x:c r="F3" s="16" t="str">
        <x:v>KDD Cup 2010 Educational Data Mining Challenge</x:v>
      </x:c>
      <x:c r="G3" s="16" t="n">
        <x:v>1000</x:v>
      </x:c>
      <x:c r="H3" s="16" t="str">
        <x:v>NR</x:v>
      </x:c>
      <x:c r="I3" s="16" t="n">
        <x:v>211</x:v>
      </x:c>
      <x:c r="J3" s="16" t="n">
        <x:v>98200</x:v>
      </x:c>
      <x:c r="K3" s="16" t="str">
        <x:v>UNCLEAR</x:v>
      </x:c>
      <x:c r="L3" s="16" t="str">
        <x:v>Combine simultaneous answer logs into one; extract named skill tags</x:v>
      </x:c>
      <x:c r="M3" s="16" t="str">
        <x:v>NR</x:v>
      </x:c>
      <x:c r="N3" s="16" t="str">
        <x:v>NR</x:v>
      </x:c>
      <x:c r="O3" s="16" t="str">
        <x:v>UNCLEAR</x:v>
      </x:c>
      <x:c r="P3" s="16" t="str">
        <x:v>NR</x:v>
      </x:c>
      <x:c r="Q3" s="16" t="str">
        <x:v>LEARNER_BASED</x:v>
      </x:c>
      <x:c r="R3" s="16" t="str">
        <x:v>students</x:v>
      </x:c>
      <x:c r="S3" s="36" t="n">
        <x:v>0.8</x:v>
      </x:c>
      <x:c r="T3" s="36" t="n">
        <x:v>0.1</x:v>
      </x:c>
      <x:c r="U3" s="36" t="n">
        <x:v>0.1</x:v>
      </x:c>
      <x:c r="V3" s="16" t="str">
        <x:v>Y</x:v>
      </x:c>
      <x:c r="W3" s="16" t="str">
        <x:v>UNCLEAR</x:v>
      </x:c>
      <x:c r="X3" s="16" t="str">
        <x:v>NA</x:v>
      </x:c>
      <x:c r="Y3" s="16" t="str">
        <x:v>NR</x:v>
      </x:c>
      <x:c r="Z3" s="16" t="str">
        <x:v>NA</x:v>
      </x:c>
      <x:c r="AA3" s="16" t="str">
        <x:v>NR</x:v>
      </x:c>
      <x:c r="AB3" s="16" t="str">
        <x:v>NR</x:v>
      </x:c>
      <x:c r="AC3" s="16" t="str">
        <x:v>NO_EXPLICIT_FOCUS</x:v>
      </x:c>
      <x:c r="AD3" s="16" t="str">
        <x:v>NA</x:v>
      </x:c>
      <x:c r="AE3" s="16" t="str">
        <x:v>NA</x:v>
      </x:c>
      <x:c r="AF3" s="16" t="str">
        <x:v>NA</x:v>
      </x:c>
      <x:c r="AG3" s="16" t="str">
        <x:v>NA</x:v>
      </x:c>
      <x:c r="AH3" s="16" t="str">
        <x:v>NA</x:v>
      </x:c>
      <x:c r="AI3" s="16" t="str">
        <x:v>NA</x:v>
      </x:c>
      <x:c r="AJ3" s="16" t="str">
        <x:v>NA</x:v>
      </x:c>
      <x:c r="AK3" s="16" t="str">
        <x:v>NA</x:v>
      </x:c>
      <x:c r="AL3" s="16" t="str">
        <x:v>NA</x:v>
      </x:c>
      <x:c r="AM3" s="16" t="str">
        <x:v>NA</x:v>
      </x:c>
      <x:c r="AN3" s="16" t="str">
        <x:v>NA</x:v>
      </x:c>
      <x:c r="AO3" s="16" t="str">
        <x:v>NA</x:v>
      </x:c>
      <x:c r="AP3" s="16" t="str">
        <x:v>AUC</x:v>
      </x:c>
      <x:c r="AQ3" s="38" t="n">
        <x:v>0.762</x:v>
      </x:c>
      <x:c r="AR3" s="16" t="str">
        <x:v>OVERALL</x:v>
      </x:c>
      <x:c r="AS3" s="16" t="str">
        <x:v>NR</x:v>
      </x:c>
      <x:c r="AT3" s="16" t="str">
        <x:v>NR</x:v>
      </x:c>
      <x:c r="AU3" s="16" t="str">
        <x:v>N</x:v>
      </x:c>
      <x:c r="AV3" s="16" t="str">
        <x:v>NR</x:v>
      </x:c>
      <x:c r="AW3" s="16" t="str">
        <x:v>NA</x:v>
      </x:c>
      <x:c r="AX3" s="16" t="str">
        <x:v>NR</x:v>
      </x:c>
      <x:c r="AY3" s="16" t="str">
        <x:v>NR</x:v>
      </x:c>
      <x:c r="AZ3" s="16" t="str">
        <x:v>NR</x:v>
      </x:c>
      <x:c r="BA3" s="16" t="str">
        <x:v>NR</x:v>
      </x:c>
      <x:c r="BB3" s="16" t="str">
        <x:v>NR</x:v>
      </x:c>
      <x:c r="BC3" s="16" t="str">
        <x:v>NR</x:v>
      </x:c>
      <x:c r="BD3" s="16" t="str">
        <x:v>NR</x:v>
      </x:c>
      <x:c r="BE3" s="16" t="str">
        <x:v>NR</x:v>
      </x:c>
      <x:c r="BF3" s="16" t="str">
        <x:v>NR</x:v>
      </x:c>
      <x:c r="BG3" s="16" t="str">
        <x:v>NR</x:v>
      </x:c>
      <x:c r="BH3" s="16" t="str">
        <x:v>NR</x:v>
      </x:c>
      <x:c r="BI3" s="16" t="str">
        <x:v>NR</x:v>
      </x:c>
      <x:c r="BJ3" s="16" t="str">
        <x:v>NR</x:v>
      </x:c>
      <x:c r="BK3" s="16" t="str">
        <x:v>NR</x:v>
      </x:c>
      <x:c r="BL3" s="16" t="str">
        <x:v>NR</x:v>
      </x:c>
      <x:c r="BM3" s="16" t="str">
        <x:v>N</x:v>
      </x:c>
      <x:c r="BN3" s="16" t="str">
        <x:v>NR</x:v>
      </x:c>
      <x:c r="BO3" s="16" t="str">
        <x:v>AUTHOR_STATED</x:v>
      </x:c>
      <x:c r="BP3" s="16" t="str">
        <x:v>Coder_A_EXAMPLE</x:v>
      </x:c>
      <x:c r="BQ3" s="16" t="str">
        <x:v>HIGH</x:v>
      </x:c>
      <x:c r="BR3" s="16" t="str">
        <x:v>Sec. 3 Datasets; Appendix A; Table 2; Table 1; Appendix B</x:v>
      </x:c>
      <x:c r="BS3" s="16" t="str">
        <x:v>Preprocessing: named/non-dummy skills retained and skills answered at least 10 times; students split 8:1:1 into train/validation/test; validation used for hyperparameter tuning. No sparse/cold-start evaluation, seed count, CI, statistical test, calibration metric, runtime, or hardware is reported. </x:v>
      </x:c>
      <x:c r="BT3" s="16" t="str">
        <x:v>PENDING</x:v>
      </x:c>
      <x:c r="BU3" s="16"/>
    </x:row>
    <x:row r="4">
      <x:c r="A4" s="16" t="str">
        <x:v>PILOT_01_E03</x:v>
      </x:c>
      <x:c r="B4" s="16" t="str">
        <x:v>PILOT_01</x:v>
      </x:c>
      <x:c r="C4" s="16" t="str">
        <x:v>PILOT_01_M02</x:v>
      </x:c>
      <x:c r="D4" s="16" t="str">
        <x:v>ASSISTments</x:v>
      </x:c>
      <x:c r="E4" s="16" t="str">
        <x:v>2009-2010 Skill Builder</x:v>
      </x:c>
      <x:c r="F4" s="16" t="str">
        <x:v>ASSISTments public data</x:v>
      </x:c>
      <x:c r="G4" s="16" t="n">
        <x:v>1000</x:v>
      </x:c>
      <x:c r="H4" s="16" t="str">
        <x:v>NR</x:v>
      </x:c>
      <x:c r="I4" s="16" t="n">
        <x:v>101</x:v>
      </x:c>
      <x:c r="J4" s="16" t="n">
        <x:v>62955</x:v>
      </x:c>
      <x:c r="K4" s="16" t="str">
        <x:v>UNCLEAR</x:v>
      </x:c>
      <x:c r="L4" s="16" t="str">
        <x:v>Combine simultaneous answer logs into one; extract named skill tags</x:v>
      </x:c>
      <x:c r="M4" s="16" t="str">
        <x:v>NR</x:v>
      </x:c>
      <x:c r="N4" s="16" t="str">
        <x:v>NR</x:v>
      </x:c>
      <x:c r="O4" s="16" t="str">
        <x:v>UNCLEAR</x:v>
      </x:c>
      <x:c r="P4" s="16" t="str">
        <x:v>NR</x:v>
      </x:c>
      <x:c r="Q4" s="16" t="str">
        <x:v>LEARNER_BASED</x:v>
      </x:c>
      <x:c r="R4" s="16" t="str">
        <x:v>students</x:v>
      </x:c>
      <x:c r="S4" s="36" t="n">
        <x:v>0.8</x:v>
      </x:c>
      <x:c r="T4" s="36" t="n">
        <x:v>0.1</x:v>
      </x:c>
      <x:c r="U4" s="36" t="n">
        <x:v>0.1</x:v>
      </x:c>
      <x:c r="V4" s="16" t="str">
        <x:v>Y</x:v>
      </x:c>
      <x:c r="W4" s="16" t="str">
        <x:v>UNCLEAR</x:v>
      </x:c>
      <x:c r="X4" s="16" t="str">
        <x:v>UNCLEAR</x:v>
      </x:c>
      <x:c r="Y4" s="16" t="str">
        <x:v>NR</x:v>
      </x:c>
      <x:c r="Z4" s="16" t="str">
        <x:v>NA</x:v>
      </x:c>
      <x:c r="AA4" s="16" t="str">
        <x:v>NR</x:v>
      </x:c>
      <x:c r="AB4" s="16" t="str">
        <x:v>NR</x:v>
      </x:c>
      <x:c r="AC4" s="16" t="str">
        <x:v>NO_EXPLICIT_FOCUS</x:v>
      </x:c>
      <x:c r="AD4" s="16" t="str">
        <x:v>NA</x:v>
      </x:c>
      <x:c r="AE4" s="16" t="str">
        <x:v>NA</x:v>
      </x:c>
      <x:c r="AF4" s="16" t="str">
        <x:v>NA</x:v>
      </x:c>
      <x:c r="AG4" s="16" t="str">
        <x:v>NA</x:v>
      </x:c>
      <x:c r="AH4" s="16" t="str">
        <x:v>NA</x:v>
      </x:c>
      <x:c r="AI4" s="16" t="str">
        <x:v>NA</x:v>
      </x:c>
      <x:c r="AJ4" s="16" t="str">
        <x:v>NA</x:v>
      </x:c>
      <x:c r="AK4" s="16" t="str">
        <x:v>NA</x:v>
      </x:c>
      <x:c r="AL4" s="16" t="str">
        <x:v>NA</x:v>
      </x:c>
      <x:c r="AM4" s="16" t="str">
        <x:v>NA</x:v>
      </x:c>
      <x:c r="AN4" s="16" t="str">
        <x:v>NA</x:v>
      </x:c>
      <x:c r="AO4" s="16" t="str">
        <x:v>NA</x:v>
      </x:c>
      <x:c r="AP4" s="16" t="str">
        <x:v>AUC</x:v>
      </x:c>
      <x:c r="AQ4" s="38" t="n">
        <x:v>0.721</x:v>
      </x:c>
      <x:c r="AR4" s="16" t="str">
        <x:v>OVERALL</x:v>
      </x:c>
      <x:c r="AS4" s="16" t="str">
        <x:v>NR</x:v>
      </x:c>
      <x:c r="AT4" s="16" t="str">
        <x:v>NR</x:v>
      </x:c>
      <x:c r="AU4" s="16" t="str">
        <x:v>N</x:v>
      </x:c>
      <x:c r="AV4" s="16" t="str">
        <x:v>NR</x:v>
      </x:c>
      <x:c r="AW4" s="16" t="str">
        <x:v>NA</x:v>
      </x:c>
      <x:c r="AX4" s="16" t="str">
        <x:v>NR</x:v>
      </x:c>
      <x:c r="AY4" s="16" t="str">
        <x:v>NR</x:v>
      </x:c>
      <x:c r="AZ4" s="16" t="str">
        <x:v>NR</x:v>
      </x:c>
      <x:c r="BA4" s="16" t="str">
        <x:v>NR</x:v>
      </x:c>
      <x:c r="BB4" s="16" t="str">
        <x:v>NR</x:v>
      </x:c>
      <x:c r="BC4" s="16" t="str">
        <x:v>NR</x:v>
      </x:c>
      <x:c r="BD4" s="16" t="str">
        <x:v>NR</x:v>
      </x:c>
      <x:c r="BE4" s="16" t="str">
        <x:v>NR</x:v>
      </x:c>
      <x:c r="BF4" s="16" t="str">
        <x:v>NR</x:v>
      </x:c>
      <x:c r="BG4" s="16" t="str">
        <x:v>NR</x:v>
      </x:c>
      <x:c r="BH4" s="16" t="str">
        <x:v>NR</x:v>
      </x:c>
      <x:c r="BI4" s="16" t="str">
        <x:v>NR</x:v>
      </x:c>
      <x:c r="BJ4" s="16" t="str">
        <x:v>NR</x:v>
      </x:c>
      <x:c r="BK4" s="16" t="str">
        <x:v>NR</x:v>
      </x:c>
      <x:c r="BL4" s="16" t="str">
        <x:v>NR</x:v>
      </x:c>
      <x:c r="BM4" s="16" t="str">
        <x:v>N</x:v>
      </x:c>
      <x:c r="BN4" s="16" t="str">
        <x:v>NR</x:v>
      </x:c>
      <x:c r="BO4" s="16" t="str">
        <x:v>AUTHOR_STATED</x:v>
      </x:c>
      <x:c r="BP4" s="16" t="str">
        <x:v>Coder_A_EXAMPLE</x:v>
      </x:c>
      <x:c r="BQ4" s="16" t="str">
        <x:v>HIGH</x:v>
      </x:c>
      <x:c r="BR4" s="16" t="str">
        <x:v>Sec. 3 Datasets; Appendix A; Table 2; Table 1; Appendix B</x:v>
      </x:c>
      <x:c r="BS4" s="16" t="str">
        <x:v>Preprocessing: named/non-dummy skills retained and skills answered at least 10 times; students split 8:1:1 into train/validation/test; validation used for hyperparameter tuning. No sparse/cold-start evaluation, seed count, CI, statistical test, calibration metric, runtime, or hardware is reported. </x:v>
      </x:c>
      <x:c r="BT4" s="16" t="str">
        <x:v>PENDING</x:v>
      </x:c>
      <x:c r="BU4" s="16"/>
    </x:row>
    <x:row r="5">
      <x:c r="A5" s="16" t="str">
        <x:v>PILOT_01_E04</x:v>
      </x:c>
      <x:c r="B5" s="16" t="str">
        <x:v>PILOT_01</x:v>
      </x:c>
      <x:c r="C5" s="16" t="str">
        <x:v>PILOT_01_M02</x:v>
      </x:c>
      <x:c r="D5" s="16" t="str">
        <x:v>KDDCup</x:v>
      </x:c>
      <x:c r="E5" s="16" t="str">
        <x:v>Bridge to Algebra 2006-2007</x:v>
      </x:c>
      <x:c r="F5" s="16" t="str">
        <x:v>KDD Cup 2010 Educational Data Mining Challenge</x:v>
      </x:c>
      <x:c r="G5" s="16" t="n">
        <x:v>1000</x:v>
      </x:c>
      <x:c r="H5" s="16" t="str">
        <x:v>NR</x:v>
      </x:c>
      <x:c r="I5" s="16" t="n">
        <x:v>211</x:v>
      </x:c>
      <x:c r="J5" s="16" t="n">
        <x:v>98200</x:v>
      </x:c>
      <x:c r="K5" s="16" t="str">
        <x:v>UNCLEAR</x:v>
      </x:c>
      <x:c r="L5" s="16" t="str">
        <x:v>Combine simultaneous answer logs into one; extract named skill tags</x:v>
      </x:c>
      <x:c r="M5" s="16" t="str">
        <x:v>NR</x:v>
      </x:c>
      <x:c r="N5" s="16" t="str">
        <x:v>NR</x:v>
      </x:c>
      <x:c r="O5" s="16" t="str">
        <x:v>UNCLEAR</x:v>
      </x:c>
      <x:c r="P5" s="16" t="str">
        <x:v>NR</x:v>
      </x:c>
      <x:c r="Q5" s="16" t="str">
        <x:v>LEARNER_BASED</x:v>
      </x:c>
      <x:c r="R5" s="16" t="str">
        <x:v>students</x:v>
      </x:c>
      <x:c r="S5" s="36" t="n">
        <x:v>0.8</x:v>
      </x:c>
      <x:c r="T5" s="36" t="n">
        <x:v>0.1</x:v>
      </x:c>
      <x:c r="U5" s="36" t="n">
        <x:v>0.1</x:v>
      </x:c>
      <x:c r="V5" s="16" t="str">
        <x:v>Y</x:v>
      </x:c>
      <x:c r="W5" s="16" t="str">
        <x:v>UNCLEAR</x:v>
      </x:c>
      <x:c r="X5" s="16" t="str">
        <x:v>UNCLEAR</x:v>
      </x:c>
      <x:c r="Y5" s="16" t="str">
        <x:v>NR</x:v>
      </x:c>
      <x:c r="Z5" s="16" t="str">
        <x:v>NA</x:v>
      </x:c>
      <x:c r="AA5" s="16" t="str">
        <x:v>NR</x:v>
      </x:c>
      <x:c r="AB5" s="16" t="str">
        <x:v>NR</x:v>
      </x:c>
      <x:c r="AC5" s="16" t="str">
        <x:v>NO_EXPLICIT_FOCUS</x:v>
      </x:c>
      <x:c r="AD5" s="16" t="str">
        <x:v>NA</x:v>
      </x:c>
      <x:c r="AE5" s="16" t="str">
        <x:v>NA</x:v>
      </x:c>
      <x:c r="AF5" s="16" t="str">
        <x:v>NA</x:v>
      </x:c>
      <x:c r="AG5" s="16" t="str">
        <x:v>NA</x:v>
      </x:c>
      <x:c r="AH5" s="16" t="str">
        <x:v>NA</x:v>
      </x:c>
      <x:c r="AI5" s="16" t="str">
        <x:v>NA</x:v>
      </x:c>
      <x:c r="AJ5" s="16" t="str">
        <x:v>NA</x:v>
      </x:c>
      <x:c r="AK5" s="16" t="str">
        <x:v>NA</x:v>
      </x:c>
      <x:c r="AL5" s="16" t="str">
        <x:v>NA</x:v>
      </x:c>
      <x:c r="AM5" s="16" t="str">
        <x:v>NA</x:v>
      </x:c>
      <x:c r="AN5" s="16" t="str">
        <x:v>NA</x:v>
      </x:c>
      <x:c r="AO5" s="16" t="str">
        <x:v>NA</x:v>
      </x:c>
      <x:c r="AP5" s="16" t="str">
        <x:v>AUC</x:v>
      </x:c>
      <x:c r="AQ5" s="38" t="n">
        <x:v>0.769</x:v>
      </x:c>
      <x:c r="AR5" s="16" t="str">
        <x:v>OVERALL</x:v>
      </x:c>
      <x:c r="AS5" s="16" t="str">
        <x:v>NR</x:v>
      </x:c>
      <x:c r="AT5" s="16" t="str">
        <x:v>NR</x:v>
      </x:c>
      <x:c r="AU5" s="16" t="str">
        <x:v>N</x:v>
      </x:c>
      <x:c r="AV5" s="16" t="str">
        <x:v>NR</x:v>
      </x:c>
      <x:c r="AW5" s="16" t="str">
        <x:v>NA</x:v>
      </x:c>
      <x:c r="AX5" s="16" t="str">
        <x:v>NR</x:v>
      </x:c>
      <x:c r="AY5" s="16" t="str">
        <x:v>NR</x:v>
      </x:c>
      <x:c r="AZ5" s="16" t="str">
        <x:v>NR</x:v>
      </x:c>
      <x:c r="BA5" s="16" t="str">
        <x:v>NR</x:v>
      </x:c>
      <x:c r="BB5" s="16" t="str">
        <x:v>NR</x:v>
      </x:c>
      <x:c r="BC5" s="16" t="str">
        <x:v>NR</x:v>
      </x:c>
      <x:c r="BD5" s="16" t="str">
        <x:v>NR</x:v>
      </x:c>
      <x:c r="BE5" s="16" t="str">
        <x:v>NR</x:v>
      </x:c>
      <x:c r="BF5" s="16" t="str">
        <x:v>NR</x:v>
      </x:c>
      <x:c r="BG5" s="16" t="str">
        <x:v>NR</x:v>
      </x:c>
      <x:c r="BH5" s="16" t="str">
        <x:v>NR</x:v>
      </x:c>
      <x:c r="BI5" s="16" t="str">
        <x:v>NR</x:v>
      </x:c>
      <x:c r="BJ5" s="16" t="str">
        <x:v>NR</x:v>
      </x:c>
      <x:c r="BK5" s="16" t="str">
        <x:v>NR</x:v>
      </x:c>
      <x:c r="BL5" s="16" t="str">
        <x:v>NR</x:v>
      </x:c>
      <x:c r="BM5" s="16" t="str">
        <x:v>N</x:v>
      </x:c>
      <x:c r="BN5" s="16" t="str">
        <x:v>NR</x:v>
      </x:c>
      <x:c r="BO5" s="16" t="str">
        <x:v>AUTHOR_STATED</x:v>
      </x:c>
      <x:c r="BP5" s="16" t="str">
        <x:v>Coder_A_EXAMPLE</x:v>
      </x:c>
      <x:c r="BQ5" s="16" t="str">
        <x:v>HIGH</x:v>
      </x:c>
      <x:c r="BR5" s="16" t="str">
        <x:v>Sec. 3 Datasets; Appendix A; Table 2; Table 1; Appendix B</x:v>
      </x:c>
      <x:c r="BS5" s="16" t="str">
        <x:v>Preprocessing: named/non-dummy skills retained and skills answered at least 10 times; students split 8:1:1 into train/validation/test; validation used for hyperparameter tuning. No sparse/cold-start evaluation, seed count, CI, statistical test, calibration metric, runtime, or hardware is reported. </x:v>
      </x:c>
      <x:c r="BT5" s="16" t="str">
        <x:v>PENDING</x:v>
      </x:c>
      <x:c r="BU5" s="16"/>
    </x:row>
    <x:row r="6">
      <x:c r="A6" s="16" t="str">
        <x:v>PILOT_01_E05</x:v>
      </x:c>
      <x:c r="B6" s="16" t="str">
        <x:v>PILOT_01</x:v>
      </x:c>
      <x:c r="C6" s="16" t="str">
        <x:v>PILOT_01_M03</x:v>
      </x:c>
      <x:c r="D6" s="16" t="str">
        <x:v>ASSISTments</x:v>
      </x:c>
      <x:c r="E6" s="16" t="str">
        <x:v>2009-2010 Skill Builder</x:v>
      </x:c>
      <x:c r="F6" s="16" t="str">
        <x:v>ASSISTments public data</x:v>
      </x:c>
      <x:c r="G6" s="16" t="n">
        <x:v>1000</x:v>
      </x:c>
      <x:c r="H6" s="16" t="str">
        <x:v>NR</x:v>
      </x:c>
      <x:c r="I6" s="16" t="n">
        <x:v>101</x:v>
      </x:c>
      <x:c r="J6" s="16" t="n">
        <x:v>62955</x:v>
      </x:c>
      <x:c r="K6" s="16" t="str">
        <x:v>UNCLEAR</x:v>
      </x:c>
      <x:c r="L6" s="16" t="str">
        <x:v>Combine simultaneous answer logs into one; extract named skill tags</x:v>
      </x:c>
      <x:c r="M6" s="16" t="str">
        <x:v>NR</x:v>
      </x:c>
      <x:c r="N6" s="16" t="str">
        <x:v>NR</x:v>
      </x:c>
      <x:c r="O6" s="16" t="str">
        <x:v>UNCLEAR</x:v>
      </x:c>
      <x:c r="P6" s="16" t="str">
        <x:v>NR</x:v>
      </x:c>
      <x:c r="Q6" s="16" t="str">
        <x:v>LEARNER_BASED</x:v>
      </x:c>
      <x:c r="R6" s="16" t="str">
        <x:v>students</x:v>
      </x:c>
      <x:c r="S6" s="36" t="n">
        <x:v>0.8</x:v>
      </x:c>
      <x:c r="T6" s="36" t="n">
        <x:v>0.1</x:v>
      </x:c>
      <x:c r="U6" s="36" t="n">
        <x:v>0.1</x:v>
      </x:c>
      <x:c r="V6" s="16" t="str">
        <x:v>Y</x:v>
      </x:c>
      <x:c r="W6" s="16" t="str">
        <x:v>UNCLEAR</x:v>
      </x:c>
      <x:c r="X6" s="16" t="str">
        <x:v>UNCLEAR</x:v>
      </x:c>
      <x:c r="Y6" s="16" t="str">
        <x:v>NR</x:v>
      </x:c>
      <x:c r="Z6" s="16" t="str">
        <x:v>NA</x:v>
      </x:c>
      <x:c r="AA6" s="16" t="str">
        <x:v>NR</x:v>
      </x:c>
      <x:c r="AB6" s="16" t="str">
        <x:v>NR</x:v>
      </x:c>
      <x:c r="AC6" s="16" t="str">
        <x:v>NO_EXPLICIT_FOCUS</x:v>
      </x:c>
      <x:c r="AD6" s="16" t="str">
        <x:v>NA</x:v>
      </x:c>
      <x:c r="AE6" s="16" t="str">
        <x:v>NA</x:v>
      </x:c>
      <x:c r="AF6" s="16" t="str">
        <x:v>NA</x:v>
      </x:c>
      <x:c r="AG6" s="16" t="str">
        <x:v>NA</x:v>
      </x:c>
      <x:c r="AH6" s="16" t="str">
        <x:v>NA</x:v>
      </x:c>
      <x:c r="AI6" s="16" t="str">
        <x:v>NA</x:v>
      </x:c>
      <x:c r="AJ6" s="16" t="str">
        <x:v>NA</x:v>
      </x:c>
      <x:c r="AK6" s="16" t="str">
        <x:v>NA</x:v>
      </x:c>
      <x:c r="AL6" s="16" t="str">
        <x:v>NA</x:v>
      </x:c>
      <x:c r="AM6" s="16" t="str">
        <x:v>NA</x:v>
      </x:c>
      <x:c r="AN6" s="16" t="str">
        <x:v>NA</x:v>
      </x:c>
      <x:c r="AO6" s="16" t="str">
        <x:v>NA</x:v>
      </x:c>
      <x:c r="AP6" s="16" t="str">
        <x:v>AUC</x:v>
      </x:c>
      <x:c r="AQ6" s="38" t="n">
        <x:v>0.723</x:v>
      </x:c>
      <x:c r="AR6" s="16" t="str">
        <x:v>OVERALL</x:v>
      </x:c>
      <x:c r="AS6" s="16" t="str">
        <x:v>NR</x:v>
      </x:c>
      <x:c r="AT6" s="16" t="str">
        <x:v>NR</x:v>
      </x:c>
      <x:c r="AU6" s="16" t="str">
        <x:v>N</x:v>
      </x:c>
      <x:c r="AV6" s="16" t="str">
        <x:v>NR</x:v>
      </x:c>
      <x:c r="AW6" s="16" t="str">
        <x:v>NA</x:v>
      </x:c>
      <x:c r="AX6" s="16" t="str">
        <x:v>NR</x:v>
      </x:c>
      <x:c r="AY6" s="16" t="str">
        <x:v>NR</x:v>
      </x:c>
      <x:c r="AZ6" s="16" t="str">
        <x:v>NR</x:v>
      </x:c>
      <x:c r="BA6" s="16" t="str">
        <x:v>NR</x:v>
      </x:c>
      <x:c r="BB6" s="16" t="str">
        <x:v>NR</x:v>
      </x:c>
      <x:c r="BC6" s="16" t="str">
        <x:v>NR</x:v>
      </x:c>
      <x:c r="BD6" s="16" t="str">
        <x:v>NR</x:v>
      </x:c>
      <x:c r="BE6" s="16" t="str">
        <x:v>NR</x:v>
      </x:c>
      <x:c r="BF6" s="16" t="str">
        <x:v>NR</x:v>
      </x:c>
      <x:c r="BG6" s="16" t="str">
        <x:v>NR</x:v>
      </x:c>
      <x:c r="BH6" s="16" t="str">
        <x:v>NR</x:v>
      </x:c>
      <x:c r="BI6" s="16" t="str">
        <x:v>NR</x:v>
      </x:c>
      <x:c r="BJ6" s="16" t="str">
        <x:v>NR</x:v>
      </x:c>
      <x:c r="BK6" s="16" t="str">
        <x:v>NR</x:v>
      </x:c>
      <x:c r="BL6" s="16" t="str">
        <x:v>NR</x:v>
      </x:c>
      <x:c r="BM6" s="16" t="str">
        <x:v>N</x:v>
      </x:c>
      <x:c r="BN6" s="16" t="str">
        <x:v>NR</x:v>
      </x:c>
      <x:c r="BO6" s="16" t="str">
        <x:v>AUTHOR_STATED</x:v>
      </x:c>
      <x:c r="BP6" s="16" t="str">
        <x:v>Coder_A_EXAMPLE</x:v>
      </x:c>
      <x:c r="BQ6" s="16" t="str">
        <x:v>HIGH</x:v>
      </x:c>
      <x:c r="BR6" s="16" t="str">
        <x:v>Sec. 3 Datasets; Appendix A; Table 2; Table 1; Appendix B</x:v>
      </x:c>
      <x:c r="BS6" s="16" t="str">
        <x:v>Preprocessing: named/non-dummy skills retained and skills answered at least 10 times; students split 8:1:1 into train/validation/test; validation used for hyperparameter tuning. No sparse/cold-start evaluation, seed count, CI, statistical test, calibration metric, runtime, or hardware is reported. </x:v>
      </x:c>
      <x:c r="BT6" s="16" t="str">
        <x:v>PENDING</x:v>
      </x:c>
      <x:c r="BU6" s="16"/>
    </x:row>
    <x:row r="7">
      <x:c r="A7" s="16" t="str">
        <x:v>PILOT_01_E06</x:v>
      </x:c>
      <x:c r="B7" s="16" t="str">
        <x:v>PILOT_01</x:v>
      </x:c>
      <x:c r="C7" s="16" t="str">
        <x:v>PILOT_01_M03</x:v>
      </x:c>
      <x:c r="D7" s="16" t="str">
        <x:v>KDDCup</x:v>
      </x:c>
      <x:c r="E7" s="16" t="str">
        <x:v>Bridge to Algebra 2006-2007</x:v>
      </x:c>
      <x:c r="F7" s="16" t="str">
        <x:v>KDD Cup 2010 Educational Data Mining Challenge</x:v>
      </x:c>
      <x:c r="G7" s="16" t="n">
        <x:v>1000</x:v>
      </x:c>
      <x:c r="H7" s="16" t="str">
        <x:v>NR</x:v>
      </x:c>
      <x:c r="I7" s="16" t="n">
        <x:v>211</x:v>
      </x:c>
      <x:c r="J7" s="16" t="n">
        <x:v>98200</x:v>
      </x:c>
      <x:c r="K7" s="16" t="str">
        <x:v>UNCLEAR</x:v>
      </x:c>
      <x:c r="L7" s="16" t="str">
        <x:v>Combine simultaneous answer logs into one; extract named skill tags</x:v>
      </x:c>
      <x:c r="M7" s="16" t="str">
        <x:v>NR</x:v>
      </x:c>
      <x:c r="N7" s="16" t="str">
        <x:v>NR</x:v>
      </x:c>
      <x:c r="O7" s="16" t="str">
        <x:v>UNCLEAR</x:v>
      </x:c>
      <x:c r="P7" s="16" t="str">
        <x:v>NR</x:v>
      </x:c>
      <x:c r="Q7" s="16" t="str">
        <x:v>LEARNER_BASED</x:v>
      </x:c>
      <x:c r="R7" s="16" t="str">
        <x:v>students</x:v>
      </x:c>
      <x:c r="S7" s="36" t="n">
        <x:v>0.8</x:v>
      </x:c>
      <x:c r="T7" s="36" t="n">
        <x:v>0.1</x:v>
      </x:c>
      <x:c r="U7" s="36" t="n">
        <x:v>0.1</x:v>
      </x:c>
      <x:c r="V7" s="16" t="str">
        <x:v>Y</x:v>
      </x:c>
      <x:c r="W7" s="16" t="str">
        <x:v>UNCLEAR</x:v>
      </x:c>
      <x:c r="X7" s="16" t="str">
        <x:v>UNCLEAR</x:v>
      </x:c>
      <x:c r="Y7" s="16" t="str">
        <x:v>NR</x:v>
      </x:c>
      <x:c r="Z7" s="16" t="str">
        <x:v>NA</x:v>
      </x:c>
      <x:c r="AA7" s="16" t="str">
        <x:v>NR</x:v>
      </x:c>
      <x:c r="AB7" s="16" t="str">
        <x:v>NR</x:v>
      </x:c>
      <x:c r="AC7" s="16" t="str">
        <x:v>NO_EXPLICIT_FOCUS</x:v>
      </x:c>
      <x:c r="AD7" s="16" t="str">
        <x:v>NA</x:v>
      </x:c>
      <x:c r="AE7" s="16" t="str">
        <x:v>NA</x:v>
      </x:c>
      <x:c r="AF7" s="16" t="str">
        <x:v>NA</x:v>
      </x:c>
      <x:c r="AG7" s="16" t="str">
        <x:v>NA</x:v>
      </x:c>
      <x:c r="AH7" s="16" t="str">
        <x:v>NA</x:v>
      </x:c>
      <x:c r="AI7" s="16" t="str">
        <x:v>NA</x:v>
      </x:c>
      <x:c r="AJ7" s="16" t="str">
        <x:v>NA</x:v>
      </x:c>
      <x:c r="AK7" s="16" t="str">
        <x:v>NA</x:v>
      </x:c>
      <x:c r="AL7" s="16" t="str">
        <x:v>NA</x:v>
      </x:c>
      <x:c r="AM7" s="16" t="str">
        <x:v>NA</x:v>
      </x:c>
      <x:c r="AN7" s="16" t="str">
        <x:v>NA</x:v>
      </x:c>
      <x:c r="AO7" s="16" t="str">
        <x:v>NA</x:v>
      </x:c>
      <x:c r="AP7" s="16" t="str">
        <x:v>AUC</x:v>
      </x:c>
      <x:c r="AQ7" s="38" t="n">
        <x:v>0.764</x:v>
      </x:c>
      <x:c r="AR7" s="16" t="str">
        <x:v>OVERALL</x:v>
      </x:c>
      <x:c r="AS7" s="16" t="str">
        <x:v>NR</x:v>
      </x:c>
      <x:c r="AT7" s="16" t="str">
        <x:v>NR</x:v>
      </x:c>
      <x:c r="AU7" s="16" t="str">
        <x:v>N</x:v>
      </x:c>
      <x:c r="AV7" s="16" t="str">
        <x:v>NR</x:v>
      </x:c>
      <x:c r="AW7" s="16" t="str">
        <x:v>NA</x:v>
      </x:c>
      <x:c r="AX7" s="16" t="str">
        <x:v>NR</x:v>
      </x:c>
      <x:c r="AY7" s="16" t="str">
        <x:v>NR</x:v>
      </x:c>
      <x:c r="AZ7" s="16" t="str">
        <x:v>NR</x:v>
      </x:c>
      <x:c r="BA7" s="16" t="str">
        <x:v>NR</x:v>
      </x:c>
      <x:c r="BB7" s="16" t="str">
        <x:v>NR</x:v>
      </x:c>
      <x:c r="BC7" s="16" t="str">
        <x:v>NR</x:v>
      </x:c>
      <x:c r="BD7" s="16" t="str">
        <x:v>NR</x:v>
      </x:c>
      <x:c r="BE7" s="16" t="str">
        <x:v>NR</x:v>
      </x:c>
      <x:c r="BF7" s="16" t="str">
        <x:v>NR</x:v>
      </x:c>
      <x:c r="BG7" s="16" t="str">
        <x:v>NR</x:v>
      </x:c>
      <x:c r="BH7" s="16" t="str">
        <x:v>NR</x:v>
      </x:c>
      <x:c r="BI7" s="16" t="str">
        <x:v>NR</x:v>
      </x:c>
      <x:c r="BJ7" s="16" t="str">
        <x:v>NR</x:v>
      </x:c>
      <x:c r="BK7" s="16" t="str">
        <x:v>NR</x:v>
      </x:c>
      <x:c r="BL7" s="16" t="str">
        <x:v>NR</x:v>
      </x:c>
      <x:c r="BM7" s="16" t="str">
        <x:v>N</x:v>
      </x:c>
      <x:c r="BN7" s="16" t="str">
        <x:v>NR</x:v>
      </x:c>
      <x:c r="BO7" s="16" t="str">
        <x:v>AUTHOR_STATED</x:v>
      </x:c>
      <x:c r="BP7" s="16" t="str">
        <x:v>Coder_A_EXAMPLE</x:v>
      </x:c>
      <x:c r="BQ7" s="16" t="str">
        <x:v>HIGH</x:v>
      </x:c>
      <x:c r="BR7" s="16" t="str">
        <x:v>Sec. 3 Datasets; Appendix A; Table 2; Table 1; Appendix B</x:v>
      </x:c>
      <x:c r="BS7" s="16" t="str">
        <x:v>Preprocessing: named/non-dummy skills retained and skills answered at least 10 times; students split 8:1:1 into train/validation/test; validation used for hyperparameter tuning. No sparse/cold-start evaluation, seed count, CI, statistical test, calibration metric, runtime, or hardware is reported. </x:v>
      </x:c>
      <x:c r="BT7" s="16" t="str">
        <x:v>PENDING</x:v>
      </x:c>
      <x:c r="BU7" s="16"/>
    </x:row>
    <x:row r="8">
      <x:c r="A8" s="16" t="str">
        <x:v>PILOT_01_E07</x:v>
      </x:c>
      <x:c r="B8" s="16" t="str">
        <x:v>PILOT_01</x:v>
      </x:c>
      <x:c r="C8" s="16" t="str">
        <x:v>PILOT_01_M04</x:v>
      </x:c>
      <x:c r="D8" s="16" t="str">
        <x:v>ASSISTments</x:v>
      </x:c>
      <x:c r="E8" s="16" t="str">
        <x:v>2009-2010 Skill Builder</x:v>
      </x:c>
      <x:c r="F8" s="16" t="str">
        <x:v>ASSISTments public data</x:v>
      </x:c>
      <x:c r="G8" s="16" t="n">
        <x:v>1000</x:v>
      </x:c>
      <x:c r="H8" s="16" t="str">
        <x:v>NR</x:v>
      </x:c>
      <x:c r="I8" s="16" t="n">
        <x:v>101</x:v>
      </x:c>
      <x:c r="J8" s="16" t="n">
        <x:v>62955</x:v>
      </x:c>
      <x:c r="K8" s="16" t="str">
        <x:v>UNCLEAR</x:v>
      </x:c>
      <x:c r="L8" s="16" t="str">
        <x:v>Combine simultaneous answer logs into one; extract named skill tags</x:v>
      </x:c>
      <x:c r="M8" s="16" t="str">
        <x:v>NR</x:v>
      </x:c>
      <x:c r="N8" s="16" t="str">
        <x:v>NR</x:v>
      </x:c>
      <x:c r="O8" s="16" t="str">
        <x:v>UNCLEAR</x:v>
      </x:c>
      <x:c r="P8" s="16" t="str">
        <x:v>NR</x:v>
      </x:c>
      <x:c r="Q8" s="16" t="str">
        <x:v>LEARNER_BASED</x:v>
      </x:c>
      <x:c r="R8" s="16" t="str">
        <x:v>students</x:v>
      </x:c>
      <x:c r="S8" s="36" t="n">
        <x:v>0.8</x:v>
      </x:c>
      <x:c r="T8" s="36" t="n">
        <x:v>0.1</x:v>
      </x:c>
      <x:c r="U8" s="36" t="n">
        <x:v>0.1</x:v>
      </x:c>
      <x:c r="V8" s="16" t="str">
        <x:v>Y</x:v>
      </x:c>
      <x:c r="W8" s="16" t="str">
        <x:v>UNCLEAR</x:v>
      </x:c>
      <x:c r="X8" s="16" t="str">
        <x:v>Y</x:v>
      </x:c>
      <x:c r="Y8" s="16" t="str">
        <x:v>NR</x:v>
      </x:c>
      <x:c r="Z8" s="16" t="str">
        <x:v>NA</x:v>
      </x:c>
      <x:c r="AA8" s="16" t="str">
        <x:v>NR</x:v>
      </x:c>
      <x:c r="AB8" s="16" t="str">
        <x:v>NR</x:v>
      </x:c>
      <x:c r="AC8" s="16" t="str">
        <x:v>NO_EXPLICIT_FOCUS</x:v>
      </x:c>
      <x:c r="AD8" s="16" t="str">
        <x:v>NA</x:v>
      </x:c>
      <x:c r="AE8" s="16" t="str">
        <x:v>NA</x:v>
      </x:c>
      <x:c r="AF8" s="16" t="str">
        <x:v>NA</x:v>
      </x:c>
      <x:c r="AG8" s="16" t="str">
        <x:v>NA</x:v>
      </x:c>
      <x:c r="AH8" s="16" t="str">
        <x:v>NA</x:v>
      </x:c>
      <x:c r="AI8" s="16" t="str">
        <x:v>NA</x:v>
      </x:c>
      <x:c r="AJ8" s="16" t="str">
        <x:v>NA</x:v>
      </x:c>
      <x:c r="AK8" s="16" t="str">
        <x:v>NA</x:v>
      </x:c>
      <x:c r="AL8" s="16" t="str">
        <x:v>NA</x:v>
      </x:c>
      <x:c r="AM8" s="16" t="str">
        <x:v>NA</x:v>
      </x:c>
      <x:c r="AN8" s="16" t="str">
        <x:v>NA</x:v>
      </x:c>
      <x:c r="AO8" s="16" t="str">
        <x:v>NA</x:v>
      </x:c>
      <x:c r="AP8" s="16" t="str">
        <x:v>AUC</x:v>
      </x:c>
      <x:c r="AQ8" s="38" t="n">
        <x:v>0.719</x:v>
      </x:c>
      <x:c r="AR8" s="16" t="str">
        <x:v>OVERALL</x:v>
      </x:c>
      <x:c r="AS8" s="16" t="str">
        <x:v>NR</x:v>
      </x:c>
      <x:c r="AT8" s="16" t="str">
        <x:v>NR</x:v>
      </x:c>
      <x:c r="AU8" s="16" t="str">
        <x:v>N</x:v>
      </x:c>
      <x:c r="AV8" s="16" t="str">
        <x:v>NR</x:v>
      </x:c>
      <x:c r="AW8" s="16" t="str">
        <x:v>NA</x:v>
      </x:c>
      <x:c r="AX8" s="16" t="str">
        <x:v>NR</x:v>
      </x:c>
      <x:c r="AY8" s="16" t="str">
        <x:v>NR</x:v>
      </x:c>
      <x:c r="AZ8" s="16" t="str">
        <x:v>NR</x:v>
      </x:c>
      <x:c r="BA8" s="16" t="str">
        <x:v>NR</x:v>
      </x:c>
      <x:c r="BB8" s="16" t="str">
        <x:v>NR</x:v>
      </x:c>
      <x:c r="BC8" s="16" t="str">
        <x:v>NR</x:v>
      </x:c>
      <x:c r="BD8" s="16" t="str">
        <x:v>NR</x:v>
      </x:c>
      <x:c r="BE8" s="16" t="str">
        <x:v>NR</x:v>
      </x:c>
      <x:c r="BF8" s="16" t="str">
        <x:v>NR</x:v>
      </x:c>
      <x:c r="BG8" s="16" t="str">
        <x:v>NR</x:v>
      </x:c>
      <x:c r="BH8" s="16" t="str">
        <x:v>NR</x:v>
      </x:c>
      <x:c r="BI8" s="16" t="str">
        <x:v>NR</x:v>
      </x:c>
      <x:c r="BJ8" s="16" t="str">
        <x:v>NR</x:v>
      </x:c>
      <x:c r="BK8" s="16" t="str">
        <x:v>NR</x:v>
      </x:c>
      <x:c r="BL8" s="16" t="str">
        <x:v>NR</x:v>
      </x:c>
      <x:c r="BM8" s="16" t="str">
        <x:v>N</x:v>
      </x:c>
      <x:c r="BN8" s="16" t="str">
        <x:v>NR</x:v>
      </x:c>
      <x:c r="BO8" s="16" t="str">
        <x:v>AUTHOR_STATED</x:v>
      </x:c>
      <x:c r="BP8" s="16" t="str">
        <x:v>Coder_A_EXAMPLE</x:v>
      </x:c>
      <x:c r="BQ8" s="16" t="str">
        <x:v>HIGH</x:v>
      </x:c>
      <x:c r="BR8" s="16" t="str">
        <x:v>Sec. 3 Datasets; Appendix A; Table 2; Table 1; Appendix B</x:v>
      </x:c>
      <x:c r="BS8" s="16" t="str">
        <x:v>Preprocessing: named/non-dummy skills retained and skills answered at least 10 times; students split 8:1:1 into train/validation/test; validation used for hyperparameter tuning. No sparse/cold-start evaluation, seed count, CI, statistical test, calibration metric, runtime, or hardware is reported. </x:v>
      </x:c>
      <x:c r="BT8" s="16" t="str">
        <x:v>PENDING</x:v>
      </x:c>
      <x:c r="BU8" s="16"/>
    </x:row>
    <x:row r="9">
      <x:c r="A9" s="16" t="str">
        <x:v>PILOT_01_E08</x:v>
      </x:c>
      <x:c r="B9" s="16" t="str">
        <x:v>PILOT_01</x:v>
      </x:c>
      <x:c r="C9" s="16" t="str">
        <x:v>PILOT_01_M04</x:v>
      </x:c>
      <x:c r="D9" s="16" t="str">
        <x:v>KDDCup</x:v>
      </x:c>
      <x:c r="E9" s="16" t="str">
        <x:v>Bridge to Algebra 2006-2007</x:v>
      </x:c>
      <x:c r="F9" s="16" t="str">
        <x:v>KDD Cup 2010 Educational Data Mining Challenge</x:v>
      </x:c>
      <x:c r="G9" s="16" t="n">
        <x:v>1000</x:v>
      </x:c>
      <x:c r="H9" s="16" t="str">
        <x:v>NR</x:v>
      </x:c>
      <x:c r="I9" s="16" t="n">
        <x:v>211</x:v>
      </x:c>
      <x:c r="J9" s="16" t="n">
        <x:v>98200</x:v>
      </x:c>
      <x:c r="K9" s="16" t="str">
        <x:v>UNCLEAR</x:v>
      </x:c>
      <x:c r="L9" s="16" t="str">
        <x:v>Combine simultaneous answer logs into one; extract named skill tags</x:v>
      </x:c>
      <x:c r="M9" s="16" t="str">
        <x:v>NR</x:v>
      </x:c>
      <x:c r="N9" s="16" t="str">
        <x:v>NR</x:v>
      </x:c>
      <x:c r="O9" s="16" t="str">
        <x:v>UNCLEAR</x:v>
      </x:c>
      <x:c r="P9" s="16" t="str">
        <x:v>NR</x:v>
      </x:c>
      <x:c r="Q9" s="16" t="str">
        <x:v>LEARNER_BASED</x:v>
      </x:c>
      <x:c r="R9" s="16" t="str">
        <x:v>students</x:v>
      </x:c>
      <x:c r="S9" s="36" t="n">
        <x:v>0.8</x:v>
      </x:c>
      <x:c r="T9" s="36" t="n">
        <x:v>0.1</x:v>
      </x:c>
      <x:c r="U9" s="36" t="n">
        <x:v>0.1</x:v>
      </x:c>
      <x:c r="V9" s="16" t="str">
        <x:v>Y</x:v>
      </x:c>
      <x:c r="W9" s="16" t="str">
        <x:v>UNCLEAR</x:v>
      </x:c>
      <x:c r="X9" s="16" t="str">
        <x:v>Y</x:v>
      </x:c>
      <x:c r="Y9" s="16" t="str">
        <x:v>NR</x:v>
      </x:c>
      <x:c r="Z9" s="16" t="str">
        <x:v>NA</x:v>
      </x:c>
      <x:c r="AA9" s="16" t="str">
        <x:v>NR</x:v>
      </x:c>
      <x:c r="AB9" s="16" t="str">
        <x:v>NR</x:v>
      </x:c>
      <x:c r="AC9" s="16" t="str">
        <x:v>NO_EXPLICIT_FOCUS</x:v>
      </x:c>
      <x:c r="AD9" s="16" t="str">
        <x:v>NA</x:v>
      </x:c>
      <x:c r="AE9" s="16" t="str">
        <x:v>NA</x:v>
      </x:c>
      <x:c r="AF9" s="16" t="str">
        <x:v>NA</x:v>
      </x:c>
      <x:c r="AG9" s="16" t="str">
        <x:v>NA</x:v>
      </x:c>
      <x:c r="AH9" s="16" t="str">
        <x:v>NA</x:v>
      </x:c>
      <x:c r="AI9" s="16" t="str">
        <x:v>NA</x:v>
      </x:c>
      <x:c r="AJ9" s="16" t="str">
        <x:v>NA</x:v>
      </x:c>
      <x:c r="AK9" s="16" t="str">
        <x:v>NA</x:v>
      </x:c>
      <x:c r="AL9" s="16" t="str">
        <x:v>NA</x:v>
      </x:c>
      <x:c r="AM9" s="16" t="str">
        <x:v>NA</x:v>
      </x:c>
      <x:c r="AN9" s="16" t="str">
        <x:v>NA</x:v>
      </x:c>
      <x:c r="AO9" s="16" t="str">
        <x:v>NA</x:v>
      </x:c>
      <x:c r="AP9" s="16" t="str">
        <x:v>AUC</x:v>
      </x:c>
      <x:c r="AQ9" s="38" t="n">
        <x:v>0.762</x:v>
      </x:c>
      <x:c r="AR9" s="16" t="str">
        <x:v>OVERALL</x:v>
      </x:c>
      <x:c r="AS9" s="16" t="str">
        <x:v>NR</x:v>
      </x:c>
      <x:c r="AT9" s="16" t="str">
        <x:v>NR</x:v>
      </x:c>
      <x:c r="AU9" s="16" t="str">
        <x:v>N</x:v>
      </x:c>
      <x:c r="AV9" s="16" t="str">
        <x:v>NR</x:v>
      </x:c>
      <x:c r="AW9" s="16" t="str">
        <x:v>NA</x:v>
      </x:c>
      <x:c r="AX9" s="16" t="str">
        <x:v>NR</x:v>
      </x:c>
      <x:c r="AY9" s="16" t="str">
        <x:v>NR</x:v>
      </x:c>
      <x:c r="AZ9" s="16" t="str">
        <x:v>NR</x:v>
      </x:c>
      <x:c r="BA9" s="16" t="str">
        <x:v>NR</x:v>
      </x:c>
      <x:c r="BB9" s="16" t="str">
        <x:v>NR</x:v>
      </x:c>
      <x:c r="BC9" s="16" t="str">
        <x:v>NR</x:v>
      </x:c>
      <x:c r="BD9" s="16" t="str">
        <x:v>NR</x:v>
      </x:c>
      <x:c r="BE9" s="16" t="str">
        <x:v>NR</x:v>
      </x:c>
      <x:c r="BF9" s="16" t="str">
        <x:v>NR</x:v>
      </x:c>
      <x:c r="BG9" s="16" t="str">
        <x:v>NR</x:v>
      </x:c>
      <x:c r="BH9" s="16" t="str">
        <x:v>NR</x:v>
      </x:c>
      <x:c r="BI9" s="16" t="str">
        <x:v>NR</x:v>
      </x:c>
      <x:c r="BJ9" s="16" t="str">
        <x:v>NR</x:v>
      </x:c>
      <x:c r="BK9" s="16" t="str">
        <x:v>NR</x:v>
      </x:c>
      <x:c r="BL9" s="16" t="str">
        <x:v>NR</x:v>
      </x:c>
      <x:c r="BM9" s="16" t="str">
        <x:v>N</x:v>
      </x:c>
      <x:c r="BN9" s="16" t="str">
        <x:v>NR</x:v>
      </x:c>
      <x:c r="BO9" s="16" t="str">
        <x:v>AUTHOR_STATED</x:v>
      </x:c>
      <x:c r="BP9" s="16" t="str">
        <x:v>Coder_A_EXAMPLE</x:v>
      </x:c>
      <x:c r="BQ9" s="16" t="str">
        <x:v>HIGH</x:v>
      </x:c>
      <x:c r="BR9" s="16" t="str">
        <x:v>Sec. 3 Datasets; Appendix A; Table 2; Table 1; Appendix B</x:v>
      </x:c>
      <x:c r="BS9" s="16" t="str">
        <x:v>Preprocessing: named/non-dummy skills retained and skills answered at least 10 times; students split 8:1:1 into train/validation/test; validation used for hyperparameter tuning. No sparse/cold-start evaluation, seed count, CI, statistical test, calibration metric, runtime, or hardware is reported. </x:v>
      </x:c>
      <x:c r="BT9" s="16" t="str">
        <x:v>PENDING</x:v>
      </x:c>
      <x:c r="BU9" s="16"/>
    </x:row>
    <x:row r="10">
      <x:c r="A10" s="16" t="str">
        <x:v>PILOT_01_E09</x:v>
      </x:c>
      <x:c r="B10" s="16" t="str">
        <x:v>PILOT_01</x:v>
      </x:c>
      <x:c r="C10" s="16" t="str">
        <x:v>PILOT_01_M05</x:v>
      </x:c>
      <x:c r="D10" s="16" t="str">
        <x:v>ASSISTments</x:v>
      </x:c>
      <x:c r="E10" s="16" t="str">
        <x:v>2009-2010 Skill Builder</x:v>
      </x:c>
      <x:c r="F10" s="16" t="str">
        <x:v>ASSISTments public data</x:v>
      </x:c>
      <x:c r="G10" s="16" t="n">
        <x:v>1000</x:v>
      </x:c>
      <x:c r="H10" s="16" t="str">
        <x:v>NR</x:v>
      </x:c>
      <x:c r="I10" s="16" t="n">
        <x:v>101</x:v>
      </x:c>
      <x:c r="J10" s="16" t="n">
        <x:v>62955</x:v>
      </x:c>
      <x:c r="K10" s="16" t="str">
        <x:v>UNCLEAR</x:v>
      </x:c>
      <x:c r="L10" s="16" t="str">
        <x:v>Combine simultaneous answer logs into one; extract named skill tags</x:v>
      </x:c>
      <x:c r="M10" s="16" t="str">
        <x:v>NR</x:v>
      </x:c>
      <x:c r="N10" s="16" t="str">
        <x:v>NR</x:v>
      </x:c>
      <x:c r="O10" s="16" t="str">
        <x:v>UNCLEAR</x:v>
      </x:c>
      <x:c r="P10" s="16" t="str">
        <x:v>NR</x:v>
      </x:c>
      <x:c r="Q10" s="16" t="str">
        <x:v>LEARNER_BASED</x:v>
      </x:c>
      <x:c r="R10" s="16" t="str">
        <x:v>students</x:v>
      </x:c>
      <x:c r="S10" s="36" t="n">
        <x:v>0.8</x:v>
      </x:c>
      <x:c r="T10" s="36" t="n">
        <x:v>0.1</x:v>
      </x:c>
      <x:c r="U10" s="36" t="n">
        <x:v>0.1</x:v>
      </x:c>
      <x:c r="V10" s="16" t="str">
        <x:v>Y</x:v>
      </x:c>
      <x:c r="W10" s="16" t="str">
        <x:v>UNCLEAR</x:v>
      </x:c>
      <x:c r="X10" s="16" t="str">
        <x:v>Y</x:v>
      </x:c>
      <x:c r="Y10" s="16" t="str">
        <x:v>NR</x:v>
      </x:c>
      <x:c r="Z10" s="16" t="str">
        <x:v>NA</x:v>
      </x:c>
      <x:c r="AA10" s="16" t="str">
        <x:v>NR</x:v>
      </x:c>
      <x:c r="AB10" s="16" t="str">
        <x:v>NR</x:v>
      </x:c>
      <x:c r="AC10" s="16" t="str">
        <x:v>NO_EXPLICIT_FOCUS</x:v>
      </x:c>
      <x:c r="AD10" s="16" t="str">
        <x:v>NA</x:v>
      </x:c>
      <x:c r="AE10" s="16" t="str">
        <x:v>NA</x:v>
      </x:c>
      <x:c r="AF10" s="16" t="str">
        <x:v>NA</x:v>
      </x:c>
      <x:c r="AG10" s="16" t="str">
        <x:v>NA</x:v>
      </x:c>
      <x:c r="AH10" s="16" t="str">
        <x:v>NA</x:v>
      </x:c>
      <x:c r="AI10" s="16" t="str">
        <x:v>NA</x:v>
      </x:c>
      <x:c r="AJ10" s="16" t="str">
        <x:v>NA</x:v>
      </x:c>
      <x:c r="AK10" s="16" t="str">
        <x:v>NA</x:v>
      </x:c>
      <x:c r="AL10" s="16" t="str">
        <x:v>NA</x:v>
      </x:c>
      <x:c r="AM10" s="16" t="str">
        <x:v>NA</x:v>
      </x:c>
      <x:c r="AN10" s="16" t="str">
        <x:v>NA</x:v>
      </x:c>
      <x:c r="AO10" s="16" t="str">
        <x:v>NA</x:v>
      </x:c>
      <x:c r="AP10" s="16" t="str">
        <x:v>AUC</x:v>
      </x:c>
      <x:c r="AQ10" s="38" t="n">
        <x:v>0.723</x:v>
      </x:c>
      <x:c r="AR10" s="16" t="str">
        <x:v>OVERALL</x:v>
      </x:c>
      <x:c r="AS10" s="16" t="str">
        <x:v>NR</x:v>
      </x:c>
      <x:c r="AT10" s="16" t="str">
        <x:v>NR</x:v>
      </x:c>
      <x:c r="AU10" s="16" t="str">
        <x:v>N</x:v>
      </x:c>
      <x:c r="AV10" s="16" t="str">
        <x:v>NR</x:v>
      </x:c>
      <x:c r="AW10" s="16" t="str">
        <x:v>NA</x:v>
      </x:c>
      <x:c r="AX10" s="16" t="str">
        <x:v>NR</x:v>
      </x:c>
      <x:c r="AY10" s="16" t="str">
        <x:v>NR</x:v>
      </x:c>
      <x:c r="AZ10" s="16" t="str">
        <x:v>NR</x:v>
      </x:c>
      <x:c r="BA10" s="16" t="str">
        <x:v>NR</x:v>
      </x:c>
      <x:c r="BB10" s="16" t="str">
        <x:v>NR</x:v>
      </x:c>
      <x:c r="BC10" s="16" t="str">
        <x:v>NR</x:v>
      </x:c>
      <x:c r="BD10" s="16" t="str">
        <x:v>NR</x:v>
      </x:c>
      <x:c r="BE10" s="16" t="str">
        <x:v>NR</x:v>
      </x:c>
      <x:c r="BF10" s="16" t="str">
        <x:v>NR</x:v>
      </x:c>
      <x:c r="BG10" s="16" t="str">
        <x:v>NR</x:v>
      </x:c>
      <x:c r="BH10" s="16" t="str">
        <x:v>NR</x:v>
      </x:c>
      <x:c r="BI10" s="16" t="str">
        <x:v>NR</x:v>
      </x:c>
      <x:c r="BJ10" s="16" t="str">
        <x:v>NR</x:v>
      </x:c>
      <x:c r="BK10" s="16" t="str">
        <x:v>NR</x:v>
      </x:c>
      <x:c r="BL10" s="16" t="str">
        <x:v>NR</x:v>
      </x:c>
      <x:c r="BM10" s="16" t="str">
        <x:v>N</x:v>
      </x:c>
      <x:c r="BN10" s="16" t="str">
        <x:v>NR</x:v>
      </x:c>
      <x:c r="BO10" s="16" t="str">
        <x:v>AUTHOR_STATED</x:v>
      </x:c>
      <x:c r="BP10" s="16" t="str">
        <x:v>Coder_A_EXAMPLE</x:v>
      </x:c>
      <x:c r="BQ10" s="16" t="str">
        <x:v>HIGH</x:v>
      </x:c>
      <x:c r="BR10" s="16" t="str">
        <x:v>Sec. 3 Datasets; Appendix A; Table 2; Table 1; Appendix B</x:v>
      </x:c>
      <x:c r="BS10" s="16" t="str">
        <x:v>Preprocessing: named/non-dummy skills retained and skills answered at least 10 times; students split 8:1:1 into train/validation/test; validation used for hyperparameter tuning. No sparse/cold-start evaluation, seed count, CI, statistical test, calibration metric, runtime, or hardware is reported. </x:v>
      </x:c>
      <x:c r="BT10" s="16" t="str">
        <x:v>PENDING</x:v>
      </x:c>
      <x:c r="BU10" s="16"/>
    </x:row>
    <x:row r="11">
      <x:c r="A11" s="16" t="str">
        <x:v>PILOT_01_E10</x:v>
      </x:c>
      <x:c r="B11" s="16" t="str">
        <x:v>PILOT_01</x:v>
      </x:c>
      <x:c r="C11" s="16" t="str">
        <x:v>PILOT_01_M05</x:v>
      </x:c>
      <x:c r="D11" s="16" t="str">
        <x:v>KDDCup</x:v>
      </x:c>
      <x:c r="E11" s="16" t="str">
        <x:v>Bridge to Algebra 2006-2007</x:v>
      </x:c>
      <x:c r="F11" s="16" t="str">
        <x:v>KDD Cup 2010 Educational Data Mining Challenge</x:v>
      </x:c>
      <x:c r="G11" s="16" t="n">
        <x:v>1000</x:v>
      </x:c>
      <x:c r="H11" s="16" t="str">
        <x:v>NR</x:v>
      </x:c>
      <x:c r="I11" s="16" t="n">
        <x:v>211</x:v>
      </x:c>
      <x:c r="J11" s="16" t="n">
        <x:v>98200</x:v>
      </x:c>
      <x:c r="K11" s="16" t="str">
        <x:v>UNCLEAR</x:v>
      </x:c>
      <x:c r="L11" s="16" t="str">
        <x:v>Combine simultaneous answer logs into one; extract named skill tags</x:v>
      </x:c>
      <x:c r="M11" s="16" t="str">
        <x:v>NR</x:v>
      </x:c>
      <x:c r="N11" s="16" t="str">
        <x:v>NR</x:v>
      </x:c>
      <x:c r="O11" s="16" t="str">
        <x:v>UNCLEAR</x:v>
      </x:c>
      <x:c r="P11" s="16" t="str">
        <x:v>NR</x:v>
      </x:c>
      <x:c r="Q11" s="16" t="str">
        <x:v>LEARNER_BASED</x:v>
      </x:c>
      <x:c r="R11" s="16" t="str">
        <x:v>students</x:v>
      </x:c>
      <x:c r="S11" s="36" t="n">
        <x:v>0.8</x:v>
      </x:c>
      <x:c r="T11" s="36" t="n">
        <x:v>0.1</x:v>
      </x:c>
      <x:c r="U11" s="36" t="n">
        <x:v>0.1</x:v>
      </x:c>
      <x:c r="V11" s="16" t="str">
        <x:v>Y</x:v>
      </x:c>
      <x:c r="W11" s="16" t="str">
        <x:v>UNCLEAR</x:v>
      </x:c>
      <x:c r="X11" s="16" t="str">
        <x:v>Y</x:v>
      </x:c>
      <x:c r="Y11" s="16" t="str">
        <x:v>NR</x:v>
      </x:c>
      <x:c r="Z11" s="16" t="str">
        <x:v>NA</x:v>
      </x:c>
      <x:c r="AA11" s="16" t="str">
        <x:v>NR</x:v>
      </x:c>
      <x:c r="AB11" s="16" t="str">
        <x:v>NR</x:v>
      </x:c>
      <x:c r="AC11" s="16" t="str">
        <x:v>NO_EXPLICIT_FOCUS</x:v>
      </x:c>
      <x:c r="AD11" s="16" t="str">
        <x:v>NA</x:v>
      </x:c>
      <x:c r="AE11" s="16" t="str">
        <x:v>NA</x:v>
      </x:c>
      <x:c r="AF11" s="16" t="str">
        <x:v>NA</x:v>
      </x:c>
      <x:c r="AG11" s="16" t="str">
        <x:v>NA</x:v>
      </x:c>
      <x:c r="AH11" s="16" t="str">
        <x:v>NA</x:v>
      </x:c>
      <x:c r="AI11" s="16" t="str">
        <x:v>NA</x:v>
      </x:c>
      <x:c r="AJ11" s="16" t="str">
        <x:v>NA</x:v>
      </x:c>
      <x:c r="AK11" s="16" t="str">
        <x:v>NA</x:v>
      </x:c>
      <x:c r="AL11" s="16" t="str">
        <x:v>NA</x:v>
      </x:c>
      <x:c r="AM11" s="16" t="str">
        <x:v>NA</x:v>
      </x:c>
      <x:c r="AN11" s="16" t="str">
        <x:v>NA</x:v>
      </x:c>
      <x:c r="AO11" s="16" t="str">
        <x:v>NA</x:v>
      </x:c>
      <x:c r="AP11" s="16" t="str">
        <x:v>AUC</x:v>
      </x:c>
      <x:c r="AQ11" s="38" t="n">
        <x:v>0.766</x:v>
      </x:c>
      <x:c r="AR11" s="16" t="str">
        <x:v>OVERALL</x:v>
      </x:c>
      <x:c r="AS11" s="16" t="str">
        <x:v>NR</x:v>
      </x:c>
      <x:c r="AT11" s="16" t="str">
        <x:v>NR</x:v>
      </x:c>
      <x:c r="AU11" s="16" t="str">
        <x:v>N</x:v>
      </x:c>
      <x:c r="AV11" s="16" t="str">
        <x:v>NR</x:v>
      </x:c>
      <x:c r="AW11" s="16" t="str">
        <x:v>NA</x:v>
      </x:c>
      <x:c r="AX11" s="16" t="str">
        <x:v>NR</x:v>
      </x:c>
      <x:c r="AY11" s="16" t="str">
        <x:v>NR</x:v>
      </x:c>
      <x:c r="AZ11" s="16" t="str">
        <x:v>NR</x:v>
      </x:c>
      <x:c r="BA11" s="16" t="str">
        <x:v>NR</x:v>
      </x:c>
      <x:c r="BB11" s="16" t="str">
        <x:v>NR</x:v>
      </x:c>
      <x:c r="BC11" s="16" t="str">
        <x:v>NR</x:v>
      </x:c>
      <x:c r="BD11" s="16" t="str">
        <x:v>NR</x:v>
      </x:c>
      <x:c r="BE11" s="16" t="str">
        <x:v>NR</x:v>
      </x:c>
      <x:c r="BF11" s="16" t="str">
        <x:v>NR</x:v>
      </x:c>
      <x:c r="BG11" s="16" t="str">
        <x:v>NR</x:v>
      </x:c>
      <x:c r="BH11" s="16" t="str">
        <x:v>NR</x:v>
      </x:c>
      <x:c r="BI11" s="16" t="str">
        <x:v>NR</x:v>
      </x:c>
      <x:c r="BJ11" s="16" t="str">
        <x:v>NR</x:v>
      </x:c>
      <x:c r="BK11" s="16" t="str">
        <x:v>NR</x:v>
      </x:c>
      <x:c r="BL11" s="16" t="str">
        <x:v>NR</x:v>
      </x:c>
      <x:c r="BM11" s="16" t="str">
        <x:v>N</x:v>
      </x:c>
      <x:c r="BN11" s="16" t="str">
        <x:v>NR</x:v>
      </x:c>
      <x:c r="BO11" s="16" t="str">
        <x:v>AUTHOR_STATED</x:v>
      </x:c>
      <x:c r="BP11" s="16" t="str">
        <x:v>Coder_A_EXAMPLE</x:v>
      </x:c>
      <x:c r="BQ11" s="16" t="str">
        <x:v>HIGH</x:v>
      </x:c>
      <x:c r="BR11" s="16" t="str">
        <x:v>Sec. 3 Datasets; Appendix A; Table 2; Table 1; Appendix B</x:v>
      </x:c>
      <x:c r="BS11" s="16" t="str">
        <x:v>Preprocessing: named/non-dummy skills retained and skills answered at least 10 times; students split 8:1:1 into train/validation/test; validation used for hyperparameter tuning. No sparse/cold-start evaluation, seed count, CI, statistical test, calibration metric, runtime, or hardware is reported. </x:v>
      </x:c>
      <x:c r="BT11" s="16" t="str">
        <x:v>PENDING</x:v>
      </x:c>
      <x:c r="BU11" s="16"/>
    </x:row>
    <x:row r="12">
      <x:c r="A12" s="16" t="str">
        <x:v>PILOT_01_E11</x:v>
      </x:c>
      <x:c r="B12" s="16" t="str">
        <x:v>PILOT_01</x:v>
      </x:c>
      <x:c r="C12" s="16" t="str">
        <x:v>PILOT_01_M06</x:v>
      </x:c>
      <x:c r="D12" s="16" t="str">
        <x:v>ASSISTments</x:v>
      </x:c>
      <x:c r="E12" s="16" t="str">
        <x:v>2009-2010 Skill Builder</x:v>
      </x:c>
      <x:c r="F12" s="16" t="str">
        <x:v>ASSISTments public data</x:v>
      </x:c>
      <x:c r="G12" s="16" t="n">
        <x:v>1000</x:v>
      </x:c>
      <x:c r="H12" s="16" t="str">
        <x:v>NR</x:v>
      </x:c>
      <x:c r="I12" s="16" t="n">
        <x:v>101</x:v>
      </x:c>
      <x:c r="J12" s="16" t="n">
        <x:v>62955</x:v>
      </x:c>
      <x:c r="K12" s="16" t="str">
        <x:v>UNCLEAR</x:v>
      </x:c>
      <x:c r="L12" s="16" t="str">
        <x:v>Combine simultaneous answer logs into one; extract named skill tags</x:v>
      </x:c>
      <x:c r="M12" s="16" t="str">
        <x:v>NR</x:v>
      </x:c>
      <x:c r="N12" s="16" t="str">
        <x:v>NR</x:v>
      </x:c>
      <x:c r="O12" s="16" t="str">
        <x:v>UNCLEAR</x:v>
      </x:c>
      <x:c r="P12" s="16" t="str">
        <x:v>NR</x:v>
      </x:c>
      <x:c r="Q12" s="16" t="str">
        <x:v>LEARNER_BASED</x:v>
      </x:c>
      <x:c r="R12" s="16" t="str">
        <x:v>students</x:v>
      </x:c>
      <x:c r="S12" s="36" t="n">
        <x:v>0.8</x:v>
      </x:c>
      <x:c r="T12" s="36" t="n">
        <x:v>0.1</x:v>
      </x:c>
      <x:c r="U12" s="36" t="n">
        <x:v>0.1</x:v>
      </x:c>
      <x:c r="V12" s="16" t="str">
        <x:v>Y</x:v>
      </x:c>
      <x:c r="W12" s="16" t="str">
        <x:v>UNCLEAR</x:v>
      </x:c>
      <x:c r="X12" s="16" t="str">
        <x:v>Y</x:v>
      </x:c>
      <x:c r="Y12" s="16" t="str">
        <x:v>NR</x:v>
      </x:c>
      <x:c r="Z12" s="16" t="str">
        <x:v>NA</x:v>
      </x:c>
      <x:c r="AA12" s="16" t="str">
        <x:v>NR</x:v>
      </x:c>
      <x:c r="AB12" s="16" t="str">
        <x:v>NR</x:v>
      </x:c>
      <x:c r="AC12" s="16" t="str">
        <x:v>NO_EXPLICIT_FOCUS</x:v>
      </x:c>
      <x:c r="AD12" s="16" t="str">
        <x:v>NA</x:v>
      </x:c>
      <x:c r="AE12" s="16" t="str">
        <x:v>NA</x:v>
      </x:c>
      <x:c r="AF12" s="16" t="str">
        <x:v>NA</x:v>
      </x:c>
      <x:c r="AG12" s="16" t="str">
        <x:v>NA</x:v>
      </x:c>
      <x:c r="AH12" s="16" t="str">
        <x:v>NA</x:v>
      </x:c>
      <x:c r="AI12" s="16" t="str">
        <x:v>NA</x:v>
      </x:c>
      <x:c r="AJ12" s="16" t="str">
        <x:v>NA</x:v>
      </x:c>
      <x:c r="AK12" s="16" t="str">
        <x:v>NA</x:v>
      </x:c>
      <x:c r="AL12" s="16" t="str">
        <x:v>NA</x:v>
      </x:c>
      <x:c r="AM12" s="16" t="str">
        <x:v>NA</x:v>
      </x:c>
      <x:c r="AN12" s="16" t="str">
        <x:v>NA</x:v>
      </x:c>
      <x:c r="AO12" s="16" t="str">
        <x:v>NA</x:v>
      </x:c>
      <x:c r="AP12" s="16" t="str">
        <x:v>AUC</x:v>
      </x:c>
      <x:c r="AQ12" s="38" t="n">
        <x:v>0.722</x:v>
      </x:c>
      <x:c r="AR12" s="16" t="str">
        <x:v>OVERALL</x:v>
      </x:c>
      <x:c r="AS12" s="16" t="str">
        <x:v>NR</x:v>
      </x:c>
      <x:c r="AT12" s="16" t="str">
        <x:v>NR</x:v>
      </x:c>
      <x:c r="AU12" s="16" t="str">
        <x:v>N</x:v>
      </x:c>
      <x:c r="AV12" s="16" t="str">
        <x:v>NR</x:v>
      </x:c>
      <x:c r="AW12" s="16" t="str">
        <x:v>NA</x:v>
      </x:c>
      <x:c r="AX12" s="16" t="str">
        <x:v>NR</x:v>
      </x:c>
      <x:c r="AY12" s="16" t="str">
        <x:v>NR</x:v>
      </x:c>
      <x:c r="AZ12" s="16" t="str">
        <x:v>NR</x:v>
      </x:c>
      <x:c r="BA12" s="16" t="str">
        <x:v>NR</x:v>
      </x:c>
      <x:c r="BB12" s="16" t="str">
        <x:v>NR</x:v>
      </x:c>
      <x:c r="BC12" s="16" t="str">
        <x:v>NR</x:v>
      </x:c>
      <x:c r="BD12" s="16" t="str">
        <x:v>NR</x:v>
      </x:c>
      <x:c r="BE12" s="16" t="str">
        <x:v>NR</x:v>
      </x:c>
      <x:c r="BF12" s="16" t="str">
        <x:v>NR</x:v>
      </x:c>
      <x:c r="BG12" s="16" t="str">
        <x:v>NR</x:v>
      </x:c>
      <x:c r="BH12" s="16" t="str">
        <x:v>NR</x:v>
      </x:c>
      <x:c r="BI12" s="16" t="str">
        <x:v>NR</x:v>
      </x:c>
      <x:c r="BJ12" s="16" t="str">
        <x:v>NR</x:v>
      </x:c>
      <x:c r="BK12" s="16" t="str">
        <x:v>NR</x:v>
      </x:c>
      <x:c r="BL12" s="16" t="str">
        <x:v>O(KN^2) -&gt; O(KN) for modified VAE edge inference</x:v>
      </x:c>
      <x:c r="BM12" s="16" t="str">
        <x:v>N</x:v>
      </x:c>
      <x:c r="BN12" s="16" t="str">
        <x:v>NR</x:v>
      </x:c>
      <x:c r="BO12" s="16" t="str">
        <x:v>AUTHOR_STATED</x:v>
      </x:c>
      <x:c r="BP12" s="16" t="str">
        <x:v>Coder_A_EXAMPLE</x:v>
      </x:c>
      <x:c r="BQ12" s="16" t="str">
        <x:v>HIGH</x:v>
      </x:c>
      <x:c r="BR12" s="16" t="str">
        <x:v>Sec. 3 Datasets; Appendix A; Table 2; Table 1; Appendix B</x:v>
      </x:c>
      <x:c r="BS12" s="16" t="str">
        <x:v>Preprocessing: named/non-dummy skills retained and skills answered at least 10 times; students split 8:1:1 into train/validation/test; validation used for hyperparameter tuning. No sparse/cold-start evaluation, seed count, CI, statistical test, calibration metric, runtime, or hardware is reported. For VAE, the paper states its modified edge inference reduces cost from O(KN^2) to O(KN).</x:v>
      </x:c>
      <x:c r="BT12" s="16" t="str">
        <x:v>PENDING</x:v>
      </x:c>
      <x:c r="BU12" s="16"/>
    </x:row>
    <x:row r="13">
      <x:c r="A13" s="16" t="str">
        <x:v>PILOT_01_E12</x:v>
      </x:c>
      <x:c r="B13" s="16" t="str">
        <x:v>PILOT_01</x:v>
      </x:c>
      <x:c r="C13" s="16" t="str">
        <x:v>PILOT_01_M06</x:v>
      </x:c>
      <x:c r="D13" s="16" t="str">
        <x:v>KDDCup</x:v>
      </x:c>
      <x:c r="E13" s="16" t="str">
        <x:v>Bridge to Algebra 2006-2007</x:v>
      </x:c>
      <x:c r="F13" s="16" t="str">
        <x:v>KDD Cup 2010 Educational Data Mining Challenge</x:v>
      </x:c>
      <x:c r="G13" s="16" t="n">
        <x:v>1000</x:v>
      </x:c>
      <x:c r="H13" s="16" t="str">
        <x:v>NR</x:v>
      </x:c>
      <x:c r="I13" s="16" t="n">
        <x:v>211</x:v>
      </x:c>
      <x:c r="J13" s="16" t="n">
        <x:v>98200</x:v>
      </x:c>
      <x:c r="K13" s="16" t="str">
        <x:v>UNCLEAR</x:v>
      </x:c>
      <x:c r="L13" s="16" t="str">
        <x:v>Combine simultaneous answer logs into one; extract named skill tags</x:v>
      </x:c>
      <x:c r="M13" s="16" t="str">
        <x:v>NR</x:v>
      </x:c>
      <x:c r="N13" s="16" t="str">
        <x:v>NR</x:v>
      </x:c>
      <x:c r="O13" s="16" t="str">
        <x:v>UNCLEAR</x:v>
      </x:c>
      <x:c r="P13" s="16" t="str">
        <x:v>NR</x:v>
      </x:c>
      <x:c r="Q13" s="16" t="str">
        <x:v>LEARNER_BASED</x:v>
      </x:c>
      <x:c r="R13" s="16" t="str">
        <x:v>students</x:v>
      </x:c>
      <x:c r="S13" s="36" t="n">
        <x:v>0.8</x:v>
      </x:c>
      <x:c r="T13" s="36" t="n">
        <x:v>0.1</x:v>
      </x:c>
      <x:c r="U13" s="36" t="n">
        <x:v>0.1</x:v>
      </x:c>
      <x:c r="V13" s="16" t="str">
        <x:v>Y</x:v>
      </x:c>
      <x:c r="W13" s="16" t="str">
        <x:v>UNCLEAR</x:v>
      </x:c>
      <x:c r="X13" s="16" t="str">
        <x:v>Y</x:v>
      </x:c>
      <x:c r="Y13" s="16" t="str">
        <x:v>NR</x:v>
      </x:c>
      <x:c r="Z13" s="16" t="str">
        <x:v>NA</x:v>
      </x:c>
      <x:c r="AA13" s="16" t="str">
        <x:v>NR</x:v>
      </x:c>
      <x:c r="AB13" s="16" t="str">
        <x:v>NR</x:v>
      </x:c>
      <x:c r="AC13" s="16" t="str">
        <x:v>NO_EXPLICIT_FOCUS</x:v>
      </x:c>
      <x:c r="AD13" s="16" t="str">
        <x:v>NA</x:v>
      </x:c>
      <x:c r="AE13" s="16" t="str">
        <x:v>NA</x:v>
      </x:c>
      <x:c r="AF13" s="16" t="str">
        <x:v>NA</x:v>
      </x:c>
      <x:c r="AG13" s="16" t="str">
        <x:v>NA</x:v>
      </x:c>
      <x:c r="AH13" s="16" t="str">
        <x:v>NA</x:v>
      </x:c>
      <x:c r="AI13" s="16" t="str">
        <x:v>NA</x:v>
      </x:c>
      <x:c r="AJ13" s="16" t="str">
        <x:v>NA</x:v>
      </x:c>
      <x:c r="AK13" s="16" t="str">
        <x:v>NA</x:v>
      </x:c>
      <x:c r="AL13" s="16" t="str">
        <x:v>NA</x:v>
      </x:c>
      <x:c r="AM13" s="16" t="str">
        <x:v>NA</x:v>
      </x:c>
      <x:c r="AN13" s="16" t="str">
        <x:v>NA</x:v>
      </x:c>
      <x:c r="AO13" s="16" t="str">
        <x:v>NA</x:v>
      </x:c>
      <x:c r="AP13" s="16" t="str">
        <x:v>AUC</x:v>
      </x:c>
      <x:c r="AQ13" s="38" t="n">
        <x:v>0.769</x:v>
      </x:c>
      <x:c r="AR13" s="16" t="str">
        <x:v>OVERALL</x:v>
      </x:c>
      <x:c r="AS13" s="16" t="str">
        <x:v>NR</x:v>
      </x:c>
      <x:c r="AT13" s="16" t="str">
        <x:v>NR</x:v>
      </x:c>
      <x:c r="AU13" s="16" t="str">
        <x:v>N</x:v>
      </x:c>
      <x:c r="AV13" s="16" t="str">
        <x:v>NR</x:v>
      </x:c>
      <x:c r="AW13" s="16" t="str">
        <x:v>NA</x:v>
      </x:c>
      <x:c r="AX13" s="16" t="str">
        <x:v>NR</x:v>
      </x:c>
      <x:c r="AY13" s="16" t="str">
        <x:v>NR</x:v>
      </x:c>
      <x:c r="AZ13" s="16" t="str">
        <x:v>NR</x:v>
      </x:c>
      <x:c r="BA13" s="16" t="str">
        <x:v>NR</x:v>
      </x:c>
      <x:c r="BB13" s="16" t="str">
        <x:v>NR</x:v>
      </x:c>
      <x:c r="BC13" s="16" t="str">
        <x:v>NR</x:v>
      </x:c>
      <x:c r="BD13" s="16" t="str">
        <x:v>NR</x:v>
      </x:c>
      <x:c r="BE13" s="16" t="str">
        <x:v>NR</x:v>
      </x:c>
      <x:c r="BF13" s="16" t="str">
        <x:v>NR</x:v>
      </x:c>
      <x:c r="BG13" s="16" t="str">
        <x:v>NR</x:v>
      </x:c>
      <x:c r="BH13" s="16" t="str">
        <x:v>NR</x:v>
      </x:c>
      <x:c r="BI13" s="16" t="str">
        <x:v>NR</x:v>
      </x:c>
      <x:c r="BJ13" s="16" t="str">
        <x:v>NR</x:v>
      </x:c>
      <x:c r="BK13" s="16" t="str">
        <x:v>NR</x:v>
      </x:c>
      <x:c r="BL13" s="16" t="str">
        <x:v>O(KN^2) -&gt; O(KN) for modified VAE edge inference</x:v>
      </x:c>
      <x:c r="BM13" s="16" t="str">
        <x:v>N</x:v>
      </x:c>
      <x:c r="BN13" s="16" t="str">
        <x:v>NR</x:v>
      </x:c>
      <x:c r="BO13" s="16" t="str">
        <x:v>AUTHOR_STATED</x:v>
      </x:c>
      <x:c r="BP13" s="16" t="str">
        <x:v>Coder_A_EXAMPLE</x:v>
      </x:c>
      <x:c r="BQ13" s="16" t="str">
        <x:v>HIGH</x:v>
      </x:c>
      <x:c r="BR13" s="16" t="str">
        <x:v>Sec. 3 Datasets; Appendix A; Table 2; Table 1; Appendix B</x:v>
      </x:c>
      <x:c r="BS13" s="16" t="str">
        <x:v>Preprocessing: named/non-dummy skills retained and skills answered at least 10 times; students split 8:1:1 into train/validation/test; validation used for hyperparameter tuning. No sparse/cold-start evaluation, seed count, CI, statistical test, calibration metric, runtime, or hardware is reported. For VAE, the paper states its modified edge inference reduces cost from O(KN^2) to O(KN).</x:v>
      </x:c>
      <x:c r="BT13" s="16" t="str">
        <x:v>PENDING</x:v>
      </x:c>
      <x:c r="BU13" s="16"/>
    </x:row>
  </x:sheetData>
  <x:pageMargins left="0.7" right="0.7" top="0.75" bottom="0.75" header="0.3" footer="0.3"/>
  <x:tableParts count="1">
    <x:tablePart xmlns:r="http://schemas.openxmlformats.org/officeDocument/2006/relationships" r:id="R34b653eb80bd438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48" hidden="0" customWidth="1"/>
    <x:col min="4" max="4" width="48" hidden="0" customWidth="1"/>
    <x:col min="5" max="5" width="48" hidden="0" customWidth="1"/>
    <x:col min="6" max="6" width="48" hidden="0" customWidth="1"/>
  </x:cols>
  <x:sheetData>
    <x:row r="1">
      <x:c r="A1" s="43" t="str">
        <x:v>Sheet</x:v>
      </x:c>
      <x:c r="B1" s="43" t="str">
        <x:v>Field / exact cell(s)</x:v>
      </x:c>
      <x:c r="C1" s="43" t="str">
        <x:v>What to enter for KT004</x:v>
      </x:c>
      <x:c r="D1" s="43" t="str">
        <x:v>Where to read in paper</x:v>
      </x:c>
      <x:c r="E1" s="43" t="str">
        <x:v>Why / coding rule</x:v>
      </x:c>
      <x:c r="F1" s="43" t="str">
        <x:v>Source URL</x:v>
      </x:c>
    </x:row>
    <x:row r="2">
      <x:c r="A2" s="16" t="str">
        <x:v>Paper_Coding_KT004</x:v>
      </x:c>
      <x:c r="B2" s="16" t="str">
        <x:v>A2–N2</x:v>
      </x:c>
      <x:c r="C2" s="16" t="str">
        <x:v>Paper identity, eligibility, corpus tier</x:v>
      </x:c>
      <x:c r="D2" s="16" t="str">
        <x:v>Official metadata; Abstract; Introduction; Sec. 2</x:v>
      </x:c>
      <x:c r="E2" s="16" t="str">
        <x:v>KT is central; explicit graph is central; no SSL → PRIMARY_CORE / GRAPH_KT</x:v>
      </x:c>
      <x:c r="F2" s="16" t="str">
        <x:v>https://doi.org/10.1145/3350546.3352513</x:v>
      </x:c>
    </x:row>
    <x:row r="3">
      <x:c r="A3" s="16" t="str">
        <x:v>Paper_Coding_KT004</x:v>
      </x:c>
      <x:c r="B3" s="16" t="str">
        <x:v>P2–V2</x:v>
      </x:c>
      <x:c r="C3" s="16" t="str">
        <x:v>NR/blank for author code/config/seeds/environment/archive; data_available=Y</x:v>
      </x:c>
      <x:c r="D3" s="16" t="str">
        <x:v>Sec. 3; Appendix A–B; paper-wide search</x:v>
      </x:c>
      <x:c r="E3" s="16" t="str">
        <x:v>Paper names public datasets and preprocessing, but does not report an author code artifact in the paper.</x:v>
      </x:c>
      <x:c r="F3" s="16" t="str">
        <x:v>https://rlgm.github.io/papers/70.pdf</x:v>
      </x:c>
    </x:row>
    <x:row r="4">
      <x:c r="A4" s="16" t="str">
        <x:v>Paper_Coding_KT004</x:v>
      </x:c>
      <x:c r="B4" s="16" t="str">
        <x:v>W2–AH2</x:v>
      </x:c>
      <x:c r="C4" s="16" t="str">
        <x:v>Provisional QA: 2,2,1,2,0,1,NA,1 → normalized MODERATE</x:v>
      </x:c>
      <x:c r="D4" s="16" t="str">
        <x:v>Sec. 2–3; Appendix A–B</x:v>
      </x:c>
      <x:c r="E4" s="16" t="str">
        <x:v>Pilot QA only; must be independently coded by Coder B.</x:v>
      </x:c>
      <x:c r="F4" s="16" t="str">
        <x:v>https://rlgm.github.io/papers/70.pdf</x:v>
      </x:c>
    </x:row>
    <x:row r="5">
      <x:c r="A5" s="16" t="str">
        <x:v>Model_Coding_KT004</x:v>
      </x:c>
      <x:c r="B5" s="16" t="str">
        <x:v>Rows 2–7</x:v>
      </x:c>
      <x:c r="C5" s="16" t="str">
        <x:v>Six model entries: Dense, Transition, DKT Graph, PAM, MHA, VAE</x:v>
      </x:c>
      <x:c r="D5" s="16" t="str">
        <x:v>Sec. 2.2</x:v>
      </x:c>
      <x:c r="E5" s="16" t="str">
        <x:v>Graph construction is a substantive model dimension under the locked codebook.</x:v>
      </x:c>
      <x:c r="F5" s="16" t="str">
        <x:v>https://rlgm.github.io/papers/70.pdf</x:v>
      </x:c>
    </x:row>
    <x:row r="6">
      <x:c r="A6" s="16" t="str">
        <x:v>Model_Coding_KT004</x:v>
      </x:c>
      <x:c r="B6" s="16" t="str">
        <x:v>Dense row</x:v>
      </x:c>
      <x:c r="C6" s="16" t="str">
        <x:v>graph_source=OTHER*; provenance=MODEL_DEFINED_FIXED*</x:v>
      </x:c>
      <x:c r="D6" s="16" t="str">
        <x:v>Sec. 2.2 Dense Graph</x:v>
      </x:c>
      <x:c r="E6" s="16" t="str">
        <x:v>Pilot reveals missing codebook categories for data-independent model-defined graphs.</x:v>
      </x:c>
      <x:c r="F6" s="16" t="str">
        <x:v>https://rlgm.github.io/papers/70.pdf</x:v>
      </x:c>
    </x:row>
    <x:row r="7">
      <x:c r="A7" s="16" t="str">
        <x:v>Model_Coding_KT004</x:v>
      </x:c>
      <x:c r="B7" s="16" t="str">
        <x:v>Transition row</x:v>
      </x:c>
      <x:c r="C7" s="16" t="str">
        <x:v>graph_source=SEQUENTIAL_TRANSITION*; provenance=PRECOMPUTED_UNCLEAR_SPLIT; leakage=POTENTIAL</x:v>
      </x:c>
      <x:c r="D7" s="16" t="str">
        <x:v>Sec. 2.2 Transition Graph; Appendix B</x:v>
      </x:c>
      <x:c r="E7" s="16" t="str">
        <x:v>Transition counts are data-derived; paper does not explicitly say this graph is computed from train only.</x:v>
      </x:c>
      <x:c r="F7" s="16" t="str">
        <x:v>https://rlgm.github.io/papers/70.pdf</x:v>
      </x:c>
    </x:row>
    <x:row r="8">
      <x:c r="A8" s="16" t="str">
        <x:v>Model_Coding_KT004</x:v>
      </x:c>
      <x:c r="B8" s="16" t="str">
        <x:v>DKTGraph row</x:v>
      </x:c>
      <x:c r="C8" s="16" t="str">
        <x:v>LEARNED_FROM_INTERACTIONS; PRECOMPUTED_UNCLEAR_SPLIT; leakage=POTENTIAL</x:v>
      </x:c>
      <x:c r="D8" s="16" t="str">
        <x:v>Sec. 2.2 DKT Graph; Appendix B</x:v>
      </x:c>
      <x:c r="E8" s="16" t="str">
        <x:v>Graph derives from a trained DKT; exact extraction partition is not explicit.</x:v>
      </x:c>
      <x:c r="F8" s="16" t="str">
        <x:v>https://rlgm.github.io/papers/70.pdf</x:v>
      </x:c>
    </x:row>
    <x:row r="9">
      <x:c r="A9" s="16" t="str">
        <x:v>Model_Coding_KT004</x:v>
      </x:c>
      <x:c r="B9" s="16" t="str">
        <x:v>PAM/MHA/VAE rows</x:v>
      </x:c>
      <x:c r="C9" s="16" t="str">
        <x:v>JOINTLY_LEARNED_TRAINING; leakage=LOW</x:v>
      </x:c>
      <x:c r="D9" s="16" t="str">
        <x:v>Sec. 2.2; Appendix B</x:v>
      </x:c>
      <x:c r="E9" s="16" t="str">
        <x:v>Graph structure is jointly learned while models are trained on training-student data.</x:v>
      </x:c>
      <x:c r="F9" s="16" t="str">
        <x:v>https://rlgm.github.io/papers/70.pdf</x:v>
      </x:c>
    </x:row>
    <x:row r="10">
      <x:c r="A10" s="16" t="str">
        <x:v>Model_Coding_KT004</x:v>
      </x:c>
      <x:c r="B10" s="16" t="str">
        <x:v>All six rows</x:v>
      </x:c>
      <x:c r="C10" s="16" t="str">
        <x:v>graph_representation=KC_KC; dynamic=N; temporal_backbone=RNN_LSTM_GRU; fusion=MESSAGE_PASSING_IN_PREDICTION_LOOP</x:v>
      </x:c>
      <x:c r="D10" s="16" t="str">
        <x:v>Introduction; Sec. 2.1; Sec. 2.2</x:v>
      </x:c>
      <x:c r="E10" s="16" t="str">
        <x:v>Nodes are concepts, graph is invariant to students/time, concept states are updated with GRU.</x:v>
      </x:c>
      <x:c r="F10" s="16" t="str">
        <x:v>https://rlgm.github.io/papers/70.pdf</x:v>
      </x:c>
    </x:row>
    <x:row r="11">
      <x:c r="A11" s="16" t="str">
        <x:v>Model_Coding_KT004</x:v>
      </x:c>
      <x:c r="B11" s="16" t="str">
        <x:v>All six rows</x:v>
      </x:c>
      <x:c r="C11" s="16" t="str">
        <x:v>ssl_family=NONE</x:v>
      </x:c>
      <x:c r="D11" s="16" t="str">
        <x:v>Sec. 2.1–2.2</x:v>
      </x:c>
      <x:c r="E11" s="16" t="str">
        <x:v>NLL is supervised KT; VAE KL/latent-edge inference is not treated as a separate SSL pretext task under frozen definitions.</x:v>
      </x:c>
      <x:c r="F11" s="16" t="str">
        <x:v>https://rlgm.github.io/papers/70.pdf</x:v>
      </x:c>
    </x:row>
    <x:row r="12">
      <x:c r="A12" s="16" t="str">
        <x:v>Experiment_Coding_KT004</x:v>
      </x:c>
      <x:c r="B12" s="16" t="str">
        <x:v>12 rows</x:v>
      </x:c>
      <x:c r="C12" s="16" t="str">
        <x:v>6 GKT variants × 2 datasets</x:v>
      </x:c>
      <x:c r="D12" s="16" t="str">
        <x:v>Sec. 3; Table 1; Table 2</x:v>
      </x:c>
      <x:c r="E12" s="16" t="str">
        <x:v>Each proposed graph-construction variant has an AUC on each dataset.</x:v>
      </x:c>
      <x:c r="F12" s="16" t="str">
        <x:v>https://rlgm.github.io/papers/70.pdf</x:v>
      </x:c>
    </x:row>
    <x:row r="13">
      <x:c r="A13" s="16" t="str">
        <x:v>Experiment_Coding_KT004</x:v>
      </x:c>
      <x:c r="B13" s="16" t="str">
        <x:v>Dataset fields</x:v>
      </x:c>
      <x:c r="C13" s="16" t="str">
        <x:v>ASSISTments: 1000 learners, 101 skills, 62,955 logs; KDDCup: 1000, 211, 98,200</x:v>
      </x:c>
      <x:c r="D13" s="16" t="str">
        <x:v>Table 2</x:v>
      </x:c>
      <x:c r="E13" s="16" t="str">
        <x:v>Use paper-reported post-preprocessing counts; item counts are NR.</x:v>
      </x:c>
      <x:c r="F13" s="16" t="str">
        <x:v>https://rlgm.github.io/papers/70.pdf</x:v>
      </x:c>
    </x:row>
    <x:row r="14">
      <x:c r="A14" s="16" t="str">
        <x:v>Experiment_Coding_KT004</x:v>
      </x:c>
      <x:c r="B14" s="16" t="str">
        <x:v>Split fields</x:v>
      </x:c>
      <x:c r="C14" s="16" t="str">
        <x:v>LEARNER_BASED; 0.8/0.1/0.1; separate validation=Y</x:v>
      </x:c>
      <x:c r="D14" s="16" t="str">
        <x:v>Appendix B</x:v>
      </x:c>
      <x:c r="E14" s="16" t="str">
        <x:v>Paper explicitly divides students 8:1:1 and tunes on validation students.</x:v>
      </x:c>
      <x:c r="F14" s="16" t="str">
        <x:v>https://rlgm.github.io/papers/70.pdf</x:v>
      </x:c>
    </x:row>
    <x:row r="15">
      <x:c r="A15" s="16" t="str">
        <x:v>Experiment_Coding_KT004</x:v>
      </x:c>
      <x:c r="B15" s="16" t="str">
        <x:v>Sparsity fields</x:v>
      </x:c>
      <x:c r="C15" s="16" t="str">
        <x:v>NO_EXPLICIT_FOCUS; sparse/cold-start fields=NA</x:v>
      </x:c>
      <x:c r="D15" s="16" t="str">
        <x:v>Appendix A; Sec. 3</x:v>
      </x:c>
      <x:c r="E15" s="16" t="str">
        <x:v>Filtering skills with &lt;10 answers is preprocessing, not a sparse-KC evaluation protocol.</x:v>
      </x:c>
      <x:c r="F15" s="16" t="str">
        <x:v>https://rlgm.github.io/papers/70.pdf</x:v>
      </x:c>
    </x:row>
    <x:row r="16">
      <x:c r="A16" s="16" t="str">
        <x:v>Experiment_Coding_KT004</x:v>
      </x:c>
      <x:c r="B16" s="16" t="str">
        <x:v>Metric fields</x:v>
      </x:c>
      <x:c r="C16" s="16" t="str">
        <x:v>AUC; Table-1 values</x:v>
      </x:c>
      <x:c r="D16" s="16" t="str">
        <x:v>Table 1</x:v>
      </x:c>
      <x:c r="E16" s="16" t="str">
        <x:v>Reported proposed-method metric is overall AUC; no CI/seeds/stats reported.</x:v>
      </x:c>
      <x:c r="F16" s="16" t="str">
        <x:v>https://rlgm.github.io/papers/70.pdf</x:v>
      </x:c>
    </x:row>
    <x:row r="17">
      <x:c r="A17" s="16" t="str">
        <x:v>Experiment_Coding_KT004</x:v>
      </x:c>
      <x:c r="B17" s="16" t="str">
        <x:v>Compute fields</x:v>
      </x:c>
      <x:c r="C17" s="16" t="str">
        <x:v>Mostly NR; VAE complexity O(KN^2)→O(KN)</x:v>
      </x:c>
      <x:c r="D17" s="16" t="str">
        <x:v>Sec. 2.2</x:v>
      </x:c>
      <x:c r="E17" s="16" t="str">
        <x:v>Only an asymptotic complexity reduction is explicitly discussed.</x:v>
      </x:c>
      <x:c r="F17" s="16" t="str">
        <x:v>https://rlgm.github.io/papers/70.pdf</x:v>
      </x:c>
    </x:row>
  </x:sheetData>
  <x:pageMargins left="0.7" right="0.7" top="0.75" bottom="0.75" header="0.3" footer="0.3"/>
  <x:tableParts count="1">
    <x:tablePart xmlns:r="http://schemas.openxmlformats.org/officeDocument/2006/relationships" r:id="R689ce3ad823f468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60" hidden="0" customWidth="1"/>
    <x:col min="4" max="4" width="16" hidden="0" customWidth="1"/>
  </x:cols>
  <x:sheetData>
    <x:row r="1">
      <x:c r="A1" s="52" t="str">
        <x:v>Issue</x:v>
      </x:c>
      <x:c r="B1" s="52" t="str">
        <x:v>Observed in KT004</x:v>
      </x:c>
      <x:c r="C1" s="52" t="str">
        <x:v>Recommendation</x:v>
      </x:c>
      <x:c r="D1" s="52" t="str">
        <x:v>Status</x:v>
      </x:c>
    </x:row>
    <x:row r="2">
      <x:c r="A2" t="str">
        <x:v>CB09 graph provenance</x:v>
      </x:c>
      <x:c r="B2" t="str">
        <x:v>Dense Graph is fixed by model design and is neither external nor inferred from data.</x:v>
      </x:c>
      <x:c r="C2" t="str">
        <x:v>Add `MODEL_DEFINED_FIXED` to graph_provenance.</x:v>
      </x:c>
      <x:c r="D2" t="str">
        <x:v>CANDIDATE</x:v>
      </x:c>
    </x:row>
    <x:row r="3">
      <x:c r="A3" t="str">
        <x:v>CB10 graph source</x:v>
      </x:c>
      <x:c r="B3" t="str">
        <x:v>Transition Graph is based on ordered concept transitions, not ordinary co-occurrence.</x:v>
      </x:c>
      <x:c r="C3" t="str">
        <x:v>Add `SEQUENTIAL_TRANSITION` to graph_source.</x:v>
      </x:c>
      <x:c r="D3" t="str">
        <x:v>CANDIDATE</x:v>
      </x:c>
    </x:row>
    <x:row r="4">
      <x:c r="A4" t="str">
        <x:v>CB11 evidence traceability</x:v>
      </x:c>
      <x:c r="B4" t="str">
        <x:v>A single row-level coding_basis/evidence_locator cannot represent dozens of fields with mixed author-stated vs reviewer-inferred status.</x:v>
      </x:c>
      <x:c r="C4" t="str">
        <x:v>Add a long-form `Coding_Evidence` table keyed by entity_id + field.</x:v>
      </x:c>
      <x:c r="D4" t="str">
        <x:v>CANDIDATE</x:v>
      </x:c>
    </x:row>
    <x:row r="5">
      <x:c r="A5" t="str">
        <x:v>CB12 model-entry granularity</x:v>
      </x:c>
      <x:c r="B5" t="str">
        <x:v>One paper has six graph-construction variants under one shared GKT architecture.</x:v>
      </x:c>
      <x:c r="C5" t="str">
        <x:v>Keep six model entries because graph construction is a substantive taxonomy dimension.</x:v>
      </x:c>
      <x:c r="D5" t="str">
        <x:v>SUPPORTED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  <x:col min="3" max="3" width="60" hidden="0" customWidth="1"/>
  </x:cols>
  <x:sheetData>
    <x:row r="1">
      <x:c r="A1" s="11" t="str">
        <x:v>Source</x:v>
      </x:c>
      <x:c r="B1" s="11" t="str">
        <x:v>Use</x:v>
      </x:c>
      <x:c r="C1" s="11" t="str">
        <x:v>URL</x:v>
      </x:c>
    </x:row>
    <x:row r="2">
      <x:c r="A2" t="str">
        <x:v>Official DOI / conference metadata</x:v>
      </x:c>
      <x:c r="B2" t="str">
        <x:v>Bibliographic identity</x:v>
      </x:c>
      <x:c r="C2" t="str">
        <x:v>https://doi.org/10.1145/3350546.3352513</x:v>
      </x:c>
    </x:row>
    <x:row r="3">
      <x:c r="A3" t="str">
        <x:v>Public full-text version</x:v>
      </x:c>
      <x:c r="B3" t="str">
        <x:v>Method, experiments, appendix</x:v>
      </x:c>
      <x:c r="C3" t="str">
        <x:v>https://rlgm.github.io/papers/70.pdf</x:v>
      </x:c>
    </x:row>
    <x:row r="4">
      <x:c r="A4" t="str">
        <x:v>Third-party implementation</x:v>
      </x:c>
      <x:c r="B4" t="str">
        <x:v>Reproducibility context only; not coded as author artifact</x:v>
      </x:c>
      <x:c r="C4" t="str">
        <x:v>https://github.com/jhljx/GKT</x:v>
      </x:c>
    </x:row>
  </x:sheetData>
  <x:pageMargins left="0.7" right="0.7" top="0.75" bottom="0.75" header="0.3" footer="0.3"/>
</x:worksheet>
</file>