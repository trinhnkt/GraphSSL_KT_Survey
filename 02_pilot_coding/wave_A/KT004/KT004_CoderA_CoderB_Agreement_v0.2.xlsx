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9cac547d9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c81da3a08634cf0"/>
    <x:sheet xmlns:r="http://schemas.openxmlformats.org/officeDocument/2006/relationships" name="Paper_Coding_KT004" sheetId="2" r:id="Ra8779102c4d9449c"/>
    <x:sheet xmlns:r="http://schemas.openxmlformats.org/officeDocument/2006/relationships" name="Model_Coding_KT004" sheetId="3" r:id="R3e5706f3466e4f45"/>
    <x:sheet xmlns:r="http://schemas.openxmlformats.org/officeDocument/2006/relationships" name="Experiment_Coding_KT004" sheetId="4" r:id="Rbeef1c6ada554aec"/>
    <x:sheet xmlns:r="http://schemas.openxmlformats.org/officeDocument/2006/relationships" name="Field_Guide" sheetId="5" r:id="R7df4b30026b448b8"/>
    <x:sheet xmlns:r="http://schemas.openxmlformats.org/officeDocument/2006/relationships" name="Codebook_Issues_KT004" sheetId="6" r:id="Rf58ab57b98df4dd7"/>
    <x:sheet xmlns:r="http://schemas.openxmlformats.org/officeDocument/2006/relationships" name="Sources" sheetId="7" r:id="Ra13fa04793e44a05"/>
    <x:sheet xmlns:r="http://schemas.openxmlformats.org/officeDocument/2006/relationships" name="Coder_A" sheetId="8" r:id="Re432f5b3a7e24fb2"/>
    <x:sheet xmlns:r="http://schemas.openxmlformats.org/officeDocument/2006/relationships" name="Coder_B" sheetId="9" r:id="R0cabc65f252d4155"/>
    <x:sheet xmlns:r="http://schemas.openxmlformats.org/officeDocument/2006/relationships" name="Comparison" sheetId="10" r:id="R1b35b35b6364434b"/>
    <x:sheet xmlns:r="http://schemas.openxmlformats.org/officeDocument/2006/relationships" name="Agreement_Summary" sheetId="11" r:id="R22f287fa8f2b420a"/>
    <x:sheet xmlns:r="http://schemas.openxmlformats.org/officeDocument/2006/relationships" name="Kappa_Helper" sheetId="12" r:id="Rd164e73bc7444a61"/>
    <x:sheet xmlns:r="http://schemas.openxmlformats.org/officeDocument/2006/relationships" name="Instructions_IRR" sheetId="13" r:id="R916efe4526aa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%"/>
    <x:numFmt numFmtId="202" formatCode="0.000"/>
    <x:numFmt numFmtId="203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4645cc1054b81" /><Relationship Type="http://schemas.openxmlformats.org/officeDocument/2006/relationships/theme" Target="/xl/theme/theme1.xml" Id="Rc3dd5485729d4ecb" /><Relationship Type="http://schemas.openxmlformats.org/officeDocument/2006/relationships/sharedStrings" Target="/xl/sharedStrings.xml" Id="R36917d30db764df0" /><Relationship Type="http://schemas.openxmlformats.org/officeDocument/2006/relationships/worksheet" Target="/xl/worksheets/sheet1.xml" Id="Rec81da3a08634cf0" /><Relationship Type="http://schemas.openxmlformats.org/officeDocument/2006/relationships/worksheet" Target="/xl/worksheets/sheet2.xml" Id="Ra8779102c4d9449c" /><Relationship Type="http://schemas.openxmlformats.org/officeDocument/2006/relationships/worksheet" Target="/xl/worksheets/sheet3.xml" Id="R3e5706f3466e4f45" /><Relationship Type="http://schemas.openxmlformats.org/officeDocument/2006/relationships/worksheet" Target="/xl/worksheets/sheet4.xml" Id="Rbeef1c6ada554aec" /><Relationship Type="http://schemas.openxmlformats.org/officeDocument/2006/relationships/worksheet" Target="/xl/worksheets/sheet5.xml" Id="R7df4b30026b448b8" /><Relationship Type="http://schemas.openxmlformats.org/officeDocument/2006/relationships/worksheet" Target="/xl/worksheets/sheet6.xml" Id="Rf58ab57b98df4dd7" /><Relationship Type="http://schemas.openxmlformats.org/officeDocument/2006/relationships/worksheet" Target="/xl/worksheets/sheet7.xml" Id="Ra13fa04793e44a05" /><Relationship Type="http://schemas.openxmlformats.org/officeDocument/2006/relationships/worksheet" Target="/xl/worksheets/sheet8.xml" Id="Re432f5b3a7e24fb2" /><Relationship Type="http://schemas.openxmlformats.org/officeDocument/2006/relationships/worksheet" Target="/xl/worksheets/sheet9.xml" Id="R0cabc65f252d4155" /><Relationship Type="http://schemas.openxmlformats.org/officeDocument/2006/relationships/worksheet" Target="/xl/worksheets/sheet10.xml" Id="R1b35b35b6364434b" /><Relationship Type="http://schemas.openxmlformats.org/officeDocument/2006/relationships/worksheet" Target="/xl/worksheets/sheet11.xml" Id="R22f287fa8f2b420a" /><Relationship Type="http://schemas.openxmlformats.org/officeDocument/2006/relationships/worksheet" Target="/xl/worksheets/sheet12.xml" Id="Rd164e73bc7444a61" /><Relationship Type="http://schemas.openxmlformats.org/officeDocument/2006/relationships/worksheet" Target="/xl/worksheets/sheet13.xml" Id="R916efe4526aa41ce" /></Relationships>
</file>

<file path=xl/tables/table1.xml><?xml version="1.0" encoding="utf-8"?>
<x:table xmlns:x="http://schemas.openxmlformats.org/spreadsheetml/2006/main" id="1" name="KT004PaperCoding" displayName="KT004PaperCoding" ref="A1:AM2" headerRowCount="1" totalsRowCount="0" totalsRowShown="0">
  <x:tableColumns count="39">
    <x:tableColumn id="1" name="paper_id"/>
    <x:tableColumn id="2" name="legacy_id"/>
    <x:tableColumn id="3" name="title"/>
    <x:tableColumn id="4" name="year"/>
    <x:tableColumn id="5" name="venue"/>
    <x:tableColumn id="6" name="doi_verified"/>
    <x:tableColumn id="7" name="item_type"/>
    <x:tableColumn id="8" name="peer_reviewed"/>
    <x:tableColumn id="9" name="kt_central_task"/>
    <x:tableColumn id="10" name="G_criterion"/>
    <x:tableColumn id="11" name="S_criterion"/>
    <x:tableColumn id="12" name="primary_gateway_pass"/>
    <x:tableColumn id="13" name="corpus_status"/>
    <x:tableColumn id="14" name="role_in_survey"/>
    <x:tableColumn id="15" name="source_origin"/>
    <x:tableColumn id="16" name="code_available"/>
    <x:tableColumn id="17" name="code_url"/>
    <x:tableColumn id="18" name="data_available"/>
    <x:tableColumn id="19" name="config_available"/>
    <x:tableColumn id="20" name="seed_available"/>
    <x:tableColumn id="21" name="environment_available"/>
    <x:tableColumn id="22" name="artifact_archive_available"/>
    <x:tableColumn id="23" name="QA1"/>
    <x:tableColumn id="24" name="QA2"/>
    <x:tableColumn id="25" name="QA3"/>
    <x:tableColumn id="26" name="QA4"/>
    <x:tableColumn id="27" name="QA5"/>
    <x:tableColumn id="28" name="QA6"/>
    <x:tableColumn id="29" name="QA7"/>
    <x:tableColumn id="30" name="QA8"/>
    <x:tableColumn id="31" name="raw_quality_score"/>
    <x:tableColumn id="32" name="applicable_quality_max"/>
    <x:tableColumn id="33" name="normalized_quality"/>
    <x:tableColumn id="34" name="quality_tier"/>
    <x:tableColumn id="35" name="coder_id"/>
    <x:tableColumn id="36" name="coder_confidence"/>
    <x:tableColumn id="37" name="evidence_locator"/>
    <x:tableColumn id="38" name="evidence_note"/>
    <x:tableColumn id="39" name="adjudica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T004ModelCoding" displayName="KT004ModelCoding" ref="A1:AV7" headerRowCount="1" totalsRowCount="0" totalsRowShown="0">
  <x:tableColumns count="48">
    <x:tableColumn id="1" name="model_entry_id"/>
    <x:tableColumn id="2" name="paper_id"/>
    <x:tableColumn id="3" name="legacy_id"/>
    <x:tableColumn id="4" name="model_name"/>
    <x:tableColumn id="5" name="graph_source"/>
    <x:tableColumn id="6" name="graph_source_original"/>
    <x:tableColumn id="7" name="graph_provenance"/>
    <x:tableColumn id="8" name="graph_leakage_risk"/>
    <x:tableColumn id="9" name="graph_construction_summary"/>
    <x:tableColumn id="10" name="graph_construction_uses_response_labels"/>
    <x:tableColumn id="11" name="graph_construction_uses_test_partition"/>
    <x:tableColumn id="12" name="graph_representation"/>
    <x:tableColumn id="13" name="node_types_original"/>
    <x:tableColumn id="14" name="edge_types_original"/>
    <x:tableColumn id="15" name="directed"/>
    <x:tableColumn id="16" name="weighted"/>
    <x:tableColumn id="17" name="typed_edges"/>
    <x:tableColumn id="18" name="dynamic"/>
    <x:tableColumn id="19" name="dag_enforced"/>
    <x:tableColumn id="20" name="edge_confidence_used"/>
    <x:tableColumn id="21" name="gnn_encoder"/>
    <x:tableColumn id="22" name="gnn_encoder_original"/>
    <x:tableColumn id="23" name="num_graph_layers"/>
    <x:tableColumn id="24" name="message_passing_direction"/>
    <x:tableColumn id="25" name="temporal_backbone"/>
    <x:tableColumn id="26" name="semantic_auxiliary_encoder"/>
    <x:tableColumn id="27" name="fusion_type"/>
    <x:tableColumn id="28" name="fusion_location"/>
    <x:tableColumn id="29" name="fusion_description_original"/>
    <x:tableColumn id="30" name="ssl_family"/>
    <x:tableColumn id="31" name="non_ssl_pretraining"/>
    <x:tableColumn id="32" name="pretraining_description"/>
    <x:tableColumn id="33" name="ssl_training_mode"/>
    <x:tableColumn id="34" name="ssl_target_level"/>
    <x:tableColumn id="35" name="positive_pair_strategy"/>
    <x:tableColumn id="36" name="negative_pair_strategy"/>
    <x:tableColumn id="37" name="ssl_loss_original"/>
    <x:tableColumn id="38" name="ssl_weight_reported"/>
    <x:tableColumn id="39" name="augmentation_type"/>
    <x:tableColumn id="40" name="educational_structure_preservation"/>
    <x:tableColumn id="41" name="preserved_property_original"/>
    <x:tableColumn id="42" name="augmentation_validity_ablation"/>
    <x:tableColumn id="43" name="coding_basis"/>
    <x:tableColumn id="44" name="coder_id"/>
    <x:tableColumn id="45" name="coder_confidence"/>
    <x:tableColumn id="46" name="evidence_locator"/>
    <x:tableColumn id="47" name="evidence_note"/>
    <x:tableColumn id="48" name="adjud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T004ExperimentCoding" displayName="KT004ExperimentCoding" ref="A1:BU13" headerRowCount="1" totalsRowCount="0" totalsRowShown="0">
  <x:tableColumns count="73">
    <x:tableColumn id="1" name="experiment_id"/>
    <x:tableColumn id="2" name="paper_id"/>
    <x:tableColumn id="3" name="model_entry_id"/>
    <x:tableColumn id="4" name="dataset_name"/>
    <x:tableColumn id="5" name="dataset_version"/>
    <x:tableColumn id="6" name="dataset_source"/>
    <x:tableColumn id="7" name="n_learners_reported"/>
    <x:tableColumn id="8" name="n_items_reported"/>
    <x:tableColumn id="9" name="n_kcs_reported"/>
    <x:tableColumn id="10" name="n_interactions_reported"/>
    <x:tableColumn id="11" name="multi_skill_present"/>
    <x:tableColumn id="12" name="multi_skill_handling"/>
    <x:tableColumn id="13" name="sequence_truncation"/>
    <x:tableColumn id="14" name="min_sequence_filter"/>
    <x:tableColumn id="15" name="timestamp_used"/>
    <x:tableColumn id="16" name="preprocessing_code_available"/>
    <x:tableColumn id="17" name="split_type"/>
    <x:tableColumn id="18" name="split_unit_original"/>
    <x:tableColumn id="19" name="train_fraction"/>
    <x:tableColumn id="20" name="validation_fraction"/>
    <x:tableColumn id="21" name="test_fraction"/>
    <x:tableColumn id="22" name="validation_set_separate"/>
    <x:tableColumn id="23" name="early_stopping_validation_only"/>
    <x:tableColumn id="24" name="graph_train_only"/>
    <x:tableColumn id="25" name="normalization_train_only"/>
    <x:tableColumn id="26" name="sparse_strata_train_only"/>
    <x:tableColumn id="27" name="temporal_alignment_audited"/>
    <x:tableColumn id="28" name="duplicate_entity_leakage_checked"/>
    <x:tableColumn id="29" name="sparsity_construct"/>
    <x:tableColumn id="30" name="sparse_definition_original"/>
    <x:tableColumn id="31" name="sparse_threshold_original"/>
    <x:tableColumn id="32" name="threshold_source"/>
    <x:tableColumn id="33" name="frequency_computed_on"/>
    <x:tableColumn id="34" name="strict_zero_train_verified"/>
    <x:tableColumn id="35" name="external_info_for_unseen_kc"/>
    <x:tableColumn id="36" name="support_kcs"/>
    <x:tableColumn id="37" name="support_learners"/>
    <x:tableColumn id="38" name="support_items"/>
    <x:tableColumn id="39" name="support_test_interactions"/>
    <x:tableColumn id="40" name="positive_count"/>
    <x:tableColumn id="41" name="negative_count"/>
    <x:tableColumn id="42" name="metric_name_original"/>
    <x:tableColumn id="43" name="metric_value_original"/>
    <x:tableColumn id="44" name="metric_scope"/>
    <x:tableColumn id="45" name="n_seeds"/>
    <x:tableColumn id="46" name="seed_values_reported"/>
    <x:tableColumn id="47" name="mean_std_reported"/>
    <x:tableColumn id="48" name="confidence_interval"/>
    <x:tableColumn id="49" name="bootstrap_unit"/>
    <x:tableColumn id="50" name="statistical_test"/>
    <x:tableColumn id="51" name="multiple_comparison_correction"/>
    <x:tableColumn id="52" name="effect_size"/>
    <x:tableColumn id="53" name="paired_design"/>
    <x:tableColumn id="54" name="significance_threshold"/>
    <x:tableColumn id="55" name="parameter_count"/>
    <x:tableColumn id="56" name="train_time"/>
    <x:tableColumn id="57" name="time_per_epoch"/>
    <x:tableColumn id="58" name="inference_latency"/>
    <x:tableColumn id="59" name="throughput"/>
    <x:tableColumn id="60" name="cpu_ram"/>
    <x:tableColumn id="61" name="gpu_vram"/>
    <x:tableColumn id="62" name="hardware"/>
    <x:tableColumn id="63" name="graph_construction_time"/>
    <x:tableColumn id="64" name="complexity_formula"/>
    <x:tableColumn id="65" name="scale_up_experiment"/>
    <x:tableColumn id="66" name="oom_timeout_reported"/>
    <x:tableColumn id="67" name="coding_basis"/>
    <x:tableColumn id="68" name="coder_id"/>
    <x:tableColumn id="69" name="coder_confidence"/>
    <x:tableColumn id="70" name="evidence_locator"/>
    <x:tableColumn id="71" name="evidence_note"/>
    <x:tableColumn id="72" name="adjudication_status"/>
    <x:tableColumn id="73" name="Column7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T004FieldGuide" displayName="KT004FieldGuide" ref="A1:F17" headerRowCount="1" totalsRowCount="0" totalsRowShown="0">
  <x:tableColumns count="6">
    <x:tableColumn id="1" name="Sheet"/>
    <x:tableColumn id="2" name="Field / exact cell(s)"/>
    <x:tableColumn id="3" name="What to enter for KT004"/>
    <x:tableColumn id="4" name="Where to read in paper"/>
    <x:tableColumn id="5" name="Why / coding rule"/>
    <x:tableColumn id="6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derATable" displayName="CoderATable" ref="A1:I910" headerRowCount="1" totalsRowCount="0" totalsRowShown="0">
  <x:tableColumns count="9">
    <x:tableColumn id="1" name="Seq"/>
    <x:tableColumn id="2" name="Level"/>
    <x:tableColumn id="3" name="Entity ID"/>
    <x:tableColumn id="4" name="Field"/>
    <x:tableColumn id="5" name="Coder Value"/>
    <x:tableColumn id="6" name="Evidence Locator"/>
    <x:tableColumn id="7" name="Confidence"/>
    <x:tableColumn id="8" name="Kappa Eligibl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rBTable" displayName="CoderBTable" ref="A1:I910" headerRowCount="1" totalsRowCount="0" totalsRowShown="0">
  <x:tableColumns count="9">
    <x:tableColumn id="1" name="Seq"/>
    <x:tableColumn id="2" name="Level"/>
    <x:tableColumn id="3" name="Entity ID"/>
    <x:tableColumn id="4" name="Field"/>
    <x:tableColumn id="5" name="Coder Value"/>
    <x:tableColumn id="6" name="Evidence Locator"/>
    <x:tableColumn id="7" name="Confidence"/>
    <x:tableColumn id="8" name="Kappa Eligible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arisonTable" displayName="ComparisonTable" ref="A1:J910" headerRowCount="1" totalsRowCount="0" totalsRowShown="0">
  <x:tableColumns count="10">
    <x:tableColumn id="1" name="Seq"/>
    <x:tableColumn id="2" name="Level"/>
    <x:tableColumn id="3" name="Entity ID"/>
    <x:tableColumn id="4" name="Field"/>
    <x:tableColumn id="5" name="Coder A"/>
    <x:tableColumn id="6" name="Coder B"/>
    <x:tableColumn id="7" name="Status"/>
    <x:tableColumn id="8" name="Kappa Eligible"/>
    <x:tableColumn id="9" name="Coder A Evidence"/>
    <x:tableColumn id="10" name="Coder B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24a650b0f9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95698d50946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61185dbafd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bcfec82f6c43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51199d03c954b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89d6941f71245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7b97807a52540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KT004 pilot coding example v0.2</x:v>
      </x:c>
      <x:c r="B1" s="6" t="str"/>
    </x:row>
    <x:row r="2">
      <x:c r="A2" t="str">
        <x:v>Paper</x:v>
      </x:c>
      <x:c r="B2" t="str">
        <x:v>Graph-Based Knowledge Tracing: Modeling Student Proficiency Using Graph Neural Network</x:v>
      </x:c>
    </x:row>
    <x:row r="3">
      <x:c r="A3" t="str">
        <x:v>Official seed identity</x:v>
      </x:c>
      <x:c r="B3" t="str">
        <x:v>KT004</x:v>
      </x:c>
    </x:row>
    <x:row r="4">
      <x:c r="A4" t="str">
        <x:v>Purpose</x:v>
      </x:c>
      <x:c r="B4" t="str">
        <x:v>Show exactly how to fill Paper_Coding, Model_Coding, and Experiment_Coding for the first pilot paper.</x:v>
      </x:c>
    </x:row>
    <x:row r="5">
      <x:c r="A5" t="str">
        <x:v>Important</x:v>
      </x:c>
      <x:c r="B5" t="str">
        <x:v>This is a Coder-A worked example for codebook validation, not a final adjudicated coding.</x:v>
      </x:c>
    </x:row>
    <x:row r="6">
      <x:c r="A6" t="str">
        <x:v>Primary full-text source</x:v>
      </x:c>
      <x:c r="B6" t="str">
        <x:v>https://rlgm.github.io/papers/70.pdf</x:v>
      </x:c>
    </x:row>
    <x:row r="7">
      <x:c r="A7" t="str">
        <x:v>Official DOI</x:v>
      </x:c>
      <x:c r="B7" t="str">
        <x:v>https://doi.org/10.1145/3350546.3352513</x:v>
      </x:c>
    </x:row>
    <x:row r="8">
      <x:c r="A8" t="str">
        <x:v>Third-party implementation found</x:v>
      </x:c>
      <x:c r="B8" t="str">
        <x:v>https://github.com/jhljx/GKT</x:v>
      </x:c>
    </x:row>
    <x:row r="9">
      <x:c r="A9" t="str">
        <x:v>Artifact rule</x:v>
      </x:c>
      <x:c r="B9" t="str">
        <x:v>The third-party GitHub implementation is NOT coded as author-released code because author provenance was not established from the paper.</x:v>
      </x:c>
    </x:row>
    <x:row r="10">
      <x:c r="A10" t="str">
        <x:v>Model-entry rule</x:v>
      </x:c>
      <x:c r="B10" t="str">
        <x:v>KT004 generates 6 proposed GKT model entries because the paper changes graph construction: Dense, Transition, DKT Graph, PAM, MHA, VAE.</x:v>
      </x:c>
    </x:row>
    <x:row r="11">
      <x:c r="A11" t="str">
        <x:v>Experiment-entry rule</x:v>
      </x:c>
      <x:c r="B11" t="str">
        <x:v>Each of the 6 variants is evaluated on 2 datasets, yielding 12 proposed-method experiment rows for the AUC table.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0" hidden="0" customWidth="1"/>
    <x:col min="4" max="4" width="16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54" hidden="0" customWidth="1"/>
    <x:col min="39" max="39" width="54" hidden="0" customWidth="1"/>
  </x:cols>
  <x:sheetData>
    <x:row r="1">
      <x:c r="A1" s="12" t="str">
        <x:v>paper_id</x:v>
      </x:c>
      <x:c r="B1" s="12" t="str">
        <x:v>legacy_id</x:v>
      </x:c>
      <x:c r="C1" s="12" t="str">
        <x:v>title</x:v>
      </x:c>
      <x:c r="D1" s="12" t="str">
        <x:v>year</x:v>
      </x:c>
      <x:c r="E1" s="12" t="str">
        <x:v>venue</x:v>
      </x:c>
      <x:c r="F1" s="12" t="str">
        <x:v>doi_verified</x:v>
      </x:c>
      <x:c r="G1" s="12" t="str">
        <x:v>item_type</x:v>
      </x:c>
      <x:c r="H1" s="12" t="str">
        <x:v>peer_reviewed</x:v>
      </x:c>
      <x:c r="I1" s="12" t="str">
        <x:v>kt_central_task</x:v>
      </x:c>
      <x:c r="J1" s="12" t="str">
        <x:v>G_criterion</x:v>
      </x:c>
      <x:c r="K1" s="12" t="str">
        <x:v>S_criterion</x:v>
      </x:c>
      <x:c r="L1" s="12" t="str">
        <x:v>primary_gateway_pass</x:v>
      </x:c>
      <x:c r="M1" s="12" t="str">
        <x:v>corpus_status</x:v>
      </x:c>
      <x:c r="N1" s="12" t="str">
        <x:v>role_in_survey</x:v>
      </x:c>
      <x:c r="O1" s="12" t="str">
        <x:v>source_origin</x:v>
      </x:c>
      <x:c r="P1" s="12" t="str">
        <x:v>code_available</x:v>
      </x:c>
      <x:c r="Q1" s="12" t="str">
        <x:v>code_url</x:v>
      </x:c>
      <x:c r="R1" s="12" t="str">
        <x:v>data_available</x:v>
      </x:c>
      <x:c r="S1" s="12" t="str">
        <x:v>config_available</x:v>
      </x:c>
      <x:c r="T1" s="12" t="str">
        <x:v>seed_available</x:v>
      </x:c>
      <x:c r="U1" s="12" t="str">
        <x:v>environment_available</x:v>
      </x:c>
      <x:c r="V1" s="12" t="str">
        <x:v>artifact_archive_available</x:v>
      </x:c>
      <x:c r="W1" s="12" t="str">
        <x:v>QA1</x:v>
      </x:c>
      <x:c r="X1" s="12" t="str">
        <x:v>QA2</x:v>
      </x:c>
      <x:c r="Y1" s="12" t="str">
        <x:v>QA3</x:v>
      </x:c>
      <x:c r="Z1" s="12" t="str">
        <x:v>QA4</x:v>
      </x:c>
      <x:c r="AA1" s="12" t="str">
        <x:v>QA5</x:v>
      </x:c>
      <x:c r="AB1" s="12" t="str">
        <x:v>QA6</x:v>
      </x:c>
      <x:c r="AC1" s="12" t="str">
        <x:v>QA7</x:v>
      </x:c>
      <x:c r="AD1" s="12" t="str">
        <x:v>QA8</x:v>
      </x:c>
      <x:c r="AE1" s="12" t="str">
        <x:v>raw_quality_score</x:v>
      </x:c>
      <x:c r="AF1" s="12" t="str">
        <x:v>applicable_quality_max</x:v>
      </x:c>
      <x:c r="AG1" s="12" t="str">
        <x:v>normalized_quality</x:v>
      </x:c>
      <x:c r="AH1" s="12" t="str">
        <x:v>quality_tier</x:v>
      </x:c>
      <x:c r="AI1" s="12" t="str">
        <x:v>coder_id</x:v>
      </x:c>
      <x:c r="AJ1" s="12" t="str">
        <x:v>coder_confidence</x:v>
      </x:c>
      <x:c r="AK1" s="12" t="str">
        <x:v>evidence_locator</x:v>
      </x:c>
      <x:c r="AL1" s="12" t="str">
        <x:v>evidence_note</x:v>
      </x:c>
      <x:c r="AM1" s="12" t="str">
        <x:v>adjudication_status</x:v>
      </x:c>
    </x:row>
    <x:row r="2">
      <x:c r="A2" s="16" t="str">
        <x:v>PILOT_01</x:v>
      </x:c>
      <x:c r="B2" s="16" t="str">
        <x:v>KT004</x:v>
      </x:c>
      <x:c r="C2" s="16" t="str">
        <x:v>Graph-Based Knowledge Tracing: Modeling Student Proficiency Using Graph Neural Network</x:v>
      </x:c>
      <x:c r="D2" s="16" t="n">
        <x:v>2019</x:v>
      </x:c>
      <x:c r="E2" s="16" t="str">
        <x:v>2019 IEEE/WIC/ACM International Conference on Web Intelligence (WI)</x:v>
      </x:c>
      <x:c r="F2" s="16" t="str">
        <x:v>10.1145/3350546.3352513</x:v>
      </x:c>
      <x:c r="G2" s="16" t="str">
        <x:v>CONFERENCE</x:v>
      </x:c>
      <x:c r="H2" s="16" t="str">
        <x:v>Y</x:v>
      </x:c>
      <x:c r="I2" s="16" t="str">
        <x:v>Y</x:v>
      </x:c>
      <x:c r="J2" s="16" t="str">
        <x:v>Y</x:v>
      </x:c>
      <x:c r="K2" s="16" t="str">
        <x:v>N</x:v>
      </x:c>
      <x:c r="L2" s="16" t="str">
        <x:v>PASS</x:v>
      </x:c>
      <x:c r="M2" s="16" t="str">
        <x:v>PRIMARY_CORE</x:v>
      </x:c>
      <x:c r="N2" s="16" t="str">
        <x:v>GRAPH_KT</x:v>
      </x:c>
      <x:c r="O2" s="16" t="str">
        <x:v>LEGACY_SEED</x:v>
      </x:c>
      <x:c r="P2" s="16" t="str">
        <x:v>NR</x:v>
      </x:c>
      <x:c r="Q2" s="16" t="str"/>
      <x:c r="R2" s="16" t="str">
        <x:v>Y</x:v>
      </x:c>
      <x:c r="S2" s="16" t="str">
        <x:v>NR</x:v>
      </x:c>
      <x:c r="T2" s="16" t="str">
        <x:v>NR</x:v>
      </x:c>
      <x:c r="U2" s="16" t="str">
        <x:v>NR</x:v>
      </x:c>
      <x:c r="V2" s="16" t="str">
        <x:v>NR</x:v>
      </x:c>
      <x:c r="W2" s="16" t="n">
        <x:v>2</x:v>
      </x:c>
      <x:c r="X2" s="16" t="n">
        <x:v>2</x:v>
      </x:c>
      <x:c r="Y2" s="16" t="n">
        <x:v>1</x:v>
      </x:c>
      <x:c r="Z2" s="16" t="n">
        <x:v>2</x:v>
      </x:c>
      <x:c r="AA2" s="16" t="n">
        <x:v>0</x:v>
      </x:c>
      <x:c r="AB2" s="16" t="n">
        <x:v>1</x:v>
      </x:c>
      <x:c r="AC2" s="16" t="str">
        <x:v>NA</x:v>
      </x:c>
      <x:c r="AD2" s="16" t="n">
        <x:v>1</x:v>
      </x:c>
      <x:c r="AE2" s="16" t="n">
        <x:f>SUM(W2:AD2)</x:f>
        <x:v>9</x:v>
      </x:c>
      <x:c r="AF2" s="16" t="n">
        <x:f>COUNT(W2:AD2)*2</x:f>
        <x:v>14</x:v>
      </x:c>
      <x:c r="AG2" s="17" t="n">
        <x:f>IF(AF2=0,"",AE2/AF2)</x:f>
        <x:v>0.6428571428571429</x:v>
      </x:c>
      <x:c r="AH2" s="16" t="str">
        <x:f>IF(AG2="","",IF(AG2&gt;=0.8,"HIGH",IF(AG2&gt;=0.55,"MODERATE","LIMITED")))</x:f>
        <x:v>MODERATE</x:v>
      </x:c>
      <x:c r="AI2" s="16" t="str">
        <x:v>Coder_A_EXAMPLE</x:v>
      </x:c>
      <x:c r="AJ2" s="16" t="str">
        <x:v>HIGH</x:v>
      </x:c>
      <x:c r="AK2" s="16" t="str">
        <x:v>Official metadata + Abstract/Introduction; Sec. 2.1–2.2; Sec. 3; Appendix A–B</x:v>
      </x:c>
      <x:c r="AL2" s="16" t="str">
        <x:v>KT is central; explicit KC graph is central; no SSL objective. Public datasets are named/linked. No author-released code, seeds, environment, or artifact archive is reported in the paper. QA values are provisional for pilot adjudication.</x:v>
      </x:c>
      <x:c r="AM2" s="1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f224a650b0f946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27" hidden="0" customWidth="1"/>
    <x:col min="8" max="8" width="27" hidden="0" customWidth="1"/>
    <x:col min="9" max="9" width="27" hidden="0" customWidth="1"/>
    <x:col min="10" max="10" width="16" hidden="0" customWidth="1"/>
    <x:col min="11" max="11" width="16" hidden="0" customWidth="1"/>
    <x:col min="12" max="12" width="25" hidden="0" customWidth="1"/>
    <x:col min="13" max="13" width="25" hidden="0" customWidth="1"/>
    <x:col min="14" max="14" width="25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8" hidden="0" customWidth="1"/>
    <x:col min="23" max="23" width="16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50" hidden="0" customWidth="1"/>
    <x:col min="47" max="47" width="50" hidden="0" customWidth="1"/>
    <x:col min="48" max="48" width="16" hidden="0" customWidth="1"/>
  </x:cols>
  <x:sheetData>
    <x:row r="1">
      <x:c r="A1" s="23" t="str">
        <x:v>model_entry_id</x:v>
      </x:c>
      <x:c r="B1" s="23" t="str">
        <x:v>paper_id</x:v>
      </x:c>
      <x:c r="C1" s="23" t="str">
        <x:v>legacy_id</x:v>
      </x:c>
      <x:c r="D1" s="23" t="str">
        <x:v>model_name</x:v>
      </x:c>
      <x:c r="E1" s="23" t="str">
        <x:v>graph_source</x:v>
      </x:c>
      <x:c r="F1" s="23" t="str">
        <x:v>graph_source_original</x:v>
      </x:c>
      <x:c r="G1" s="23" t="str">
        <x:v>graph_provenance</x:v>
      </x:c>
      <x:c r="H1" s="23" t="str">
        <x:v>graph_leakage_risk</x:v>
      </x:c>
      <x:c r="I1" s="23" t="str">
        <x:v>graph_construction_summary</x:v>
      </x:c>
      <x:c r="J1" s="23" t="str">
        <x:v>graph_construction_uses_response_labels</x:v>
      </x:c>
      <x:c r="K1" s="23" t="str">
        <x:v>graph_construction_uses_test_partition</x:v>
      </x:c>
      <x:c r="L1" s="23" t="str">
        <x:v>graph_representation</x:v>
      </x:c>
      <x:c r="M1" s="23" t="str">
        <x:v>node_types_original</x:v>
      </x:c>
      <x:c r="N1" s="23" t="str">
        <x:v>edge_types_original</x:v>
      </x:c>
      <x:c r="O1" s="23" t="str">
        <x:v>directed</x:v>
      </x:c>
      <x:c r="P1" s="23" t="str">
        <x:v>weighted</x:v>
      </x:c>
      <x:c r="Q1" s="23" t="str">
        <x:v>typed_edges</x:v>
      </x:c>
      <x:c r="R1" s="23" t="str">
        <x:v>dynamic</x:v>
      </x:c>
      <x:c r="S1" s="23" t="str">
        <x:v>dag_enforced</x:v>
      </x:c>
      <x:c r="T1" s="23" t="str">
        <x:v>edge_confidence_used</x:v>
      </x:c>
      <x:c r="U1" s="23" t="str">
        <x:v>gnn_encoder</x:v>
      </x:c>
      <x:c r="V1" s="23" t="str">
        <x:v>gnn_encoder_original</x:v>
      </x:c>
      <x:c r="W1" s="23" t="str">
        <x:v>num_graph_layers</x:v>
      </x:c>
      <x:c r="X1" s="23" t="str">
        <x:v>message_passing_direction</x:v>
      </x:c>
      <x:c r="Y1" s="23" t="str">
        <x:v>temporal_backbone</x:v>
      </x:c>
      <x:c r="Z1" s="23" t="str">
        <x:v>semantic_auxiliary_encoder</x:v>
      </x:c>
      <x:c r="AA1" s="23" t="str">
        <x:v>fusion_type</x:v>
      </x:c>
      <x:c r="AB1" s="23" t="str">
        <x:v>fusion_location</x:v>
      </x:c>
      <x:c r="AC1" s="23" t="str">
        <x:v>fusion_description_original</x:v>
      </x:c>
      <x:c r="AD1" s="23" t="str">
        <x:v>ssl_family</x:v>
      </x:c>
      <x:c r="AE1" s="23" t="str">
        <x:v>non_ssl_pretraining</x:v>
      </x:c>
      <x:c r="AF1" s="23" t="str">
        <x:v>pretraining_description</x:v>
      </x:c>
      <x:c r="AG1" s="23" t="str">
        <x:v>ssl_training_mode</x:v>
      </x:c>
      <x:c r="AH1" s="23" t="str">
        <x:v>ssl_target_level</x:v>
      </x:c>
      <x:c r="AI1" s="23" t="str">
        <x:v>positive_pair_strategy</x:v>
      </x:c>
      <x:c r="AJ1" s="23" t="str">
        <x:v>negative_pair_strategy</x:v>
      </x:c>
      <x:c r="AK1" s="23" t="str">
        <x:v>ssl_loss_original</x:v>
      </x:c>
      <x:c r="AL1" s="23" t="str">
        <x:v>ssl_weight_reported</x:v>
      </x:c>
      <x:c r="AM1" s="23" t="str">
        <x:v>augmentation_type</x:v>
      </x:c>
      <x:c r="AN1" s="23" t="str">
        <x:v>educational_structure_preservation</x:v>
      </x:c>
      <x:c r="AO1" s="23" t="str">
        <x:v>preserved_property_original</x:v>
      </x:c>
      <x:c r="AP1" s="23" t="str">
        <x:v>augmentation_validity_ablation</x:v>
      </x:c>
      <x:c r="AQ1" s="23" t="str">
        <x:v>coding_basis</x:v>
      </x:c>
      <x:c r="AR1" s="23" t="str">
        <x:v>coder_id</x:v>
      </x:c>
      <x:c r="AS1" s="23" t="str">
        <x:v>coder_confidence</x:v>
      </x:c>
      <x:c r="AT1" s="23" t="str">
        <x:v>evidence_locator</x:v>
      </x:c>
      <x:c r="AU1" s="23" t="str">
        <x:v>evidence_note</x:v>
      </x:c>
      <x:c r="AV1" s="23" t="str">
        <x:v>adjudication_status</x:v>
      </x:c>
    </x:row>
    <x:row r="2">
      <x:c r="A2" s="16" t="str">
        <x:v>PILOT_01_M01</x:v>
      </x:c>
      <x:c r="B2" s="16" t="str">
        <x:v>PILOT_01</x:v>
      </x:c>
      <x:c r="C2" s="16" t="str">
        <x:v>KT004</x:v>
      </x:c>
      <x:c r="D2" s="16" t="str">
        <x:v>GKT-Dense</x:v>
      </x:c>
      <x:c r="E2" s="16" t="str">
        <x:v>OTHER*</x:v>
      </x:c>
      <x:c r="F2" s="16" t="str">
        <x:v>Dense Graph</x:v>
      </x:c>
      <x:c r="G2" s="16" t="str">
        <x:v>MODEL_DEFINED_FIXED*</x:v>
      </x:c>
      <x:c r="H2" s="16" t="str">
        <x:v>LOW</x:v>
      </x:c>
      <x:c r="I2" s="16" t="str">
        <x:v>Uniform dense KC graph: A_ij = 1/(|V|-1) for i != j; zero on diagonal.</x:v>
      </x:c>
      <x:c r="J2" s="16" t="str">
        <x:v>N</x:v>
      </x:c>
      <x:c r="K2" s="16" t="str">
        <x:v>N</x:v>
      </x:c>
      <x:c r="L2" s="16" t="str">
        <x:v>KC_KC</x:v>
      </x:c>
      <x:c r="M2" s="16" t="str">
        <x:v>knowledge concepts / skills</x:v>
      </x:c>
      <x:c r="N2" s="16" t="str">
        <x:v>incoming/outgoing direction functions</x:v>
      </x:c>
      <x:c r="O2" s="16" t="str">
        <x:v>Y</x:v>
      </x:c>
      <x:c r="P2" s="16" t="str">
        <x:v>Y</x:v>
      </x:c>
      <x:c r="Q2" s="16" t="str">
        <x:v>Y</x:v>
      </x:c>
      <x:c r="R2" s="16" t="str">
        <x:v>N</x:v>
      </x:c>
      <x:c r="S2" s="16" t="str">
        <x:v>N</x:v>
      </x:c>
      <x:c r="T2" s="16" t="str">
        <x:v>N</x:v>
      </x:c>
      <x:c r="U2" s="16" t="str">
        <x:v>OTHER</x:v>
      </x:c>
      <x:c r="V2" s="16" t="str">
        <x:v>Custom GKT message passing with MLP f_self/f_outgo/f_income + erase-add gate + GRU</x:v>
      </x:c>
      <x:c r="W2" s="16" t="str">
        <x:v>NA</x:v>
      </x:c>
      <x:c r="X2" s="16" t="str">
        <x:v>answered concept -&gt; neighboring concepts; incoming and outgoing dependency functions are distinguished</x:v>
      </x:c>
      <x:c r="Y2" s="16" t="str">
        <x:v>RNN_LSTM_GRU</x:v>
      </x:c>
      <x:c r="Z2" s="16" t="str">
        <x:v>NA</x:v>
      </x:c>
      <x:c r="AA2" s="16" t="str">
        <x:v>MESSAGE_PASSING_IN_PREDICTION_LOOP</x:v>
      </x:c>
      <x:c r="AB2" s="16" t="str">
        <x:v>HIDDEN_STATE</x:v>
      </x:c>
      <x:c r="AC2" s="16" t="str">
        <x:v>Aggregate answered/neighbor node features, propagate by graph relation, update each concept state with GRU, then predict next correctness.</x:v>
      </x:c>
      <x:c r="AD2" s="16" t="str">
        <x:v>NONE</x:v>
      </x:c>
      <x:c r="AE2" s="16" t="str">
        <x:v>N</x:v>
      </x:c>
      <x:c r="AF2" s="16" t="str">
        <x:v>NA</x:v>
      </x:c>
      <x:c r="AG2" s="16" t="str">
        <x:v>NA</x:v>
      </x:c>
      <x:c r="AH2" s="16" t="str">
        <x:v>NA</x:v>
      </x:c>
      <x:c r="AI2" s="16" t="str">
        <x:v>NA</x:v>
      </x:c>
      <x:c r="AJ2" s="16" t="str">
        <x:v>NA</x:v>
      </x:c>
      <x:c r="AK2" s="16" t="str">
        <x:v>NA</x:v>
      </x:c>
      <x:c r="AL2" s="16" t="str">
        <x:v>NA</x:v>
      </x:c>
      <x:c r="AM2" s="16" t="str">
        <x:v>NO_EXPLICIT_AUGMENTATION</x:v>
      </x:c>
      <x:c r="AN2" s="16" t="str">
        <x:v>NO_AUGMENTATION</x:v>
      </x:c>
      <x:c r="AO2" s="16" t="str">
        <x:v>NA</x:v>
      </x:c>
      <x:c r="AP2" s="16" t="str">
        <x:v>NA</x:v>
      </x:c>
      <x:c r="AQ2" s="16" t="str">
        <x:v>AUTHOR_STATED</x:v>
      </x:c>
      <x:c r="AR2" s="16" t="str">
        <x:v>Coder_A_EXAMPLE</x:v>
      </x:c>
      <x:c r="AS2" s="16" t="str">
        <x:v>HIGH</x:v>
      </x:c>
      <x:c r="AT2" s="16" t="str">
        <x:v>Sec. 2.1; Sec. 2.2 Dense Graph; Appendix B</x:v>
      </x:c>
      <x:c r="AU2" s="16" t="str">
        <x:v>Dense graph is data-independent. `MODEL_DEFINED_FIXED` is a proposed new provenance category discovered during pilot.</x:v>
      </x:c>
      <x:c r="AV2" s="16" t="str">
        <x:v>PENDING</x:v>
      </x:c>
    </x:row>
    <x:row r="3">
      <x:c r="A3" s="16" t="str">
        <x:v>PILOT_01_M02</x:v>
      </x:c>
      <x:c r="B3" s="16" t="str">
        <x:v>PILOT_01</x:v>
      </x:c>
      <x:c r="C3" s="16" t="str">
        <x:v>KT004</x:v>
      </x:c>
      <x:c r="D3" s="16" t="str">
        <x:v>GKT-Transition</x:v>
      </x:c>
      <x:c r="E3" s="16" t="str">
        <x:v>SEQUENTIAL_TRANSITION*</x:v>
      </x:c>
      <x:c r="F3" s="16" t="str">
        <x:v>Transition Graph</x:v>
      </x:c>
      <x:c r="G3" s="16" t="str">
        <x:v>PRECOMPUTED_UNCLEAR_SPLIT</x:v>
      </x:c>
      <x:c r="H3" s="16" t="str">
        <x:v>POTENTIAL</x:v>
      </x:c>
      <x:c r="I3" s="16" t="str">
        <x:v>Directed transition-probability graph; A_ij uses counts of concept j answered immediately after concept i.</x:v>
      </x:c>
      <x:c r="J3" s="16" t="str">
        <x:v>N</x:v>
      </x:c>
      <x:c r="K3" s="16" t="str">
        <x:v>UNCLEAR</x:v>
      </x:c>
      <x:c r="L3" s="16" t="str">
        <x:v>KC_KC</x:v>
      </x:c>
      <x:c r="M3" s="16" t="str">
        <x:v>knowledge concepts / skills</x:v>
      </x:c>
      <x:c r="N3" s="16" t="str">
        <x:v>incoming/outgoing direction functions</x:v>
      </x:c>
      <x:c r="O3" s="16" t="str">
        <x:v>Y</x:v>
      </x:c>
      <x:c r="P3" s="16" t="str">
        <x:v>Y</x:v>
      </x:c>
      <x:c r="Q3" s="16" t="str">
        <x:v>Y</x:v>
      </x:c>
      <x:c r="R3" s="16" t="str">
        <x:v>N</x:v>
      </x:c>
      <x:c r="S3" s="16" t="str">
        <x:v>N</x:v>
      </x:c>
      <x:c r="T3" s="16" t="str">
        <x:v>N</x:v>
      </x:c>
      <x:c r="U3" s="16" t="str">
        <x:v>OTHER</x:v>
      </x:c>
      <x:c r="V3" s="16" t="str">
        <x:v>Custom GKT message passing with transition-weighted MLP messages + erase-add gate + GRU</x:v>
      </x:c>
      <x:c r="W3" s="16" t="str">
        <x:v>NA</x:v>
      </x:c>
      <x:c r="X3" s="16" t="str">
        <x:v>answered concept -&gt; neighboring concepts; incoming and outgoing dependency functions are distinguished</x:v>
      </x:c>
      <x:c r="Y3" s="16" t="str">
        <x:v>RNN_LSTM_GRU</x:v>
      </x:c>
      <x:c r="Z3" s="16" t="str">
        <x:v>NA</x:v>
      </x:c>
      <x:c r="AA3" s="16" t="str">
        <x:v>MESSAGE_PASSING_IN_PREDICTION_LOOP</x:v>
      </x:c>
      <x:c r="AB3" s="16" t="str">
        <x:v>HIDDEN_STATE</x:v>
      </x:c>
      <x:c r="AC3" s="16" t="str">
        <x:v>Aggregate answered/neighbor node features, propagate by graph relation, update each concept state with GRU, then predict next correctness.</x:v>
      </x:c>
      <x:c r="AD3" s="16" t="str">
        <x:v>NONE</x:v>
      </x:c>
      <x:c r="AE3" s="16" t="str">
        <x:v>N</x:v>
      </x:c>
      <x:c r="AF3" s="16" t="str">
        <x:v>NA</x:v>
      </x:c>
      <x:c r="AG3" s="16" t="str">
        <x:v>NA</x:v>
      </x:c>
      <x:c r="AH3" s="16" t="str">
        <x:v>NA</x:v>
      </x:c>
      <x:c r="AI3" s="16" t="str">
        <x:v>NA</x:v>
      </x:c>
      <x:c r="AJ3" s="16" t="str">
        <x:v>NA</x:v>
      </x:c>
      <x:c r="AK3" s="16" t="str">
        <x:v>NA</x:v>
      </x:c>
      <x:c r="AL3" s="16" t="str">
        <x:v>NA</x:v>
      </x:c>
      <x:c r="AM3" s="16" t="str">
        <x:v>NO_EXPLICIT_AUGMENTATION</x:v>
      </x:c>
      <x:c r="AN3" s="16" t="str">
        <x:v>NO_AUGMENTATION</x:v>
      </x:c>
      <x:c r="AO3" s="16" t="str">
        <x:v>NA</x:v>
      </x:c>
      <x:c r="AP3" s="16" t="str">
        <x:v>NA</x:v>
      </x:c>
      <x:c r="AQ3" s="16" t="str">
        <x:v>AUTHOR_STATED + REVIEWER_INFERRED</x:v>
      </x:c>
      <x:c r="AR3" s="16" t="str">
        <x:v>Coder_A_EXAMPLE</x:v>
      </x:c>
      <x:c r="AS3" s="16" t="str">
        <x:v>HIGH</x:v>
      </x:c>
      <x:c r="AT3" s="16" t="str">
        <x:v>Sec. 2.2 Transition Graph; Appendix B split</x:v>
      </x:c>
      <x:c r="AU3" s="16" t="str">
        <x:v>Paper defines transition counts but does not explicitly say whether this precomputed graph is built from training students only; leakage risk therefore coded POTENTIAL.</x:v>
      </x:c>
      <x:c r="AV3" s="16" t="str">
        <x:v>PENDING</x:v>
      </x:c>
    </x:row>
    <x:row r="4">
      <x:c r="A4" s="16" t="str">
        <x:v>PILOT_01_M03</x:v>
      </x:c>
      <x:c r="B4" s="16" t="str">
        <x:v>PILOT_01</x:v>
      </x:c>
      <x:c r="C4" s="16" t="str">
        <x:v>KT004</x:v>
      </x:c>
      <x:c r="D4" s="16" t="str">
        <x:v>GKT-DKTGraph</x:v>
      </x:c>
      <x:c r="E4" s="16" t="str">
        <x:v>LEARNED_FROM_INTERACTIONS</x:v>
      </x:c>
      <x:c r="F4" s="16" t="str">
        <x:v>DKT Graph</x:v>
      </x:c>
      <x:c r="G4" s="16" t="str">
        <x:v>PRECOMPUTED_UNCLEAR_SPLIT</x:v>
      </x:c>
      <x:c r="H4" s="16" t="str">
        <x:v>POTENTIAL</x:v>
      </x:c>
      <x:c r="I4" s="16" t="str">
        <x:v>Graph generated from conditional prediction probabilities of a trained DKT model.</x:v>
      </x:c>
      <x:c r="J4" s="16" t="str">
        <x:v>Y</x:v>
      </x:c>
      <x:c r="K4" s="16" t="str">
        <x:v>UNCLEAR</x:v>
      </x:c>
      <x:c r="L4" s="16" t="str">
        <x:v>KC_KC</x:v>
      </x:c>
      <x:c r="M4" s="16" t="str">
        <x:v>knowledge concepts / skills</x:v>
      </x:c>
      <x:c r="N4" s="16" t="str">
        <x:v>incoming/outgoing direction functions</x:v>
      </x:c>
      <x:c r="O4" s="16" t="str">
        <x:v>Y</x:v>
      </x:c>
      <x:c r="P4" s="16" t="str">
        <x:v>Y</x:v>
      </x:c>
      <x:c r="Q4" s="16" t="str">
        <x:v>Y</x:v>
      </x:c>
      <x:c r="R4" s="16" t="str">
        <x:v>N</x:v>
      </x:c>
      <x:c r="S4" s="16" t="str">
        <x:v>N</x:v>
      </x:c>
      <x:c r="T4" s="16" t="str">
        <x:v>N</x:v>
      </x:c>
      <x:c r="U4" s="16" t="str">
        <x:v>OTHER</x:v>
      </x:c>
      <x:c r="V4" s="16" t="str">
        <x:v>Custom GKT message passing with DKT-derived adjacency + erase-add gate + GRU</x:v>
      </x:c>
      <x:c r="W4" s="16" t="str">
        <x:v>NA</x:v>
      </x:c>
      <x:c r="X4" s="16" t="str">
        <x:v>answered concept -&gt; neighboring concepts; incoming and outgoing dependency functions are distinguished</x:v>
      </x:c>
      <x:c r="Y4" s="16" t="str">
        <x:v>RNN_LSTM_GRU</x:v>
      </x:c>
      <x:c r="Z4" s="16" t="str">
        <x:v>NA</x:v>
      </x:c>
      <x:c r="AA4" s="16" t="str">
        <x:v>MESSAGE_PASSING_IN_PREDICTION_LOOP</x:v>
      </x:c>
      <x:c r="AB4" s="16" t="str">
        <x:v>HIDDEN_STATE</x:v>
      </x:c>
      <x:c r="AC4" s="16" t="str">
        <x:v>Aggregate answered/neighbor node features, propagate by graph relation, update each concept state with GRU, then predict next correctness.</x:v>
      </x:c>
      <x:c r="AD4" s="16" t="str">
        <x:v>NONE</x:v>
      </x:c>
      <x:c r="AE4" s="16" t="str">
        <x:v>N</x:v>
      </x:c>
      <x:c r="AF4" s="16" t="str">
        <x:v>NA</x:v>
      </x:c>
      <x:c r="AG4" s="16" t="str">
        <x:v>NA</x:v>
      </x:c>
      <x:c r="AH4" s="16" t="str">
        <x:v>NA</x:v>
      </x:c>
      <x:c r="AI4" s="16" t="str">
        <x:v>NA</x:v>
      </x:c>
      <x:c r="AJ4" s="16" t="str">
        <x:v>NA</x:v>
      </x:c>
      <x:c r="AK4" s="16" t="str">
        <x:v>NA</x:v>
      </x:c>
      <x:c r="AL4" s="16" t="str">
        <x:v>NA</x:v>
      </x:c>
      <x:c r="AM4" s="16" t="str">
        <x:v>NO_EXPLICIT_AUGMENTATION</x:v>
      </x:c>
      <x:c r="AN4" s="16" t="str">
        <x:v>NO_AUGMENTATION</x:v>
      </x:c>
      <x:c r="AO4" s="16" t="str">
        <x:v>NA</x:v>
      </x:c>
      <x:c r="AP4" s="16" t="str">
        <x:v>NA</x:v>
      </x:c>
      <x:c r="AQ4" s="16" t="str">
        <x:v>AUTHOR_STATED + REVIEWER_INFERRED</x:v>
      </x:c>
      <x:c r="AR4" s="16" t="str">
        <x:v>Coder_A_EXAMPLE</x:v>
      </x:c>
      <x:c r="AS4" s="16" t="str">
        <x:v>HIGH</x:v>
      </x:c>
      <x:c r="AT4" s="16" t="str">
        <x:v>Sec. 2.2 DKT Graph; Appendix B split</x:v>
      </x:c>
      <x:c r="AU4" s="16" t="str">
        <x:v>The graph is based on a trained DKT model, hence response outcomes influence it indirectly. The exact partition used to extract the DKT graph is not explicitly stated in the graph-construction paragraph.</x:v>
      </x:c>
      <x:c r="AV4" s="16" t="str">
        <x:v>PENDING</x:v>
      </x:c>
    </x:row>
    <x:row r="5">
      <x:c r="A5" s="16" t="str">
        <x:v>PILOT_01_M04</x:v>
      </x:c>
      <x:c r="B5" s="16" t="str">
        <x:v>PILOT_01</x:v>
      </x:c>
      <x:c r="C5" s="16" t="str">
        <x:v>KT004</x:v>
      </x:c>
      <x:c r="D5" s="16" t="str">
        <x:v>GKT-PAM</x:v>
      </x:c>
      <x:c r="E5" s="16" t="str">
        <x:v>LEARNED_FROM_INTERACTIONS</x:v>
      </x:c>
      <x:c r="F5" s="16" t="str">
        <x:v>Parametric Adjacency Matrix (PAM)</x:v>
      </x:c>
      <x:c r="G5" s="16" t="str">
        <x:v>JOINTLY_LEARNED_TRAINING</x:v>
      </x:c>
      <x:c r="H5" s="16" t="str">
        <x:v>LOW</x:v>
      </x:c>
      <x:c r="I5" s="16" t="str">
        <x:v>Adjacency matrix is directly parameterized and optimized jointly with KT prediction parameters.</x:v>
      </x:c>
      <x:c r="J5" s="16" t="str">
        <x:v>Y</x:v>
      </x:c>
      <x:c r="K5" s="16" t="str">
        <x:v>N</x:v>
      </x:c>
      <x:c r="L5" s="16" t="str">
        <x:v>KC_KC</x:v>
      </x:c>
      <x:c r="M5" s="16" t="str">
        <x:v>knowledge concepts / skills</x:v>
      </x:c>
      <x:c r="N5" s="16" t="str">
        <x:v>incoming/outgoing direction functions</x:v>
      </x:c>
      <x:c r="O5" s="16" t="str">
        <x:v>Y</x:v>
      </x:c>
      <x:c r="P5" s="16" t="str">
        <x:v>Y</x:v>
      </x:c>
      <x:c r="Q5" s="16" t="str">
        <x:v>Y</x:v>
      </x:c>
      <x:c r="R5" s="16" t="str">
        <x:v>N</x:v>
      </x:c>
      <x:c r="S5" s="16" t="str">
        <x:v>N</x:v>
      </x:c>
      <x:c r="T5" s="16" t="str">
        <x:v>N</x:v>
      </x:c>
      <x:c r="U5" s="16" t="str">
        <x:v>OTHER</x:v>
      </x:c>
      <x:c r="V5" s="16" t="str">
        <x:v>Custom GKT message passing with learned parametric adjacency + erase-add gate + GRU</x:v>
      </x:c>
      <x:c r="W5" s="16" t="str">
        <x:v>NA</x:v>
      </x:c>
      <x:c r="X5" s="16" t="str">
        <x:v>answered concept -&gt; neighboring concepts; incoming and outgoing dependency functions are distinguished</x:v>
      </x:c>
      <x:c r="Y5" s="16" t="str">
        <x:v>RNN_LSTM_GRU</x:v>
      </x:c>
      <x:c r="Z5" s="16" t="str">
        <x:v>NA</x:v>
      </x:c>
      <x:c r="AA5" s="16" t="str">
        <x:v>MESSAGE_PASSING_IN_PREDICTION_LOOP</x:v>
      </x:c>
      <x:c r="AB5" s="16" t="str">
        <x:v>HIDDEN_STATE</x:v>
      </x:c>
      <x:c r="AC5" s="16" t="str">
        <x:v>Aggregate answered/neighbor node features, propagate by graph relation, update each concept state with GRU, then predict next correctness.</x:v>
      </x:c>
      <x:c r="AD5" s="16" t="str">
        <x:v>NONE</x:v>
      </x:c>
      <x:c r="AE5" s="16" t="str">
        <x:v>N</x:v>
      </x:c>
      <x:c r="AF5" s="16" t="str">
        <x:v>NA</x:v>
      </x:c>
      <x:c r="AG5" s="16" t="str">
        <x:v>NA</x:v>
      </x:c>
      <x:c r="AH5" s="16" t="str">
        <x:v>NA</x:v>
      </x:c>
      <x:c r="AI5" s="16" t="str">
        <x:v>NA</x:v>
      </x:c>
      <x:c r="AJ5" s="16" t="str">
        <x:v>NA</x:v>
      </x:c>
      <x:c r="AK5" s="16" t="str">
        <x:v>NA</x:v>
      </x:c>
      <x:c r="AL5" s="16" t="str">
        <x:v>NA</x:v>
      </x:c>
      <x:c r="AM5" s="16" t="str">
        <x:v>NO_EXPLICIT_AUGMENTATION</x:v>
      </x:c>
      <x:c r="AN5" s="16" t="str">
        <x:v>NO_AUGMENTATION</x:v>
      </x:c>
      <x:c r="AO5" s="16" t="str">
        <x:v>NA</x:v>
      </x:c>
      <x:c r="AP5" s="16" t="str">
        <x:v>NA</x:v>
      </x:c>
      <x:c r="AQ5" s="16" t="str">
        <x:v>AUTHOR_STATED</x:v>
      </x:c>
      <x:c r="AR5" s="16" t="str">
        <x:v>Coder_A_EXAMPLE</x:v>
      </x:c>
      <x:c r="AS5" s="16" t="str">
        <x:v>HIGH</x:v>
      </x:c>
      <x:c r="AT5" s="16" t="str">
        <x:v>Sec. 2.2 PAM; Sec. 2.1 NLL; Appendix B split</x:v>
      </x:c>
      <x:c r="AU5" s="16" t="str">
        <x:v>PAM is jointly optimized under the KT training loss. The paper states models are trained on training-student data with validation-student tuning.</x:v>
      </x:c>
      <x:c r="AV5" s="16" t="str">
        <x:v>PENDING</x:v>
      </x:c>
    </x:row>
    <x:row r="6">
      <x:c r="A6" s="16" t="str">
        <x:v>PILOT_01_M05</x:v>
      </x:c>
      <x:c r="B6" s="16" t="str">
        <x:v>PILOT_01</x:v>
      </x:c>
      <x:c r="C6" s="16" t="str">
        <x:v>KT004</x:v>
      </x:c>
      <x:c r="D6" s="16" t="str">
        <x:v>GKT-MHA</x:v>
      </x:c>
      <x:c r="E6" s="16" t="str">
        <x:v>LEARNED_FROM_INTERACTIONS</x:v>
      </x:c>
      <x:c r="F6" s="16" t="str">
        <x:v>Multi-head Attention (MHA)</x:v>
      </x:c>
      <x:c r="G6" s="16" t="str">
        <x:v>JOINTLY_LEARNED_TRAINING</x:v>
      </x:c>
      <x:c r="H6" s="16" t="str">
        <x:v>LOW</x:v>
      </x:c>
      <x:c r="I6" s="16" t="str">
        <x:v>Multi-head attention infers edge weights between concept nodes from static node features.</x:v>
      </x:c>
      <x:c r="J6" s="16" t="str">
        <x:v>Y</x:v>
      </x:c>
      <x:c r="K6" s="16" t="str">
        <x:v>N</x:v>
      </x:c>
      <x:c r="L6" s="16" t="str">
        <x:v>KC_KC</x:v>
      </x:c>
      <x:c r="M6" s="16" t="str">
        <x:v>knowledge concepts / skills</x:v>
      </x:c>
      <x:c r="N6" s="16" t="str">
        <x:v>attention heads; not coded as semantic relation types</x:v>
      </x:c>
      <x:c r="O6" s="16" t="str">
        <x:v>Y</x:v>
      </x:c>
      <x:c r="P6" s="16" t="str">
        <x:v>Y</x:v>
      </x:c>
      <x:c r="Q6" s="16" t="str">
        <x:v>N</x:v>
      </x:c>
      <x:c r="R6" s="16" t="str">
        <x:v>N</x:v>
      </x:c>
      <x:c r="S6" s="16" t="str">
        <x:v>N</x:v>
      </x:c>
      <x:c r="T6" s="16" t="str">
        <x:v>N</x:v>
      </x:c>
      <x:c r="U6" s="16" t="str">
        <x:v>GRAPH_ATTENTION_HYBRID</x:v>
      </x:c>
      <x:c r="V6" s="16" t="str">
        <x:v>MHA edge-weight inference + head-specific message functions + erase-add gate + GRU</x:v>
      </x:c>
      <x:c r="W6" s="16" t="str">
        <x:v>NA</x:v>
      </x:c>
      <x:c r="X6" s="16" t="str">
        <x:v>answered concept -&gt; neighboring concepts; incoming and outgoing dependency functions are distinguished</x:v>
      </x:c>
      <x:c r="Y6" s="16" t="str">
        <x:v>RNN_LSTM_GRU</x:v>
      </x:c>
      <x:c r="Z6" s="16" t="str">
        <x:v>NA</x:v>
      </x:c>
      <x:c r="AA6" s="16" t="str">
        <x:v>MESSAGE_PASSING_IN_PREDICTION_LOOP</x:v>
      </x:c>
      <x:c r="AB6" s="16" t="str">
        <x:v>HIDDEN_STATE</x:v>
      </x:c>
      <x:c r="AC6" s="16" t="str">
        <x:v>Aggregate answered/neighbor node features, propagate by graph relation, update each concept state with GRU, then predict next correctness.</x:v>
      </x:c>
      <x:c r="AD6" s="16" t="str">
        <x:v>NONE</x:v>
      </x:c>
      <x:c r="AE6" s="16" t="str">
        <x:v>N</x:v>
      </x:c>
      <x:c r="AF6" s="16" t="str">
        <x:v>NA</x:v>
      </x:c>
      <x:c r="AG6" s="16" t="str">
        <x:v>NA</x:v>
      </x:c>
      <x:c r="AH6" s="16" t="str">
        <x:v>NA</x:v>
      </x:c>
      <x:c r="AI6" s="16" t="str">
        <x:v>NA</x:v>
      </x:c>
      <x:c r="AJ6" s="16" t="str">
        <x:v>NA</x:v>
      </x:c>
      <x:c r="AK6" s="16" t="str">
        <x:v>NA</x:v>
      </x:c>
      <x:c r="AL6" s="16" t="str">
        <x:v>NA</x:v>
      </x:c>
      <x:c r="AM6" s="16" t="str">
        <x:v>NO_EXPLICIT_AUGMENTATION</x:v>
      </x:c>
      <x:c r="AN6" s="16" t="str">
        <x:v>NO_AUGMENTATION</x:v>
      </x:c>
      <x:c r="AO6" s="16" t="str">
        <x:v>NA</x:v>
      </x:c>
      <x:c r="AP6" s="16" t="str">
        <x:v>NA</x:v>
      </x:c>
      <x:c r="AQ6" s="16" t="str">
        <x:v>AUTHOR_STATED</x:v>
      </x:c>
      <x:c r="AR6" s="16" t="str">
        <x:v>Coder_A_EXAMPLE</x:v>
      </x:c>
      <x:c r="AS6" s="16" t="str">
        <x:v>HIGH</x:v>
      </x:c>
      <x:c r="AT6" s="16" t="str">
        <x:v>Sec. 2.2 MHA; Sec. 2.1 NLL; Appendix B</x:v>
      </x:c>
      <x:c r="AU6" s="16" t="str">
        <x:v>MHA learns edge weights end-to-end. Attention heads are not treated as typed educational relations.</x:v>
      </x:c>
      <x:c r="AV6" s="16" t="str">
        <x:v>PENDING</x:v>
      </x:c>
    </x:row>
    <x:row r="7">
      <x:c r="A7" s="16" t="str">
        <x:v>PILOT_01_M06</x:v>
      </x:c>
      <x:c r="B7" s="16" t="str">
        <x:v>PILOT_01</x:v>
      </x:c>
      <x:c r="C7" s="16" t="str">
        <x:v>KT004</x:v>
      </x:c>
      <x:c r="D7" s="16" t="str">
        <x:v>GKT-VAE</x:v>
      </x:c>
      <x:c r="E7" s="16" t="str">
        <x:v>LEARNED_FROM_INTERACTIONS</x:v>
      </x:c>
      <x:c r="F7" s="16" t="str">
        <x:v>Variational Autoencoder (VAE) / NRI-inspired edge inference</x:v>
      </x:c>
      <x:c r="G7" s="16" t="str">
        <x:v>JOINTLY_LEARNED_TRAINING</x:v>
      </x:c>
      <x:c r="H7" s="16" t="str">
        <x:v>LOW</x:v>
      </x:c>
      <x:c r="I7" s="16" t="str">
        <x:v>Discrete latent edge types are inferred from node features with Gumbel-Softmax; one type represents non-edge; loss combines KT NLL and KL divergence.</x:v>
      </x:c>
      <x:c r="J7" s="16" t="str">
        <x:v>Y</x:v>
      </x:c>
      <x:c r="K7" s="16" t="str">
        <x:v>N</x:v>
      </x:c>
      <x:c r="L7" s="16" t="str">
        <x:v>KC_KC</x:v>
      </x:c>
      <x:c r="M7" s="16" t="str">
        <x:v>knowledge concepts / skills</x:v>
      </x:c>
      <x:c r="N7" s="16" t="str">
        <x:v>K latent edge types; one is non-edge</x:v>
      </x:c>
      <x:c r="O7" s="16" t="str">
        <x:v>Y</x:v>
      </x:c>
      <x:c r="P7" s="16" t="str">
        <x:v>UNCLEAR</x:v>
      </x:c>
      <x:c r="Q7" s="16" t="str">
        <x:v>Y</x:v>
      </x:c>
      <x:c r="R7" s="16" t="str">
        <x:v>N</x:v>
      </x:c>
      <x:c r="S7" s="16" t="str">
        <x:v>N</x:v>
      </x:c>
      <x:c r="T7" s="16" t="str">
        <x:v>N</x:v>
      </x:c>
      <x:c r="U7" s="16" t="str">
        <x:v>OTHER</x:v>
      </x:c>
      <x:c r="V7" s="16" t="str">
        <x:v>NRI/VAE-inspired latent edge-type inference + type-specific message functions + erase-add gate + GRU</x:v>
      </x:c>
      <x:c r="W7" s="16" t="str">
        <x:v>NA</x:v>
      </x:c>
      <x:c r="X7" s="16" t="str">
        <x:v>answered concept -&gt; neighboring concepts; incoming and outgoing dependency functions are distinguished</x:v>
      </x:c>
      <x:c r="Y7" s="16" t="str">
        <x:v>RNN_LSTM_GRU</x:v>
      </x:c>
      <x:c r="Z7" s="16" t="str">
        <x:v>NA</x:v>
      </x:c>
      <x:c r="AA7" s="16" t="str">
        <x:v>MESSAGE_PASSING_IN_PREDICTION_LOOP</x:v>
      </x:c>
      <x:c r="AB7" s="16" t="str">
        <x:v>HIDDEN_STATE</x:v>
      </x:c>
      <x:c r="AC7" s="16" t="str">
        <x:v>Aggregate answered/neighbor node features, propagate by graph relation, update each concept state with GRU, then predict next correctness.</x:v>
      </x:c>
      <x:c r="AD7" s="16" t="str">
        <x:v>NONE</x:v>
      </x:c>
      <x:c r="AE7" s="16" t="str">
        <x:v>N</x:v>
      </x:c>
      <x:c r="AF7" s="16" t="str">
        <x:v>NA</x:v>
      </x:c>
      <x:c r="AG7" s="16" t="str">
        <x:v>NA</x:v>
      </x:c>
      <x:c r="AH7" s="16" t="str">
        <x:v>NA</x:v>
      </x:c>
      <x:c r="AI7" s="16" t="str">
        <x:v>NA</x:v>
      </x:c>
      <x:c r="AJ7" s="16" t="str">
        <x:v>NA</x:v>
      </x:c>
      <x:c r="AK7" s="16" t="str">
        <x:v>NA</x:v>
      </x:c>
      <x:c r="AL7" s="16" t="str">
        <x:v>NA</x:v>
      </x:c>
      <x:c r="AM7" s="16" t="str">
        <x:v>NO_EXPLICIT_AUGMENTATION</x:v>
      </x:c>
      <x:c r="AN7" s="16" t="str">
        <x:v>NO_AUGMENTATION</x:v>
      </x:c>
      <x:c r="AO7" s="16" t="str">
        <x:v>NA</x:v>
      </x:c>
      <x:c r="AP7" s="16" t="str">
        <x:v>NA</x:v>
      </x:c>
      <x:c r="AQ7" s="16" t="str">
        <x:v>AUTHOR_STATED</x:v>
      </x:c>
      <x:c r="AR7" s="16" t="str">
        <x:v>Coder_A_EXAMPLE</x:v>
      </x:c>
      <x:c r="AS7" s="16" t="str">
        <x:v>HIGH</x:v>
      </x:c>
      <x:c r="AT7" s="16" t="str">
        <x:v>Sec. 2.2 VAE; Sec. 2.1 NLL; Appendix B</x:v>
      </x:c>
      <x:c r="AU7" s="16" t="str">
        <x:v>VAE uses a KL term, but this is not coded as SSL under the locked definition because it is part of joint latent-graph inference rather than a separate self-supervised/pretext task.</x:v>
      </x:c>
      <x:c r="AV7" s="1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22195698d50946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8" hidden="0" customWidth="1"/>
    <x:col min="30" max="30" width="28" hidden="0" customWidth="1"/>
    <x:col min="31" max="31" width="28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20" hidden="0" customWidth="1"/>
    <x:col min="43" max="43" width="20" hidden="0" customWidth="1"/>
    <x:col min="44" max="44" width="20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52" hidden="0" customWidth="1"/>
    <x:col min="72" max="72" width="52" hidden="0" customWidth="1"/>
    <x:col min="73" max="73" width="15" hidden="0" customWidth="1"/>
  </x:cols>
  <x:sheetData>
    <x:row r="1">
      <x:c r="A1" s="31" t="str">
        <x:v>experiment_id</x:v>
      </x:c>
      <x:c r="B1" s="31" t="str">
        <x:v>paper_id</x:v>
      </x:c>
      <x:c r="C1" s="31" t="str">
        <x:v>model_entry_id</x:v>
      </x:c>
      <x:c r="D1" s="31" t="str">
        <x:v>dataset_name</x:v>
      </x:c>
      <x:c r="E1" s="31" t="str">
        <x:v>dataset_version</x:v>
      </x:c>
      <x:c r="F1" s="31" t="str">
        <x:v>dataset_source</x:v>
      </x:c>
      <x:c r="G1" s="31" t="str">
        <x:v>n_learners_reported</x:v>
      </x:c>
      <x:c r="H1" s="31" t="str">
        <x:v>n_items_reported</x:v>
      </x:c>
      <x:c r="I1" s="31" t="str">
        <x:v>n_kcs_reported</x:v>
      </x:c>
      <x:c r="J1" s="31" t="str">
        <x:v>n_interactions_reported</x:v>
      </x:c>
      <x:c r="K1" s="31" t="str">
        <x:v>multi_skill_present</x:v>
      </x:c>
      <x:c r="L1" s="31" t="str">
        <x:v>multi_skill_handling</x:v>
      </x:c>
      <x:c r="M1" s="31" t="str">
        <x:v>sequence_truncation</x:v>
      </x:c>
      <x:c r="N1" s="31" t="str">
        <x:v>min_sequence_filter</x:v>
      </x:c>
      <x:c r="O1" s="31" t="str">
        <x:v>timestamp_used</x:v>
      </x:c>
      <x:c r="P1" s="31" t="str">
        <x:v>preprocessing_code_available</x:v>
      </x:c>
      <x:c r="Q1" s="31" t="str">
        <x:v>split_type</x:v>
      </x:c>
      <x:c r="R1" s="31" t="str">
        <x:v>split_unit_original</x:v>
      </x:c>
      <x:c r="S1" s="31" t="str">
        <x:v>train_fraction</x:v>
      </x:c>
      <x:c r="T1" s="31" t="str">
        <x:v>validation_fraction</x:v>
      </x:c>
      <x:c r="U1" s="31" t="str">
        <x:v>test_fraction</x:v>
      </x:c>
      <x:c r="V1" s="31" t="str">
        <x:v>validation_set_separate</x:v>
      </x:c>
      <x:c r="W1" s="31" t="str">
        <x:v>early_stopping_validation_only</x:v>
      </x:c>
      <x:c r="X1" s="31" t="str">
        <x:v>graph_train_only</x:v>
      </x:c>
      <x:c r="Y1" s="31" t="str">
        <x:v>normalization_train_only</x:v>
      </x:c>
      <x:c r="Z1" s="31" t="str">
        <x:v>sparse_strata_train_only</x:v>
      </x:c>
      <x:c r="AA1" s="31" t="str">
        <x:v>temporal_alignment_audited</x:v>
      </x:c>
      <x:c r="AB1" s="31" t="str">
        <x:v>duplicate_entity_leakage_checked</x:v>
      </x:c>
      <x:c r="AC1" s="31" t="str">
        <x:v>sparsity_construct</x:v>
      </x:c>
      <x:c r="AD1" s="31" t="str">
        <x:v>sparse_definition_original</x:v>
      </x:c>
      <x:c r="AE1" s="31" t="str">
        <x:v>sparse_threshold_original</x:v>
      </x:c>
      <x:c r="AF1" s="31" t="str">
        <x:v>threshold_source</x:v>
      </x:c>
      <x:c r="AG1" s="31" t="str">
        <x:v>frequency_computed_on</x:v>
      </x:c>
      <x:c r="AH1" s="31" t="str">
        <x:v>strict_zero_train_verified</x:v>
      </x:c>
      <x:c r="AI1" s="31" t="str">
        <x:v>external_info_for_unseen_kc</x:v>
      </x:c>
      <x:c r="AJ1" s="31" t="str">
        <x:v>support_kcs</x:v>
      </x:c>
      <x:c r="AK1" s="31" t="str">
        <x:v>support_learners</x:v>
      </x:c>
      <x:c r="AL1" s="31" t="str">
        <x:v>support_items</x:v>
      </x:c>
      <x:c r="AM1" s="31" t="str">
        <x:v>support_test_interactions</x:v>
      </x:c>
      <x:c r="AN1" s="31" t="str">
        <x:v>positive_count</x:v>
      </x:c>
      <x:c r="AO1" s="31" t="str">
        <x:v>negative_count</x:v>
      </x:c>
      <x:c r="AP1" s="31" t="str">
        <x:v>metric_name_original</x:v>
      </x:c>
      <x:c r="AQ1" s="31" t="str">
        <x:v>metric_value_original</x:v>
      </x:c>
      <x:c r="AR1" s="31" t="str">
        <x:v>metric_scope</x:v>
      </x:c>
      <x:c r="AS1" s="31" t="str">
        <x:v>n_seeds</x:v>
      </x:c>
      <x:c r="AT1" s="31" t="str">
        <x:v>seed_values_reported</x:v>
      </x:c>
      <x:c r="AU1" s="31" t="str">
        <x:v>mean_std_reported</x:v>
      </x:c>
      <x:c r="AV1" s="31" t="str">
        <x:v>confidence_interval</x:v>
      </x:c>
      <x:c r="AW1" s="31" t="str">
        <x:v>bootstrap_unit</x:v>
      </x:c>
      <x:c r="AX1" s="31" t="str">
        <x:v>statistical_test</x:v>
      </x:c>
      <x:c r="AY1" s="31" t="str">
        <x:v>multiple_comparison_correction</x:v>
      </x:c>
      <x:c r="AZ1" s="31" t="str">
        <x:v>effect_size</x:v>
      </x:c>
      <x:c r="BA1" s="31" t="str">
        <x:v>paired_design</x:v>
      </x:c>
      <x:c r="BB1" s="31" t="str">
        <x:v>significance_threshold</x:v>
      </x:c>
      <x:c r="BC1" s="31" t="str">
        <x:v>parameter_count</x:v>
      </x:c>
      <x:c r="BD1" s="31" t="str">
        <x:v>train_time</x:v>
      </x:c>
      <x:c r="BE1" s="31" t="str">
        <x:v>time_per_epoch</x:v>
      </x:c>
      <x:c r="BF1" s="31" t="str">
        <x:v>inference_latency</x:v>
      </x:c>
      <x:c r="BG1" s="31" t="str">
        <x:v>throughput</x:v>
      </x:c>
      <x:c r="BH1" s="31" t="str">
        <x:v>cpu_ram</x:v>
      </x:c>
      <x:c r="BI1" s="31" t="str">
        <x:v>gpu_vram</x:v>
      </x:c>
      <x:c r="BJ1" s="31" t="str">
        <x:v>hardware</x:v>
      </x:c>
      <x:c r="BK1" s="31" t="str">
        <x:v>graph_construction_time</x:v>
      </x:c>
      <x:c r="BL1" s="31" t="str">
        <x:v>complexity_formula</x:v>
      </x:c>
      <x:c r="BM1" s="31" t="str">
        <x:v>scale_up_experiment</x:v>
      </x:c>
      <x:c r="BN1" s="31" t="str">
        <x:v>oom_timeout_reported</x:v>
      </x:c>
      <x:c r="BO1" s="31" t="str">
        <x:v>coding_basis</x:v>
      </x:c>
      <x:c r="BP1" s="31" t="str">
        <x:v>coder_id</x:v>
      </x:c>
      <x:c r="BQ1" s="31" t="str">
        <x:v>coder_confidence</x:v>
      </x:c>
      <x:c r="BR1" s="31" t="str">
        <x:v>evidence_locator</x:v>
      </x:c>
      <x:c r="BS1" s="31" t="str">
        <x:v>evidence_note</x:v>
      </x:c>
      <x:c r="BT1" s="31" t="str">
        <x:v>adjudication_status</x:v>
      </x:c>
      <x:c r="BU1" s="31"/>
    </x:row>
    <x:row r="2">
      <x:c r="A2" s="16" t="str">
        <x:v>PILOT_01_E01</x:v>
      </x:c>
      <x:c r="B2" s="16" t="str">
        <x:v>PILOT_01</x:v>
      </x:c>
      <x:c r="C2" s="16" t="str">
        <x:v>PILOT_01_M01</x:v>
      </x:c>
      <x:c r="D2" s="16" t="str">
        <x:v>ASSISTments</x:v>
      </x:c>
      <x:c r="E2" s="16" t="str">
        <x:v>2009-2010 Skill Builder</x:v>
      </x:c>
      <x:c r="F2" s="16" t="str">
        <x:v>ASSISTments public data</x:v>
      </x:c>
      <x:c r="G2" s="16" t="n">
        <x:v>1000</x:v>
      </x:c>
      <x:c r="H2" s="16" t="str">
        <x:v>NR</x:v>
      </x:c>
      <x:c r="I2" s="16" t="n">
        <x:v>101</x:v>
      </x:c>
      <x:c r="J2" s="16" t="n">
        <x:v>62955</x:v>
      </x:c>
      <x:c r="K2" s="16" t="str">
        <x:v>UNCLEAR</x:v>
      </x:c>
      <x:c r="L2" s="16" t="str">
        <x:v>Combine simultaneous answer logs into one; extract named skill tags</x:v>
      </x:c>
      <x:c r="M2" s="16" t="str">
        <x:v>NR</x:v>
      </x:c>
      <x:c r="N2" s="16" t="str">
        <x:v>NR</x:v>
      </x:c>
      <x:c r="O2" s="16" t="str">
        <x:v>UNCLEAR</x:v>
      </x:c>
      <x:c r="P2" s="16" t="str">
        <x:v>NR</x:v>
      </x:c>
      <x:c r="Q2" s="16" t="str">
        <x:v>LEARNER_BASED</x:v>
      </x:c>
      <x:c r="R2" s="16" t="str">
        <x:v>students</x:v>
      </x:c>
      <x:c r="S2" s="36" t="n">
        <x:v>0.8</x:v>
      </x:c>
      <x:c r="T2" s="36" t="n">
        <x:v>0.1</x:v>
      </x:c>
      <x:c r="U2" s="36" t="n">
        <x:v>0.1</x:v>
      </x:c>
      <x:c r="V2" s="16" t="str">
        <x:v>Y</x:v>
      </x:c>
      <x:c r="W2" s="16" t="str">
        <x:v>UNCLEAR</x:v>
      </x:c>
      <x:c r="X2" s="16" t="str">
        <x:v>NA</x:v>
      </x:c>
      <x:c r="Y2" s="16" t="str">
        <x:v>NR</x:v>
      </x:c>
      <x:c r="Z2" s="16" t="str">
        <x:v>NA</x:v>
      </x:c>
      <x:c r="AA2" s="16" t="str">
        <x:v>NR</x:v>
      </x:c>
      <x:c r="AB2" s="16" t="str">
        <x:v>NR</x:v>
      </x:c>
      <x:c r="AC2" s="16" t="str">
        <x:v>NO_EXPLICIT_FOCUS</x:v>
      </x:c>
      <x:c r="AD2" s="16" t="str">
        <x:v>NA</x:v>
      </x:c>
      <x:c r="AE2" s="16" t="str">
        <x:v>NA</x:v>
      </x:c>
      <x:c r="AF2" s="16" t="str">
        <x:v>NA</x:v>
      </x:c>
      <x:c r="AG2" s="16" t="str">
        <x:v>NA</x:v>
      </x:c>
      <x:c r="AH2" s="16" t="str">
        <x:v>NA</x:v>
      </x:c>
      <x:c r="AI2" s="16" t="str">
        <x:v>NA</x:v>
      </x:c>
      <x:c r="AJ2" s="16" t="str">
        <x:v>NA</x:v>
      </x:c>
      <x:c r="AK2" s="16" t="str">
        <x:v>NA</x:v>
      </x:c>
      <x:c r="AL2" s="16" t="str">
        <x:v>NA</x:v>
      </x:c>
      <x:c r="AM2" s="16" t="str">
        <x:v>NA</x:v>
      </x:c>
      <x:c r="AN2" s="16" t="str">
        <x:v>NA</x:v>
      </x:c>
      <x:c r="AO2" s="16" t="str">
        <x:v>NA</x:v>
      </x:c>
      <x:c r="AP2" s="16" t="str">
        <x:v>AUC</x:v>
      </x:c>
      <x:c r="AQ2" s="38" t="n">
        <x:v>0.722</x:v>
      </x:c>
      <x:c r="AR2" s="16" t="str">
        <x:v>OVERALL</x:v>
      </x:c>
      <x:c r="AS2" s="16" t="str">
        <x:v>NR</x:v>
      </x:c>
      <x:c r="AT2" s="16" t="str">
        <x:v>NR</x:v>
      </x:c>
      <x:c r="AU2" s="16" t="str">
        <x:v>N</x:v>
      </x:c>
      <x:c r="AV2" s="16" t="str">
        <x:v>NR</x:v>
      </x:c>
      <x:c r="AW2" s="16" t="str">
        <x:v>NA</x:v>
      </x:c>
      <x:c r="AX2" s="16" t="str">
        <x:v>NR</x:v>
      </x:c>
      <x:c r="AY2" s="16" t="str">
        <x:v>NR</x:v>
      </x:c>
      <x:c r="AZ2" s="16" t="str">
        <x:v>NR</x:v>
      </x:c>
      <x:c r="BA2" s="16" t="str">
        <x:v>NR</x:v>
      </x:c>
      <x:c r="BB2" s="16" t="str">
        <x:v>NR</x:v>
      </x:c>
      <x:c r="BC2" s="16" t="str">
        <x:v>NR</x:v>
      </x:c>
      <x:c r="BD2" s="16" t="str">
        <x:v>NR</x:v>
      </x:c>
      <x:c r="BE2" s="16" t="str">
        <x:v>NR</x:v>
      </x:c>
      <x:c r="BF2" s="16" t="str">
        <x:v>NR</x:v>
      </x:c>
      <x:c r="BG2" s="16" t="str">
        <x:v>NR</x:v>
      </x:c>
      <x:c r="BH2" s="16" t="str">
        <x:v>NR</x:v>
      </x:c>
      <x:c r="BI2" s="16" t="str">
        <x:v>NR</x:v>
      </x:c>
      <x:c r="BJ2" s="16" t="str">
        <x:v>NR</x:v>
      </x:c>
      <x:c r="BK2" s="16" t="str">
        <x:v>NR</x:v>
      </x:c>
      <x:c r="BL2" s="16" t="str">
        <x:v>NR</x:v>
      </x:c>
      <x:c r="BM2" s="16" t="str">
        <x:v>N</x:v>
      </x:c>
      <x:c r="BN2" s="16" t="str">
        <x:v>NR</x:v>
      </x:c>
      <x:c r="BO2" s="16" t="str">
        <x:v>AUTHOR_STATED</x:v>
      </x:c>
      <x:c r="BP2" s="16" t="str">
        <x:v>Coder_A_EXAMPLE</x:v>
      </x:c>
      <x:c r="BQ2" s="16" t="str">
        <x:v>HIGH</x:v>
      </x:c>
      <x:c r="BR2" s="16" t="str">
        <x:v>Sec. 3 Datasets; Appendix A; Table 2; Table 1; Appendix B</x:v>
      </x:c>
      <x:c r="BS2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2" s="16" t="str">
        <x:v>PENDING</x:v>
      </x:c>
      <x:c r="BU2" s="16"/>
    </x:row>
    <x:row r="3">
      <x:c r="A3" s="16" t="str">
        <x:v>PILOT_01_E02</x:v>
      </x:c>
      <x:c r="B3" s="16" t="str">
        <x:v>PILOT_01</x:v>
      </x:c>
      <x:c r="C3" s="16" t="str">
        <x:v>PILOT_01_M01</x:v>
      </x:c>
      <x:c r="D3" s="16" t="str">
        <x:v>KDDCup</x:v>
      </x:c>
      <x:c r="E3" s="16" t="str">
        <x:v>Bridge to Algebra 2006-2007</x:v>
      </x:c>
      <x:c r="F3" s="16" t="str">
        <x:v>KDD Cup 2010 Educational Data Mining Challenge</x:v>
      </x:c>
      <x:c r="G3" s="16" t="n">
        <x:v>1000</x:v>
      </x:c>
      <x:c r="H3" s="16" t="str">
        <x:v>NR</x:v>
      </x:c>
      <x:c r="I3" s="16" t="n">
        <x:v>211</x:v>
      </x:c>
      <x:c r="J3" s="16" t="n">
        <x:v>98200</x:v>
      </x:c>
      <x:c r="K3" s="16" t="str">
        <x:v>UNCLEAR</x:v>
      </x:c>
      <x:c r="L3" s="16" t="str">
        <x:v>Combine simultaneous answer logs into one; extract named skill tags</x:v>
      </x:c>
      <x:c r="M3" s="16" t="str">
        <x:v>NR</x:v>
      </x:c>
      <x:c r="N3" s="16" t="str">
        <x:v>NR</x:v>
      </x:c>
      <x:c r="O3" s="16" t="str">
        <x:v>UNCLEAR</x:v>
      </x:c>
      <x:c r="P3" s="16" t="str">
        <x:v>NR</x:v>
      </x:c>
      <x:c r="Q3" s="16" t="str">
        <x:v>LEARNER_BASED</x:v>
      </x:c>
      <x:c r="R3" s="16" t="str">
        <x:v>students</x:v>
      </x:c>
      <x:c r="S3" s="36" t="n">
        <x:v>0.8</x:v>
      </x:c>
      <x:c r="T3" s="36" t="n">
        <x:v>0.1</x:v>
      </x:c>
      <x:c r="U3" s="36" t="n">
        <x:v>0.1</x:v>
      </x:c>
      <x:c r="V3" s="16" t="str">
        <x:v>Y</x:v>
      </x:c>
      <x:c r="W3" s="16" t="str">
        <x:v>UNCLEAR</x:v>
      </x:c>
      <x:c r="X3" s="16" t="str">
        <x:v>NA</x:v>
      </x:c>
      <x:c r="Y3" s="16" t="str">
        <x:v>NR</x:v>
      </x:c>
      <x:c r="Z3" s="16" t="str">
        <x:v>NA</x:v>
      </x:c>
      <x:c r="AA3" s="16" t="str">
        <x:v>NR</x:v>
      </x:c>
      <x:c r="AB3" s="16" t="str">
        <x:v>NR</x:v>
      </x:c>
      <x:c r="AC3" s="16" t="str">
        <x:v>NO_EXPLICIT_FOCUS</x:v>
      </x:c>
      <x:c r="AD3" s="16" t="str">
        <x:v>NA</x:v>
      </x:c>
      <x:c r="AE3" s="16" t="str">
        <x:v>NA</x:v>
      </x:c>
      <x:c r="AF3" s="16" t="str">
        <x:v>NA</x:v>
      </x:c>
      <x:c r="AG3" s="16" t="str">
        <x:v>NA</x:v>
      </x:c>
      <x:c r="AH3" s="16" t="str">
        <x:v>NA</x:v>
      </x:c>
      <x:c r="AI3" s="16" t="str">
        <x:v>NA</x:v>
      </x:c>
      <x:c r="AJ3" s="16" t="str">
        <x:v>NA</x:v>
      </x:c>
      <x:c r="AK3" s="16" t="str">
        <x:v>NA</x:v>
      </x:c>
      <x:c r="AL3" s="16" t="str">
        <x:v>NA</x:v>
      </x:c>
      <x:c r="AM3" s="16" t="str">
        <x:v>NA</x:v>
      </x:c>
      <x:c r="AN3" s="16" t="str">
        <x:v>NA</x:v>
      </x:c>
      <x:c r="AO3" s="16" t="str">
        <x:v>NA</x:v>
      </x:c>
      <x:c r="AP3" s="16" t="str">
        <x:v>AUC</x:v>
      </x:c>
      <x:c r="AQ3" s="38" t="n">
        <x:v>0.762</x:v>
      </x:c>
      <x:c r="AR3" s="16" t="str">
        <x:v>OVERALL</x:v>
      </x:c>
      <x:c r="AS3" s="16" t="str">
        <x:v>NR</x:v>
      </x:c>
      <x:c r="AT3" s="16" t="str">
        <x:v>NR</x:v>
      </x:c>
      <x:c r="AU3" s="16" t="str">
        <x:v>N</x:v>
      </x:c>
      <x:c r="AV3" s="16" t="str">
        <x:v>NR</x:v>
      </x:c>
      <x:c r="AW3" s="16" t="str">
        <x:v>NA</x:v>
      </x:c>
      <x:c r="AX3" s="16" t="str">
        <x:v>NR</x:v>
      </x:c>
      <x:c r="AY3" s="16" t="str">
        <x:v>NR</x:v>
      </x:c>
      <x:c r="AZ3" s="16" t="str">
        <x:v>NR</x:v>
      </x:c>
      <x:c r="BA3" s="16" t="str">
        <x:v>NR</x:v>
      </x:c>
      <x:c r="BB3" s="16" t="str">
        <x:v>NR</x:v>
      </x:c>
      <x:c r="BC3" s="16" t="str">
        <x:v>NR</x:v>
      </x:c>
      <x:c r="BD3" s="16" t="str">
        <x:v>NR</x:v>
      </x:c>
      <x:c r="BE3" s="16" t="str">
        <x:v>NR</x:v>
      </x:c>
      <x:c r="BF3" s="16" t="str">
        <x:v>NR</x:v>
      </x:c>
      <x:c r="BG3" s="16" t="str">
        <x:v>NR</x:v>
      </x:c>
      <x:c r="BH3" s="16" t="str">
        <x:v>NR</x:v>
      </x:c>
      <x:c r="BI3" s="16" t="str">
        <x:v>NR</x:v>
      </x:c>
      <x:c r="BJ3" s="16" t="str">
        <x:v>NR</x:v>
      </x:c>
      <x:c r="BK3" s="16" t="str">
        <x:v>NR</x:v>
      </x:c>
      <x:c r="BL3" s="16" t="str">
        <x:v>NR</x:v>
      </x:c>
      <x:c r="BM3" s="16" t="str">
        <x:v>N</x:v>
      </x:c>
      <x:c r="BN3" s="16" t="str">
        <x:v>NR</x:v>
      </x:c>
      <x:c r="BO3" s="16" t="str">
        <x:v>AUTHOR_STATED</x:v>
      </x:c>
      <x:c r="BP3" s="16" t="str">
        <x:v>Coder_A_EXAMPLE</x:v>
      </x:c>
      <x:c r="BQ3" s="16" t="str">
        <x:v>HIGH</x:v>
      </x:c>
      <x:c r="BR3" s="16" t="str">
        <x:v>Sec. 3 Datasets; Appendix A; Table 2; Table 1; Appendix B</x:v>
      </x:c>
      <x:c r="BS3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3" s="16" t="str">
        <x:v>PENDING</x:v>
      </x:c>
      <x:c r="BU3" s="16"/>
    </x:row>
    <x:row r="4">
      <x:c r="A4" s="16" t="str">
        <x:v>PILOT_01_E03</x:v>
      </x:c>
      <x:c r="B4" s="16" t="str">
        <x:v>PILOT_01</x:v>
      </x:c>
      <x:c r="C4" s="16" t="str">
        <x:v>PILOT_01_M02</x:v>
      </x:c>
      <x:c r="D4" s="16" t="str">
        <x:v>ASSISTments</x:v>
      </x:c>
      <x:c r="E4" s="16" t="str">
        <x:v>2009-2010 Skill Builder</x:v>
      </x:c>
      <x:c r="F4" s="16" t="str">
        <x:v>ASSISTments public data</x:v>
      </x:c>
      <x:c r="G4" s="16" t="n">
        <x:v>1000</x:v>
      </x:c>
      <x:c r="H4" s="16" t="str">
        <x:v>NR</x:v>
      </x:c>
      <x:c r="I4" s="16" t="n">
        <x:v>101</x:v>
      </x:c>
      <x:c r="J4" s="16" t="n">
        <x:v>62955</x:v>
      </x:c>
      <x:c r="K4" s="16" t="str">
        <x:v>UNCLEAR</x:v>
      </x:c>
      <x:c r="L4" s="16" t="str">
        <x:v>Combine simultaneous answer logs into one; extract named skill tags</x:v>
      </x:c>
      <x:c r="M4" s="16" t="str">
        <x:v>NR</x:v>
      </x:c>
      <x:c r="N4" s="16" t="str">
        <x:v>NR</x:v>
      </x:c>
      <x:c r="O4" s="16" t="str">
        <x:v>UNCLEAR</x:v>
      </x:c>
      <x:c r="P4" s="16" t="str">
        <x:v>NR</x:v>
      </x:c>
      <x:c r="Q4" s="16" t="str">
        <x:v>LEARNER_BASED</x:v>
      </x:c>
      <x:c r="R4" s="16" t="str">
        <x:v>students</x:v>
      </x:c>
      <x:c r="S4" s="36" t="n">
        <x:v>0.8</x:v>
      </x:c>
      <x:c r="T4" s="36" t="n">
        <x:v>0.1</x:v>
      </x:c>
      <x:c r="U4" s="36" t="n">
        <x:v>0.1</x:v>
      </x:c>
      <x:c r="V4" s="16" t="str">
        <x:v>Y</x:v>
      </x:c>
      <x:c r="W4" s="16" t="str">
        <x:v>UNCLEAR</x:v>
      </x:c>
      <x:c r="X4" s="16" t="str">
        <x:v>UNCLEAR</x:v>
      </x:c>
      <x:c r="Y4" s="16" t="str">
        <x:v>NR</x:v>
      </x:c>
      <x:c r="Z4" s="16" t="str">
        <x:v>NA</x:v>
      </x:c>
      <x:c r="AA4" s="16" t="str">
        <x:v>NR</x:v>
      </x:c>
      <x:c r="AB4" s="16" t="str">
        <x:v>NR</x:v>
      </x:c>
      <x:c r="AC4" s="16" t="str">
        <x:v>NO_EXPLICIT_FOCUS</x:v>
      </x:c>
      <x:c r="AD4" s="16" t="str">
        <x:v>NA</x:v>
      </x:c>
      <x:c r="AE4" s="16" t="str">
        <x:v>NA</x:v>
      </x:c>
      <x:c r="AF4" s="16" t="str">
        <x:v>NA</x:v>
      </x:c>
      <x:c r="AG4" s="16" t="str">
        <x:v>NA</x:v>
      </x:c>
      <x:c r="AH4" s="16" t="str">
        <x:v>NA</x:v>
      </x:c>
      <x:c r="AI4" s="16" t="str">
        <x:v>NA</x:v>
      </x:c>
      <x:c r="AJ4" s="16" t="str">
        <x:v>NA</x:v>
      </x:c>
      <x:c r="AK4" s="16" t="str">
        <x:v>NA</x:v>
      </x:c>
      <x:c r="AL4" s="16" t="str">
        <x:v>NA</x:v>
      </x:c>
      <x:c r="AM4" s="16" t="str">
        <x:v>NA</x:v>
      </x:c>
      <x:c r="AN4" s="16" t="str">
        <x:v>NA</x:v>
      </x:c>
      <x:c r="AO4" s="16" t="str">
        <x:v>NA</x:v>
      </x:c>
      <x:c r="AP4" s="16" t="str">
        <x:v>AUC</x:v>
      </x:c>
      <x:c r="AQ4" s="38" t="n">
        <x:v>0.721</x:v>
      </x:c>
      <x:c r="AR4" s="16" t="str">
        <x:v>OVERALL</x:v>
      </x:c>
      <x:c r="AS4" s="16" t="str">
        <x:v>NR</x:v>
      </x:c>
      <x:c r="AT4" s="16" t="str">
        <x:v>NR</x:v>
      </x:c>
      <x:c r="AU4" s="16" t="str">
        <x:v>N</x:v>
      </x:c>
      <x:c r="AV4" s="16" t="str">
        <x:v>NR</x:v>
      </x:c>
      <x:c r="AW4" s="16" t="str">
        <x:v>NA</x:v>
      </x:c>
      <x:c r="AX4" s="16" t="str">
        <x:v>NR</x:v>
      </x:c>
      <x:c r="AY4" s="16" t="str">
        <x:v>NR</x:v>
      </x:c>
      <x:c r="AZ4" s="16" t="str">
        <x:v>NR</x:v>
      </x:c>
      <x:c r="BA4" s="16" t="str">
        <x:v>NR</x:v>
      </x:c>
      <x:c r="BB4" s="16" t="str">
        <x:v>NR</x:v>
      </x:c>
      <x:c r="BC4" s="16" t="str">
        <x:v>NR</x:v>
      </x:c>
      <x:c r="BD4" s="16" t="str">
        <x:v>NR</x:v>
      </x:c>
      <x:c r="BE4" s="16" t="str">
        <x:v>NR</x:v>
      </x:c>
      <x:c r="BF4" s="16" t="str">
        <x:v>NR</x:v>
      </x:c>
      <x:c r="BG4" s="16" t="str">
        <x:v>NR</x:v>
      </x:c>
      <x:c r="BH4" s="16" t="str">
        <x:v>NR</x:v>
      </x:c>
      <x:c r="BI4" s="16" t="str">
        <x:v>NR</x:v>
      </x:c>
      <x:c r="BJ4" s="16" t="str">
        <x:v>NR</x:v>
      </x:c>
      <x:c r="BK4" s="16" t="str">
        <x:v>NR</x:v>
      </x:c>
      <x:c r="BL4" s="16" t="str">
        <x:v>NR</x:v>
      </x:c>
      <x:c r="BM4" s="16" t="str">
        <x:v>N</x:v>
      </x:c>
      <x:c r="BN4" s="16" t="str">
        <x:v>NR</x:v>
      </x:c>
      <x:c r="BO4" s="16" t="str">
        <x:v>AUTHOR_STATED</x:v>
      </x:c>
      <x:c r="BP4" s="16" t="str">
        <x:v>Coder_A_EXAMPLE</x:v>
      </x:c>
      <x:c r="BQ4" s="16" t="str">
        <x:v>HIGH</x:v>
      </x:c>
      <x:c r="BR4" s="16" t="str">
        <x:v>Sec. 3 Datasets; Appendix A; Table 2; Table 1; Appendix B</x:v>
      </x:c>
      <x:c r="BS4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4" s="16" t="str">
        <x:v>PENDING</x:v>
      </x:c>
      <x:c r="BU4" s="16"/>
    </x:row>
    <x:row r="5">
      <x:c r="A5" s="16" t="str">
        <x:v>PILOT_01_E04</x:v>
      </x:c>
      <x:c r="B5" s="16" t="str">
        <x:v>PILOT_01</x:v>
      </x:c>
      <x:c r="C5" s="16" t="str">
        <x:v>PILOT_01_M02</x:v>
      </x:c>
      <x:c r="D5" s="16" t="str">
        <x:v>KDDCup</x:v>
      </x:c>
      <x:c r="E5" s="16" t="str">
        <x:v>Bridge to Algebra 2006-2007</x:v>
      </x:c>
      <x:c r="F5" s="16" t="str">
        <x:v>KDD Cup 2010 Educational Data Mining Challenge</x:v>
      </x:c>
      <x:c r="G5" s="16" t="n">
        <x:v>1000</x:v>
      </x:c>
      <x:c r="H5" s="16" t="str">
        <x:v>NR</x:v>
      </x:c>
      <x:c r="I5" s="16" t="n">
        <x:v>211</x:v>
      </x:c>
      <x:c r="J5" s="16" t="n">
        <x:v>98200</x:v>
      </x:c>
      <x:c r="K5" s="16" t="str">
        <x:v>UNCLEAR</x:v>
      </x:c>
      <x:c r="L5" s="16" t="str">
        <x:v>Combine simultaneous answer logs into one; extract named skill tags</x:v>
      </x:c>
      <x:c r="M5" s="16" t="str">
        <x:v>NR</x:v>
      </x:c>
      <x:c r="N5" s="16" t="str">
        <x:v>NR</x:v>
      </x:c>
      <x:c r="O5" s="16" t="str">
        <x:v>UNCLEAR</x:v>
      </x:c>
      <x:c r="P5" s="16" t="str">
        <x:v>NR</x:v>
      </x:c>
      <x:c r="Q5" s="16" t="str">
        <x:v>LEARNER_BASED</x:v>
      </x:c>
      <x:c r="R5" s="16" t="str">
        <x:v>students</x:v>
      </x:c>
      <x:c r="S5" s="36" t="n">
        <x:v>0.8</x:v>
      </x:c>
      <x:c r="T5" s="36" t="n">
        <x:v>0.1</x:v>
      </x:c>
      <x:c r="U5" s="36" t="n">
        <x:v>0.1</x:v>
      </x:c>
      <x:c r="V5" s="16" t="str">
        <x:v>Y</x:v>
      </x:c>
      <x:c r="W5" s="16" t="str">
        <x:v>UNCLEAR</x:v>
      </x:c>
      <x:c r="X5" s="16" t="str">
        <x:v>UNCLEAR</x:v>
      </x:c>
      <x:c r="Y5" s="16" t="str">
        <x:v>NR</x:v>
      </x:c>
      <x:c r="Z5" s="16" t="str">
        <x:v>NA</x:v>
      </x:c>
      <x:c r="AA5" s="16" t="str">
        <x:v>NR</x:v>
      </x:c>
      <x:c r="AB5" s="16" t="str">
        <x:v>NR</x:v>
      </x:c>
      <x:c r="AC5" s="16" t="str">
        <x:v>NO_EXPLICIT_FOCUS</x:v>
      </x:c>
      <x:c r="AD5" s="16" t="str">
        <x:v>NA</x:v>
      </x:c>
      <x:c r="AE5" s="16" t="str">
        <x:v>NA</x:v>
      </x:c>
      <x:c r="AF5" s="16" t="str">
        <x:v>NA</x:v>
      </x:c>
      <x:c r="AG5" s="16" t="str">
        <x:v>NA</x:v>
      </x:c>
      <x:c r="AH5" s="16" t="str">
        <x:v>NA</x:v>
      </x:c>
      <x:c r="AI5" s="16" t="str">
        <x:v>NA</x:v>
      </x:c>
      <x:c r="AJ5" s="16" t="str">
        <x:v>NA</x:v>
      </x:c>
      <x:c r="AK5" s="16" t="str">
        <x:v>NA</x:v>
      </x:c>
      <x:c r="AL5" s="16" t="str">
        <x:v>NA</x:v>
      </x:c>
      <x:c r="AM5" s="16" t="str">
        <x:v>NA</x:v>
      </x:c>
      <x:c r="AN5" s="16" t="str">
        <x:v>NA</x:v>
      </x:c>
      <x:c r="AO5" s="16" t="str">
        <x:v>NA</x:v>
      </x:c>
      <x:c r="AP5" s="16" t="str">
        <x:v>AUC</x:v>
      </x:c>
      <x:c r="AQ5" s="38" t="n">
        <x:v>0.769</x:v>
      </x:c>
      <x:c r="AR5" s="16" t="str">
        <x:v>OVERALL</x:v>
      </x:c>
      <x:c r="AS5" s="16" t="str">
        <x:v>NR</x:v>
      </x:c>
      <x:c r="AT5" s="16" t="str">
        <x:v>NR</x:v>
      </x:c>
      <x:c r="AU5" s="16" t="str">
        <x:v>N</x:v>
      </x:c>
      <x:c r="AV5" s="16" t="str">
        <x:v>NR</x:v>
      </x:c>
      <x:c r="AW5" s="16" t="str">
        <x:v>NA</x:v>
      </x:c>
      <x:c r="AX5" s="16" t="str">
        <x:v>NR</x:v>
      </x:c>
      <x:c r="AY5" s="16" t="str">
        <x:v>NR</x:v>
      </x:c>
      <x:c r="AZ5" s="16" t="str">
        <x:v>NR</x:v>
      </x:c>
      <x:c r="BA5" s="16" t="str">
        <x:v>NR</x:v>
      </x:c>
      <x:c r="BB5" s="16" t="str">
        <x:v>NR</x:v>
      </x:c>
      <x:c r="BC5" s="16" t="str">
        <x:v>NR</x:v>
      </x:c>
      <x:c r="BD5" s="16" t="str">
        <x:v>NR</x:v>
      </x:c>
      <x:c r="BE5" s="16" t="str">
        <x:v>NR</x:v>
      </x:c>
      <x:c r="BF5" s="16" t="str">
        <x:v>NR</x:v>
      </x:c>
      <x:c r="BG5" s="16" t="str">
        <x:v>NR</x:v>
      </x:c>
      <x:c r="BH5" s="16" t="str">
        <x:v>NR</x:v>
      </x:c>
      <x:c r="BI5" s="16" t="str">
        <x:v>NR</x:v>
      </x:c>
      <x:c r="BJ5" s="16" t="str">
        <x:v>NR</x:v>
      </x:c>
      <x:c r="BK5" s="16" t="str">
        <x:v>NR</x:v>
      </x:c>
      <x:c r="BL5" s="16" t="str">
        <x:v>NR</x:v>
      </x:c>
      <x:c r="BM5" s="16" t="str">
        <x:v>N</x:v>
      </x:c>
      <x:c r="BN5" s="16" t="str">
        <x:v>NR</x:v>
      </x:c>
      <x:c r="BO5" s="16" t="str">
        <x:v>AUTHOR_STATED</x:v>
      </x:c>
      <x:c r="BP5" s="16" t="str">
        <x:v>Coder_A_EXAMPLE</x:v>
      </x:c>
      <x:c r="BQ5" s="16" t="str">
        <x:v>HIGH</x:v>
      </x:c>
      <x:c r="BR5" s="16" t="str">
        <x:v>Sec. 3 Datasets; Appendix A; Table 2; Table 1; Appendix B</x:v>
      </x:c>
      <x:c r="BS5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5" s="16" t="str">
        <x:v>PENDING</x:v>
      </x:c>
      <x:c r="BU5" s="16"/>
    </x:row>
    <x:row r="6">
      <x:c r="A6" s="16" t="str">
        <x:v>PILOT_01_E05</x:v>
      </x:c>
      <x:c r="B6" s="16" t="str">
        <x:v>PILOT_01</x:v>
      </x:c>
      <x:c r="C6" s="16" t="str">
        <x:v>PILOT_01_M03</x:v>
      </x:c>
      <x:c r="D6" s="16" t="str">
        <x:v>ASSISTments</x:v>
      </x:c>
      <x:c r="E6" s="16" t="str">
        <x:v>2009-2010 Skill Builder</x:v>
      </x:c>
      <x:c r="F6" s="16" t="str">
        <x:v>ASSISTments public data</x:v>
      </x:c>
      <x:c r="G6" s="16" t="n">
        <x:v>1000</x:v>
      </x:c>
      <x:c r="H6" s="16" t="str">
        <x:v>NR</x:v>
      </x:c>
      <x:c r="I6" s="16" t="n">
        <x:v>101</x:v>
      </x:c>
      <x:c r="J6" s="16" t="n">
        <x:v>62955</x:v>
      </x:c>
      <x:c r="K6" s="16" t="str">
        <x:v>UNCLEAR</x:v>
      </x:c>
      <x:c r="L6" s="16" t="str">
        <x:v>Combine simultaneous answer logs into one; extract named skill tags</x:v>
      </x:c>
      <x:c r="M6" s="16" t="str">
        <x:v>NR</x:v>
      </x:c>
      <x:c r="N6" s="16" t="str">
        <x:v>NR</x:v>
      </x:c>
      <x:c r="O6" s="16" t="str">
        <x:v>UNCLEAR</x:v>
      </x:c>
      <x:c r="P6" s="16" t="str">
        <x:v>NR</x:v>
      </x:c>
      <x:c r="Q6" s="16" t="str">
        <x:v>LEARNER_BASED</x:v>
      </x:c>
      <x:c r="R6" s="16" t="str">
        <x:v>students</x:v>
      </x:c>
      <x:c r="S6" s="36" t="n">
        <x:v>0.8</x:v>
      </x:c>
      <x:c r="T6" s="36" t="n">
        <x:v>0.1</x:v>
      </x:c>
      <x:c r="U6" s="36" t="n">
        <x:v>0.1</x:v>
      </x:c>
      <x:c r="V6" s="16" t="str">
        <x:v>Y</x:v>
      </x:c>
      <x:c r="W6" s="16" t="str">
        <x:v>UNCLEAR</x:v>
      </x:c>
      <x:c r="X6" s="16" t="str">
        <x:v>UNCLEAR</x:v>
      </x:c>
      <x:c r="Y6" s="16" t="str">
        <x:v>NR</x:v>
      </x:c>
      <x:c r="Z6" s="16" t="str">
        <x:v>NA</x:v>
      </x:c>
      <x:c r="AA6" s="16" t="str">
        <x:v>NR</x:v>
      </x:c>
      <x:c r="AB6" s="16" t="str">
        <x:v>NR</x:v>
      </x:c>
      <x:c r="AC6" s="16" t="str">
        <x:v>NO_EXPLICIT_FOCUS</x:v>
      </x:c>
      <x:c r="AD6" s="16" t="str">
        <x:v>NA</x:v>
      </x:c>
      <x:c r="AE6" s="16" t="str">
        <x:v>NA</x:v>
      </x:c>
      <x:c r="AF6" s="16" t="str">
        <x:v>NA</x:v>
      </x:c>
      <x:c r="AG6" s="16" t="str">
        <x:v>NA</x:v>
      </x:c>
      <x:c r="AH6" s="16" t="str">
        <x:v>NA</x:v>
      </x:c>
      <x:c r="AI6" s="16" t="str">
        <x:v>NA</x:v>
      </x:c>
      <x:c r="AJ6" s="16" t="str">
        <x:v>NA</x:v>
      </x:c>
      <x:c r="AK6" s="16" t="str">
        <x:v>NA</x:v>
      </x:c>
      <x:c r="AL6" s="16" t="str">
        <x:v>NA</x:v>
      </x:c>
      <x:c r="AM6" s="16" t="str">
        <x:v>NA</x:v>
      </x:c>
      <x:c r="AN6" s="16" t="str">
        <x:v>NA</x:v>
      </x:c>
      <x:c r="AO6" s="16" t="str">
        <x:v>NA</x:v>
      </x:c>
      <x:c r="AP6" s="16" t="str">
        <x:v>AUC</x:v>
      </x:c>
      <x:c r="AQ6" s="38" t="n">
        <x:v>0.723</x:v>
      </x:c>
      <x:c r="AR6" s="16" t="str">
        <x:v>OVERALL</x:v>
      </x:c>
      <x:c r="AS6" s="16" t="str">
        <x:v>NR</x:v>
      </x:c>
      <x:c r="AT6" s="16" t="str">
        <x:v>NR</x:v>
      </x:c>
      <x:c r="AU6" s="16" t="str">
        <x:v>N</x:v>
      </x:c>
      <x:c r="AV6" s="16" t="str">
        <x:v>NR</x:v>
      </x:c>
      <x:c r="AW6" s="16" t="str">
        <x:v>NA</x:v>
      </x:c>
      <x:c r="AX6" s="16" t="str">
        <x:v>NR</x:v>
      </x:c>
      <x:c r="AY6" s="16" t="str">
        <x:v>NR</x:v>
      </x:c>
      <x:c r="AZ6" s="16" t="str">
        <x:v>NR</x:v>
      </x:c>
      <x:c r="BA6" s="16" t="str">
        <x:v>NR</x:v>
      </x:c>
      <x:c r="BB6" s="16" t="str">
        <x:v>NR</x:v>
      </x:c>
      <x:c r="BC6" s="16" t="str">
        <x:v>NR</x:v>
      </x:c>
      <x:c r="BD6" s="16" t="str">
        <x:v>NR</x:v>
      </x:c>
      <x:c r="BE6" s="16" t="str">
        <x:v>NR</x:v>
      </x:c>
      <x:c r="BF6" s="16" t="str">
        <x:v>NR</x:v>
      </x:c>
      <x:c r="BG6" s="16" t="str">
        <x:v>NR</x:v>
      </x:c>
      <x:c r="BH6" s="16" t="str">
        <x:v>NR</x:v>
      </x:c>
      <x:c r="BI6" s="16" t="str">
        <x:v>NR</x:v>
      </x:c>
      <x:c r="BJ6" s="16" t="str">
        <x:v>NR</x:v>
      </x:c>
      <x:c r="BK6" s="16" t="str">
        <x:v>NR</x:v>
      </x:c>
      <x:c r="BL6" s="16" t="str">
        <x:v>NR</x:v>
      </x:c>
      <x:c r="BM6" s="16" t="str">
        <x:v>N</x:v>
      </x:c>
      <x:c r="BN6" s="16" t="str">
        <x:v>NR</x:v>
      </x:c>
      <x:c r="BO6" s="16" t="str">
        <x:v>AUTHOR_STATED</x:v>
      </x:c>
      <x:c r="BP6" s="16" t="str">
        <x:v>Coder_A_EXAMPLE</x:v>
      </x:c>
      <x:c r="BQ6" s="16" t="str">
        <x:v>HIGH</x:v>
      </x:c>
      <x:c r="BR6" s="16" t="str">
        <x:v>Sec. 3 Datasets; Appendix A; Table 2; Table 1; Appendix B</x:v>
      </x:c>
      <x:c r="BS6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6" s="16" t="str">
        <x:v>PENDING</x:v>
      </x:c>
      <x:c r="BU6" s="16"/>
    </x:row>
    <x:row r="7">
      <x:c r="A7" s="16" t="str">
        <x:v>PILOT_01_E06</x:v>
      </x:c>
      <x:c r="B7" s="16" t="str">
        <x:v>PILOT_01</x:v>
      </x:c>
      <x:c r="C7" s="16" t="str">
        <x:v>PILOT_01_M03</x:v>
      </x:c>
      <x:c r="D7" s="16" t="str">
        <x:v>KDDCup</x:v>
      </x:c>
      <x:c r="E7" s="16" t="str">
        <x:v>Bridge to Algebra 2006-2007</x:v>
      </x:c>
      <x:c r="F7" s="16" t="str">
        <x:v>KDD Cup 2010 Educational Data Mining Challenge</x:v>
      </x:c>
      <x:c r="G7" s="16" t="n">
        <x:v>1000</x:v>
      </x:c>
      <x:c r="H7" s="16" t="str">
        <x:v>NR</x:v>
      </x:c>
      <x:c r="I7" s="16" t="n">
        <x:v>211</x:v>
      </x:c>
      <x:c r="J7" s="16" t="n">
        <x:v>98200</x:v>
      </x:c>
      <x:c r="K7" s="16" t="str">
        <x:v>UNCLEAR</x:v>
      </x:c>
      <x:c r="L7" s="16" t="str">
        <x:v>Combine simultaneous answer logs into one; extract named skill tags</x:v>
      </x:c>
      <x:c r="M7" s="16" t="str">
        <x:v>NR</x:v>
      </x:c>
      <x:c r="N7" s="16" t="str">
        <x:v>NR</x:v>
      </x:c>
      <x:c r="O7" s="16" t="str">
        <x:v>UNCLEAR</x:v>
      </x:c>
      <x:c r="P7" s="16" t="str">
        <x:v>NR</x:v>
      </x:c>
      <x:c r="Q7" s="16" t="str">
        <x:v>LEARNER_BASED</x:v>
      </x:c>
      <x:c r="R7" s="16" t="str">
        <x:v>students</x:v>
      </x:c>
      <x:c r="S7" s="36" t="n">
        <x:v>0.8</x:v>
      </x:c>
      <x:c r="T7" s="36" t="n">
        <x:v>0.1</x:v>
      </x:c>
      <x:c r="U7" s="36" t="n">
        <x:v>0.1</x:v>
      </x:c>
      <x:c r="V7" s="16" t="str">
        <x:v>Y</x:v>
      </x:c>
      <x:c r="W7" s="16" t="str">
        <x:v>UNCLEAR</x:v>
      </x:c>
      <x:c r="X7" s="16" t="str">
        <x:v>UNCLEAR</x:v>
      </x:c>
      <x:c r="Y7" s="16" t="str">
        <x:v>NR</x:v>
      </x:c>
      <x:c r="Z7" s="16" t="str">
        <x:v>NA</x:v>
      </x:c>
      <x:c r="AA7" s="16" t="str">
        <x:v>NR</x:v>
      </x:c>
      <x:c r="AB7" s="16" t="str">
        <x:v>NR</x:v>
      </x:c>
      <x:c r="AC7" s="16" t="str">
        <x:v>NO_EXPLICIT_FOCUS</x:v>
      </x:c>
      <x:c r="AD7" s="16" t="str">
        <x:v>NA</x:v>
      </x:c>
      <x:c r="AE7" s="16" t="str">
        <x:v>NA</x:v>
      </x:c>
      <x:c r="AF7" s="16" t="str">
        <x:v>NA</x:v>
      </x:c>
      <x:c r="AG7" s="16" t="str">
        <x:v>NA</x:v>
      </x:c>
      <x:c r="AH7" s="16" t="str">
        <x:v>NA</x:v>
      </x:c>
      <x:c r="AI7" s="16" t="str">
        <x:v>NA</x:v>
      </x:c>
      <x:c r="AJ7" s="16" t="str">
        <x:v>NA</x:v>
      </x:c>
      <x:c r="AK7" s="16" t="str">
        <x:v>NA</x:v>
      </x:c>
      <x:c r="AL7" s="16" t="str">
        <x:v>NA</x:v>
      </x:c>
      <x:c r="AM7" s="16" t="str">
        <x:v>NA</x:v>
      </x:c>
      <x:c r="AN7" s="16" t="str">
        <x:v>NA</x:v>
      </x:c>
      <x:c r="AO7" s="16" t="str">
        <x:v>NA</x:v>
      </x:c>
      <x:c r="AP7" s="16" t="str">
        <x:v>AUC</x:v>
      </x:c>
      <x:c r="AQ7" s="38" t="n">
        <x:v>0.764</x:v>
      </x:c>
      <x:c r="AR7" s="16" t="str">
        <x:v>OVERALL</x:v>
      </x:c>
      <x:c r="AS7" s="16" t="str">
        <x:v>NR</x:v>
      </x:c>
      <x:c r="AT7" s="16" t="str">
        <x:v>NR</x:v>
      </x:c>
      <x:c r="AU7" s="16" t="str">
        <x:v>N</x:v>
      </x:c>
      <x:c r="AV7" s="16" t="str">
        <x:v>NR</x:v>
      </x:c>
      <x:c r="AW7" s="16" t="str">
        <x:v>NA</x:v>
      </x:c>
      <x:c r="AX7" s="16" t="str">
        <x:v>NR</x:v>
      </x:c>
      <x:c r="AY7" s="16" t="str">
        <x:v>NR</x:v>
      </x:c>
      <x:c r="AZ7" s="16" t="str">
        <x:v>NR</x:v>
      </x:c>
      <x:c r="BA7" s="16" t="str">
        <x:v>NR</x:v>
      </x:c>
      <x:c r="BB7" s="16" t="str">
        <x:v>NR</x:v>
      </x:c>
      <x:c r="BC7" s="16" t="str">
        <x:v>NR</x:v>
      </x:c>
      <x:c r="BD7" s="16" t="str">
        <x:v>NR</x:v>
      </x:c>
      <x:c r="BE7" s="16" t="str">
        <x:v>NR</x:v>
      </x:c>
      <x:c r="BF7" s="16" t="str">
        <x:v>NR</x:v>
      </x:c>
      <x:c r="BG7" s="16" t="str">
        <x:v>NR</x:v>
      </x:c>
      <x:c r="BH7" s="16" t="str">
        <x:v>NR</x:v>
      </x:c>
      <x:c r="BI7" s="16" t="str">
        <x:v>NR</x:v>
      </x:c>
      <x:c r="BJ7" s="16" t="str">
        <x:v>NR</x:v>
      </x:c>
      <x:c r="BK7" s="16" t="str">
        <x:v>NR</x:v>
      </x:c>
      <x:c r="BL7" s="16" t="str">
        <x:v>NR</x:v>
      </x:c>
      <x:c r="BM7" s="16" t="str">
        <x:v>N</x:v>
      </x:c>
      <x:c r="BN7" s="16" t="str">
        <x:v>NR</x:v>
      </x:c>
      <x:c r="BO7" s="16" t="str">
        <x:v>AUTHOR_STATED</x:v>
      </x:c>
      <x:c r="BP7" s="16" t="str">
        <x:v>Coder_A_EXAMPLE</x:v>
      </x:c>
      <x:c r="BQ7" s="16" t="str">
        <x:v>HIGH</x:v>
      </x:c>
      <x:c r="BR7" s="16" t="str">
        <x:v>Sec. 3 Datasets; Appendix A; Table 2; Table 1; Appendix B</x:v>
      </x:c>
      <x:c r="BS7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7" s="16" t="str">
        <x:v>PENDING</x:v>
      </x:c>
      <x:c r="BU7" s="16"/>
    </x:row>
    <x:row r="8">
      <x:c r="A8" s="16" t="str">
        <x:v>PILOT_01_E07</x:v>
      </x:c>
      <x:c r="B8" s="16" t="str">
        <x:v>PILOT_01</x:v>
      </x:c>
      <x:c r="C8" s="16" t="str">
        <x:v>PILOT_01_M04</x:v>
      </x:c>
      <x:c r="D8" s="16" t="str">
        <x:v>ASSISTments</x:v>
      </x:c>
      <x:c r="E8" s="16" t="str">
        <x:v>2009-2010 Skill Builder</x:v>
      </x:c>
      <x:c r="F8" s="16" t="str">
        <x:v>ASSISTments public data</x:v>
      </x:c>
      <x:c r="G8" s="16" t="n">
        <x:v>1000</x:v>
      </x:c>
      <x:c r="H8" s="16" t="str">
        <x:v>NR</x:v>
      </x:c>
      <x:c r="I8" s="16" t="n">
        <x:v>101</x:v>
      </x:c>
      <x:c r="J8" s="16" t="n">
        <x:v>62955</x:v>
      </x:c>
      <x:c r="K8" s="16" t="str">
        <x:v>UNCLEAR</x:v>
      </x:c>
      <x:c r="L8" s="16" t="str">
        <x:v>Combine simultaneous answer logs into one; extract named skill tags</x:v>
      </x:c>
      <x:c r="M8" s="16" t="str">
        <x:v>NR</x:v>
      </x:c>
      <x:c r="N8" s="16" t="str">
        <x:v>NR</x:v>
      </x:c>
      <x:c r="O8" s="16" t="str">
        <x:v>UNCLEAR</x:v>
      </x:c>
      <x:c r="P8" s="16" t="str">
        <x:v>NR</x:v>
      </x:c>
      <x:c r="Q8" s="16" t="str">
        <x:v>LEARNER_BASED</x:v>
      </x:c>
      <x:c r="R8" s="16" t="str">
        <x:v>students</x:v>
      </x:c>
      <x:c r="S8" s="36" t="n">
        <x:v>0.8</x:v>
      </x:c>
      <x:c r="T8" s="36" t="n">
        <x:v>0.1</x:v>
      </x:c>
      <x:c r="U8" s="36" t="n">
        <x:v>0.1</x:v>
      </x:c>
      <x:c r="V8" s="16" t="str">
        <x:v>Y</x:v>
      </x:c>
      <x:c r="W8" s="16" t="str">
        <x:v>UNCLEAR</x:v>
      </x:c>
      <x:c r="X8" s="16" t="str">
        <x:v>Y</x:v>
      </x:c>
      <x:c r="Y8" s="16" t="str">
        <x:v>NR</x:v>
      </x:c>
      <x:c r="Z8" s="16" t="str">
        <x:v>NA</x:v>
      </x:c>
      <x:c r="AA8" s="16" t="str">
        <x:v>NR</x:v>
      </x:c>
      <x:c r="AB8" s="16" t="str">
        <x:v>NR</x:v>
      </x:c>
      <x:c r="AC8" s="16" t="str">
        <x:v>NO_EXPLICIT_FOCUS</x:v>
      </x:c>
      <x:c r="AD8" s="16" t="str">
        <x:v>NA</x:v>
      </x:c>
      <x:c r="AE8" s="16" t="str">
        <x:v>NA</x:v>
      </x:c>
      <x:c r="AF8" s="16" t="str">
        <x:v>NA</x:v>
      </x:c>
      <x:c r="AG8" s="16" t="str">
        <x:v>NA</x:v>
      </x:c>
      <x:c r="AH8" s="16" t="str">
        <x:v>NA</x:v>
      </x:c>
      <x:c r="AI8" s="16" t="str">
        <x:v>NA</x:v>
      </x:c>
      <x:c r="AJ8" s="16" t="str">
        <x:v>NA</x:v>
      </x:c>
      <x:c r="AK8" s="16" t="str">
        <x:v>NA</x:v>
      </x:c>
      <x:c r="AL8" s="16" t="str">
        <x:v>NA</x:v>
      </x:c>
      <x:c r="AM8" s="16" t="str">
        <x:v>NA</x:v>
      </x:c>
      <x:c r="AN8" s="16" t="str">
        <x:v>NA</x:v>
      </x:c>
      <x:c r="AO8" s="16" t="str">
        <x:v>NA</x:v>
      </x:c>
      <x:c r="AP8" s="16" t="str">
        <x:v>AUC</x:v>
      </x:c>
      <x:c r="AQ8" s="38" t="n">
        <x:v>0.719</x:v>
      </x:c>
      <x:c r="AR8" s="16" t="str">
        <x:v>OVERALL</x:v>
      </x:c>
      <x:c r="AS8" s="16" t="str">
        <x:v>NR</x:v>
      </x:c>
      <x:c r="AT8" s="16" t="str">
        <x:v>NR</x:v>
      </x:c>
      <x:c r="AU8" s="16" t="str">
        <x:v>N</x:v>
      </x:c>
      <x:c r="AV8" s="16" t="str">
        <x:v>NR</x:v>
      </x:c>
      <x:c r="AW8" s="16" t="str">
        <x:v>NA</x:v>
      </x:c>
      <x:c r="AX8" s="16" t="str">
        <x:v>NR</x:v>
      </x:c>
      <x:c r="AY8" s="16" t="str">
        <x:v>NR</x:v>
      </x:c>
      <x:c r="AZ8" s="16" t="str">
        <x:v>NR</x:v>
      </x:c>
      <x:c r="BA8" s="16" t="str">
        <x:v>NR</x:v>
      </x:c>
      <x:c r="BB8" s="16" t="str">
        <x:v>NR</x:v>
      </x:c>
      <x:c r="BC8" s="16" t="str">
        <x:v>NR</x:v>
      </x:c>
      <x:c r="BD8" s="16" t="str">
        <x:v>NR</x:v>
      </x:c>
      <x:c r="BE8" s="16" t="str">
        <x:v>NR</x:v>
      </x:c>
      <x:c r="BF8" s="16" t="str">
        <x:v>NR</x:v>
      </x:c>
      <x:c r="BG8" s="16" t="str">
        <x:v>NR</x:v>
      </x:c>
      <x:c r="BH8" s="16" t="str">
        <x:v>NR</x:v>
      </x:c>
      <x:c r="BI8" s="16" t="str">
        <x:v>NR</x:v>
      </x:c>
      <x:c r="BJ8" s="16" t="str">
        <x:v>NR</x:v>
      </x:c>
      <x:c r="BK8" s="16" t="str">
        <x:v>NR</x:v>
      </x:c>
      <x:c r="BL8" s="16" t="str">
        <x:v>NR</x:v>
      </x:c>
      <x:c r="BM8" s="16" t="str">
        <x:v>N</x:v>
      </x:c>
      <x:c r="BN8" s="16" t="str">
        <x:v>NR</x:v>
      </x:c>
      <x:c r="BO8" s="16" t="str">
        <x:v>AUTHOR_STATED</x:v>
      </x:c>
      <x:c r="BP8" s="16" t="str">
        <x:v>Coder_A_EXAMPLE</x:v>
      </x:c>
      <x:c r="BQ8" s="16" t="str">
        <x:v>HIGH</x:v>
      </x:c>
      <x:c r="BR8" s="16" t="str">
        <x:v>Sec. 3 Datasets; Appendix A; Table 2; Table 1; Appendix B</x:v>
      </x:c>
      <x:c r="BS8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8" s="16" t="str">
        <x:v>PENDING</x:v>
      </x:c>
      <x:c r="BU8" s="16"/>
    </x:row>
    <x:row r="9">
      <x:c r="A9" s="16" t="str">
        <x:v>PILOT_01_E08</x:v>
      </x:c>
      <x:c r="B9" s="16" t="str">
        <x:v>PILOT_01</x:v>
      </x:c>
      <x:c r="C9" s="16" t="str">
        <x:v>PILOT_01_M04</x:v>
      </x:c>
      <x:c r="D9" s="16" t="str">
        <x:v>KDDCup</x:v>
      </x:c>
      <x:c r="E9" s="16" t="str">
        <x:v>Bridge to Algebra 2006-2007</x:v>
      </x:c>
      <x:c r="F9" s="16" t="str">
        <x:v>KDD Cup 2010 Educational Data Mining Challenge</x:v>
      </x:c>
      <x:c r="G9" s="16" t="n">
        <x:v>1000</x:v>
      </x:c>
      <x:c r="H9" s="16" t="str">
        <x:v>NR</x:v>
      </x:c>
      <x:c r="I9" s="16" t="n">
        <x:v>211</x:v>
      </x:c>
      <x:c r="J9" s="16" t="n">
        <x:v>98200</x:v>
      </x:c>
      <x:c r="K9" s="16" t="str">
        <x:v>UNCLEAR</x:v>
      </x:c>
      <x:c r="L9" s="16" t="str">
        <x:v>Combine simultaneous answer logs into one; extract named skill tags</x:v>
      </x:c>
      <x:c r="M9" s="16" t="str">
        <x:v>NR</x:v>
      </x:c>
      <x:c r="N9" s="16" t="str">
        <x:v>NR</x:v>
      </x:c>
      <x:c r="O9" s="16" t="str">
        <x:v>UNCLEAR</x:v>
      </x:c>
      <x:c r="P9" s="16" t="str">
        <x:v>NR</x:v>
      </x:c>
      <x:c r="Q9" s="16" t="str">
        <x:v>LEARNER_BASED</x:v>
      </x:c>
      <x:c r="R9" s="16" t="str">
        <x:v>students</x:v>
      </x:c>
      <x:c r="S9" s="36" t="n">
        <x:v>0.8</x:v>
      </x:c>
      <x:c r="T9" s="36" t="n">
        <x:v>0.1</x:v>
      </x:c>
      <x:c r="U9" s="36" t="n">
        <x:v>0.1</x:v>
      </x:c>
      <x:c r="V9" s="16" t="str">
        <x:v>Y</x:v>
      </x:c>
      <x:c r="W9" s="16" t="str">
        <x:v>UNCLEAR</x:v>
      </x:c>
      <x:c r="X9" s="16" t="str">
        <x:v>Y</x:v>
      </x:c>
      <x:c r="Y9" s="16" t="str">
        <x:v>NR</x:v>
      </x:c>
      <x:c r="Z9" s="16" t="str">
        <x:v>NA</x:v>
      </x:c>
      <x:c r="AA9" s="16" t="str">
        <x:v>NR</x:v>
      </x:c>
      <x:c r="AB9" s="16" t="str">
        <x:v>NR</x:v>
      </x:c>
      <x:c r="AC9" s="16" t="str">
        <x:v>NO_EXPLICIT_FOCUS</x:v>
      </x:c>
      <x:c r="AD9" s="16" t="str">
        <x:v>NA</x:v>
      </x:c>
      <x:c r="AE9" s="16" t="str">
        <x:v>NA</x:v>
      </x:c>
      <x:c r="AF9" s="16" t="str">
        <x:v>NA</x:v>
      </x:c>
      <x:c r="AG9" s="16" t="str">
        <x:v>NA</x:v>
      </x:c>
      <x:c r="AH9" s="16" t="str">
        <x:v>NA</x:v>
      </x:c>
      <x:c r="AI9" s="16" t="str">
        <x:v>NA</x:v>
      </x:c>
      <x:c r="AJ9" s="16" t="str">
        <x:v>NA</x:v>
      </x:c>
      <x:c r="AK9" s="16" t="str">
        <x:v>NA</x:v>
      </x:c>
      <x:c r="AL9" s="16" t="str">
        <x:v>NA</x:v>
      </x:c>
      <x:c r="AM9" s="16" t="str">
        <x:v>NA</x:v>
      </x:c>
      <x:c r="AN9" s="16" t="str">
        <x:v>NA</x:v>
      </x:c>
      <x:c r="AO9" s="16" t="str">
        <x:v>NA</x:v>
      </x:c>
      <x:c r="AP9" s="16" t="str">
        <x:v>AUC</x:v>
      </x:c>
      <x:c r="AQ9" s="38" t="n">
        <x:v>0.762</x:v>
      </x:c>
      <x:c r="AR9" s="16" t="str">
        <x:v>OVERALL</x:v>
      </x:c>
      <x:c r="AS9" s="16" t="str">
        <x:v>NR</x:v>
      </x:c>
      <x:c r="AT9" s="16" t="str">
        <x:v>NR</x:v>
      </x:c>
      <x:c r="AU9" s="16" t="str">
        <x:v>N</x:v>
      </x:c>
      <x:c r="AV9" s="16" t="str">
        <x:v>NR</x:v>
      </x:c>
      <x:c r="AW9" s="16" t="str">
        <x:v>NA</x:v>
      </x:c>
      <x:c r="AX9" s="16" t="str">
        <x:v>NR</x:v>
      </x:c>
      <x:c r="AY9" s="16" t="str">
        <x:v>NR</x:v>
      </x:c>
      <x:c r="AZ9" s="16" t="str">
        <x:v>NR</x:v>
      </x:c>
      <x:c r="BA9" s="16" t="str">
        <x:v>NR</x:v>
      </x:c>
      <x:c r="BB9" s="16" t="str">
        <x:v>NR</x:v>
      </x:c>
      <x:c r="BC9" s="16" t="str">
        <x:v>NR</x:v>
      </x:c>
      <x:c r="BD9" s="16" t="str">
        <x:v>NR</x:v>
      </x:c>
      <x:c r="BE9" s="16" t="str">
        <x:v>NR</x:v>
      </x:c>
      <x:c r="BF9" s="16" t="str">
        <x:v>NR</x:v>
      </x:c>
      <x:c r="BG9" s="16" t="str">
        <x:v>NR</x:v>
      </x:c>
      <x:c r="BH9" s="16" t="str">
        <x:v>NR</x:v>
      </x:c>
      <x:c r="BI9" s="16" t="str">
        <x:v>NR</x:v>
      </x:c>
      <x:c r="BJ9" s="16" t="str">
        <x:v>NR</x:v>
      </x:c>
      <x:c r="BK9" s="16" t="str">
        <x:v>NR</x:v>
      </x:c>
      <x:c r="BL9" s="16" t="str">
        <x:v>NR</x:v>
      </x:c>
      <x:c r="BM9" s="16" t="str">
        <x:v>N</x:v>
      </x:c>
      <x:c r="BN9" s="16" t="str">
        <x:v>NR</x:v>
      </x:c>
      <x:c r="BO9" s="16" t="str">
        <x:v>AUTHOR_STATED</x:v>
      </x:c>
      <x:c r="BP9" s="16" t="str">
        <x:v>Coder_A_EXAMPLE</x:v>
      </x:c>
      <x:c r="BQ9" s="16" t="str">
        <x:v>HIGH</x:v>
      </x:c>
      <x:c r="BR9" s="16" t="str">
        <x:v>Sec. 3 Datasets; Appendix A; Table 2; Table 1; Appendix B</x:v>
      </x:c>
      <x:c r="BS9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9" s="16" t="str">
        <x:v>PENDING</x:v>
      </x:c>
      <x:c r="BU9" s="16"/>
    </x:row>
    <x:row r="10">
      <x:c r="A10" s="16" t="str">
        <x:v>PILOT_01_E09</x:v>
      </x:c>
      <x:c r="B10" s="16" t="str">
        <x:v>PILOT_01</x:v>
      </x:c>
      <x:c r="C10" s="16" t="str">
        <x:v>PILOT_01_M05</x:v>
      </x:c>
      <x:c r="D10" s="16" t="str">
        <x:v>ASSISTments</x:v>
      </x:c>
      <x:c r="E10" s="16" t="str">
        <x:v>2009-2010 Skill Builder</x:v>
      </x:c>
      <x:c r="F10" s="16" t="str">
        <x:v>ASSISTments public data</x:v>
      </x:c>
      <x:c r="G10" s="16" t="n">
        <x:v>1000</x:v>
      </x:c>
      <x:c r="H10" s="16" t="str">
        <x:v>NR</x:v>
      </x:c>
      <x:c r="I10" s="16" t="n">
        <x:v>101</x:v>
      </x:c>
      <x:c r="J10" s="16" t="n">
        <x:v>62955</x:v>
      </x:c>
      <x:c r="K10" s="16" t="str">
        <x:v>UNCLEAR</x:v>
      </x:c>
      <x:c r="L10" s="16" t="str">
        <x:v>Combine simultaneous answer logs into one; extract named skill tags</x:v>
      </x:c>
      <x:c r="M10" s="16" t="str">
        <x:v>NR</x:v>
      </x:c>
      <x:c r="N10" s="16" t="str">
        <x:v>NR</x:v>
      </x:c>
      <x:c r="O10" s="16" t="str">
        <x:v>UNCLEAR</x:v>
      </x:c>
      <x:c r="P10" s="16" t="str">
        <x:v>NR</x:v>
      </x:c>
      <x:c r="Q10" s="16" t="str">
        <x:v>LEARNER_BASED</x:v>
      </x:c>
      <x:c r="R10" s="16" t="str">
        <x:v>students</x:v>
      </x:c>
      <x:c r="S10" s="36" t="n">
        <x:v>0.8</x:v>
      </x:c>
      <x:c r="T10" s="36" t="n">
        <x:v>0.1</x:v>
      </x:c>
      <x:c r="U10" s="36" t="n">
        <x:v>0.1</x:v>
      </x:c>
      <x:c r="V10" s="16" t="str">
        <x:v>Y</x:v>
      </x:c>
      <x:c r="W10" s="16" t="str">
        <x:v>UNCLEAR</x:v>
      </x:c>
      <x:c r="X10" s="16" t="str">
        <x:v>Y</x:v>
      </x:c>
      <x:c r="Y10" s="16" t="str">
        <x:v>NR</x:v>
      </x:c>
      <x:c r="Z10" s="16" t="str">
        <x:v>NA</x:v>
      </x:c>
      <x:c r="AA10" s="16" t="str">
        <x:v>NR</x:v>
      </x:c>
      <x:c r="AB10" s="16" t="str">
        <x:v>NR</x:v>
      </x:c>
      <x:c r="AC10" s="16" t="str">
        <x:v>NO_EXPLICIT_FOCUS</x:v>
      </x:c>
      <x:c r="AD10" s="16" t="str">
        <x:v>NA</x:v>
      </x:c>
      <x:c r="AE10" s="16" t="str">
        <x:v>NA</x:v>
      </x:c>
      <x:c r="AF10" s="16" t="str">
        <x:v>NA</x:v>
      </x:c>
      <x:c r="AG10" s="16" t="str">
        <x:v>NA</x:v>
      </x:c>
      <x:c r="AH10" s="16" t="str">
        <x:v>NA</x:v>
      </x:c>
      <x:c r="AI10" s="16" t="str">
        <x:v>NA</x:v>
      </x:c>
      <x:c r="AJ10" s="16" t="str">
        <x:v>NA</x:v>
      </x:c>
      <x:c r="AK10" s="16" t="str">
        <x:v>NA</x:v>
      </x:c>
      <x:c r="AL10" s="16" t="str">
        <x:v>NA</x:v>
      </x:c>
      <x:c r="AM10" s="16" t="str">
        <x:v>NA</x:v>
      </x:c>
      <x:c r="AN10" s="16" t="str">
        <x:v>NA</x:v>
      </x:c>
      <x:c r="AO10" s="16" t="str">
        <x:v>NA</x:v>
      </x:c>
      <x:c r="AP10" s="16" t="str">
        <x:v>AUC</x:v>
      </x:c>
      <x:c r="AQ10" s="38" t="n">
        <x:v>0.723</x:v>
      </x:c>
      <x:c r="AR10" s="16" t="str">
        <x:v>OVERALL</x:v>
      </x:c>
      <x:c r="AS10" s="16" t="str">
        <x:v>NR</x:v>
      </x:c>
      <x:c r="AT10" s="16" t="str">
        <x:v>NR</x:v>
      </x:c>
      <x:c r="AU10" s="16" t="str">
        <x:v>N</x:v>
      </x:c>
      <x:c r="AV10" s="16" t="str">
        <x:v>NR</x:v>
      </x:c>
      <x:c r="AW10" s="16" t="str">
        <x:v>NA</x:v>
      </x:c>
      <x:c r="AX10" s="16" t="str">
        <x:v>NR</x:v>
      </x:c>
      <x:c r="AY10" s="16" t="str">
        <x:v>NR</x:v>
      </x:c>
      <x:c r="AZ10" s="16" t="str">
        <x:v>NR</x:v>
      </x:c>
      <x:c r="BA10" s="16" t="str">
        <x:v>NR</x:v>
      </x:c>
      <x:c r="BB10" s="16" t="str">
        <x:v>NR</x:v>
      </x:c>
      <x:c r="BC10" s="16" t="str">
        <x:v>NR</x:v>
      </x:c>
      <x:c r="BD10" s="16" t="str">
        <x:v>NR</x:v>
      </x:c>
      <x:c r="BE10" s="16" t="str">
        <x:v>NR</x:v>
      </x:c>
      <x:c r="BF10" s="16" t="str">
        <x:v>NR</x:v>
      </x:c>
      <x:c r="BG10" s="16" t="str">
        <x:v>NR</x:v>
      </x:c>
      <x:c r="BH10" s="16" t="str">
        <x:v>NR</x:v>
      </x:c>
      <x:c r="BI10" s="16" t="str">
        <x:v>NR</x:v>
      </x:c>
      <x:c r="BJ10" s="16" t="str">
        <x:v>NR</x:v>
      </x:c>
      <x:c r="BK10" s="16" t="str">
        <x:v>NR</x:v>
      </x:c>
      <x:c r="BL10" s="16" t="str">
        <x:v>NR</x:v>
      </x:c>
      <x:c r="BM10" s="16" t="str">
        <x:v>N</x:v>
      </x:c>
      <x:c r="BN10" s="16" t="str">
        <x:v>NR</x:v>
      </x:c>
      <x:c r="BO10" s="16" t="str">
        <x:v>AUTHOR_STATED</x:v>
      </x:c>
      <x:c r="BP10" s="16" t="str">
        <x:v>Coder_A_EXAMPLE</x:v>
      </x:c>
      <x:c r="BQ10" s="16" t="str">
        <x:v>HIGH</x:v>
      </x:c>
      <x:c r="BR10" s="16" t="str">
        <x:v>Sec. 3 Datasets; Appendix A; Table 2; Table 1; Appendix B</x:v>
      </x:c>
      <x:c r="BS10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10" s="16" t="str">
        <x:v>PENDING</x:v>
      </x:c>
      <x:c r="BU10" s="16"/>
    </x:row>
    <x:row r="11">
      <x:c r="A11" s="16" t="str">
        <x:v>PILOT_01_E10</x:v>
      </x:c>
      <x:c r="B11" s="16" t="str">
        <x:v>PILOT_01</x:v>
      </x:c>
      <x:c r="C11" s="16" t="str">
        <x:v>PILOT_01_M05</x:v>
      </x:c>
      <x:c r="D11" s="16" t="str">
        <x:v>KDDCup</x:v>
      </x:c>
      <x:c r="E11" s="16" t="str">
        <x:v>Bridge to Algebra 2006-2007</x:v>
      </x:c>
      <x:c r="F11" s="16" t="str">
        <x:v>KDD Cup 2010 Educational Data Mining Challenge</x:v>
      </x:c>
      <x:c r="G11" s="16" t="n">
        <x:v>1000</x:v>
      </x:c>
      <x:c r="H11" s="16" t="str">
        <x:v>NR</x:v>
      </x:c>
      <x:c r="I11" s="16" t="n">
        <x:v>211</x:v>
      </x:c>
      <x:c r="J11" s="16" t="n">
        <x:v>98200</x:v>
      </x:c>
      <x:c r="K11" s="16" t="str">
        <x:v>UNCLEAR</x:v>
      </x:c>
      <x:c r="L11" s="16" t="str">
        <x:v>Combine simultaneous answer logs into one; extract named skill tags</x:v>
      </x:c>
      <x:c r="M11" s="16" t="str">
        <x:v>NR</x:v>
      </x:c>
      <x:c r="N11" s="16" t="str">
        <x:v>NR</x:v>
      </x:c>
      <x:c r="O11" s="16" t="str">
        <x:v>UNCLEAR</x:v>
      </x:c>
      <x:c r="P11" s="16" t="str">
        <x:v>NR</x:v>
      </x:c>
      <x:c r="Q11" s="16" t="str">
        <x:v>LEARNER_BASED</x:v>
      </x:c>
      <x:c r="R11" s="16" t="str">
        <x:v>students</x:v>
      </x:c>
      <x:c r="S11" s="36" t="n">
        <x:v>0.8</x:v>
      </x:c>
      <x:c r="T11" s="36" t="n">
        <x:v>0.1</x:v>
      </x:c>
      <x:c r="U11" s="36" t="n">
        <x:v>0.1</x:v>
      </x:c>
      <x:c r="V11" s="16" t="str">
        <x:v>Y</x:v>
      </x:c>
      <x:c r="W11" s="16" t="str">
        <x:v>UNCLEAR</x:v>
      </x:c>
      <x:c r="X11" s="16" t="str">
        <x:v>Y</x:v>
      </x:c>
      <x:c r="Y11" s="16" t="str">
        <x:v>NR</x:v>
      </x:c>
      <x:c r="Z11" s="16" t="str">
        <x:v>NA</x:v>
      </x:c>
      <x:c r="AA11" s="16" t="str">
        <x:v>NR</x:v>
      </x:c>
      <x:c r="AB11" s="16" t="str">
        <x:v>NR</x:v>
      </x:c>
      <x:c r="AC11" s="16" t="str">
        <x:v>NO_EXPLICIT_FOCUS</x:v>
      </x:c>
      <x:c r="AD11" s="16" t="str">
        <x:v>NA</x:v>
      </x:c>
      <x:c r="AE11" s="16" t="str">
        <x:v>NA</x:v>
      </x:c>
      <x:c r="AF11" s="16" t="str">
        <x:v>NA</x:v>
      </x:c>
      <x:c r="AG11" s="16" t="str">
        <x:v>NA</x:v>
      </x:c>
      <x:c r="AH11" s="16" t="str">
        <x:v>NA</x:v>
      </x:c>
      <x:c r="AI11" s="16" t="str">
        <x:v>NA</x:v>
      </x:c>
      <x:c r="AJ11" s="16" t="str">
        <x:v>NA</x:v>
      </x:c>
      <x:c r="AK11" s="16" t="str">
        <x:v>NA</x:v>
      </x:c>
      <x:c r="AL11" s="16" t="str">
        <x:v>NA</x:v>
      </x:c>
      <x:c r="AM11" s="16" t="str">
        <x:v>NA</x:v>
      </x:c>
      <x:c r="AN11" s="16" t="str">
        <x:v>NA</x:v>
      </x:c>
      <x:c r="AO11" s="16" t="str">
        <x:v>NA</x:v>
      </x:c>
      <x:c r="AP11" s="16" t="str">
        <x:v>AUC</x:v>
      </x:c>
      <x:c r="AQ11" s="38" t="n">
        <x:v>0.766</x:v>
      </x:c>
      <x:c r="AR11" s="16" t="str">
        <x:v>OVERALL</x:v>
      </x:c>
      <x:c r="AS11" s="16" t="str">
        <x:v>NR</x:v>
      </x:c>
      <x:c r="AT11" s="16" t="str">
        <x:v>NR</x:v>
      </x:c>
      <x:c r="AU11" s="16" t="str">
        <x:v>N</x:v>
      </x:c>
      <x:c r="AV11" s="16" t="str">
        <x:v>NR</x:v>
      </x:c>
      <x:c r="AW11" s="16" t="str">
        <x:v>NA</x:v>
      </x:c>
      <x:c r="AX11" s="16" t="str">
        <x:v>NR</x:v>
      </x:c>
      <x:c r="AY11" s="16" t="str">
        <x:v>NR</x:v>
      </x:c>
      <x:c r="AZ11" s="16" t="str">
        <x:v>NR</x:v>
      </x:c>
      <x:c r="BA11" s="16" t="str">
        <x:v>NR</x:v>
      </x:c>
      <x:c r="BB11" s="16" t="str">
        <x:v>NR</x:v>
      </x:c>
      <x:c r="BC11" s="16" t="str">
        <x:v>NR</x:v>
      </x:c>
      <x:c r="BD11" s="16" t="str">
        <x:v>NR</x:v>
      </x:c>
      <x:c r="BE11" s="16" t="str">
        <x:v>NR</x:v>
      </x:c>
      <x:c r="BF11" s="16" t="str">
        <x:v>NR</x:v>
      </x:c>
      <x:c r="BG11" s="16" t="str">
        <x:v>NR</x:v>
      </x:c>
      <x:c r="BH11" s="16" t="str">
        <x:v>NR</x:v>
      </x:c>
      <x:c r="BI11" s="16" t="str">
        <x:v>NR</x:v>
      </x:c>
      <x:c r="BJ11" s="16" t="str">
        <x:v>NR</x:v>
      </x:c>
      <x:c r="BK11" s="16" t="str">
        <x:v>NR</x:v>
      </x:c>
      <x:c r="BL11" s="16" t="str">
        <x:v>NR</x:v>
      </x:c>
      <x:c r="BM11" s="16" t="str">
        <x:v>N</x:v>
      </x:c>
      <x:c r="BN11" s="16" t="str">
        <x:v>NR</x:v>
      </x:c>
      <x:c r="BO11" s="16" t="str">
        <x:v>AUTHOR_STATED</x:v>
      </x:c>
      <x:c r="BP11" s="16" t="str">
        <x:v>Coder_A_EXAMPLE</x:v>
      </x:c>
      <x:c r="BQ11" s="16" t="str">
        <x:v>HIGH</x:v>
      </x:c>
      <x:c r="BR11" s="16" t="str">
        <x:v>Sec. 3 Datasets; Appendix A; Table 2; Table 1; Appendix B</x:v>
      </x:c>
      <x:c r="BS11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11" s="16" t="str">
        <x:v>PENDING</x:v>
      </x:c>
      <x:c r="BU11" s="16"/>
    </x:row>
    <x:row r="12">
      <x:c r="A12" s="16" t="str">
        <x:v>PILOT_01_E11</x:v>
      </x:c>
      <x:c r="B12" s="16" t="str">
        <x:v>PILOT_01</x:v>
      </x:c>
      <x:c r="C12" s="16" t="str">
        <x:v>PILOT_01_M06</x:v>
      </x:c>
      <x:c r="D12" s="16" t="str">
        <x:v>ASSISTments</x:v>
      </x:c>
      <x:c r="E12" s="16" t="str">
        <x:v>2009-2010 Skill Builder</x:v>
      </x:c>
      <x:c r="F12" s="16" t="str">
        <x:v>ASSISTments public data</x:v>
      </x:c>
      <x:c r="G12" s="16" t="n">
        <x:v>1000</x:v>
      </x:c>
      <x:c r="H12" s="16" t="str">
        <x:v>NR</x:v>
      </x:c>
      <x:c r="I12" s="16" t="n">
        <x:v>101</x:v>
      </x:c>
      <x:c r="J12" s="16" t="n">
        <x:v>62955</x:v>
      </x:c>
      <x:c r="K12" s="16" t="str">
        <x:v>UNCLEAR</x:v>
      </x:c>
      <x:c r="L12" s="16" t="str">
        <x:v>Combine simultaneous answer logs into one; extract named skill tags</x:v>
      </x:c>
      <x:c r="M12" s="16" t="str">
        <x:v>NR</x:v>
      </x:c>
      <x:c r="N12" s="16" t="str">
        <x:v>NR</x:v>
      </x:c>
      <x:c r="O12" s="16" t="str">
        <x:v>UNCLEAR</x:v>
      </x:c>
      <x:c r="P12" s="16" t="str">
        <x:v>NR</x:v>
      </x:c>
      <x:c r="Q12" s="16" t="str">
        <x:v>LEARNER_BASED</x:v>
      </x:c>
      <x:c r="R12" s="16" t="str">
        <x:v>students</x:v>
      </x:c>
      <x:c r="S12" s="36" t="n">
        <x:v>0.8</x:v>
      </x:c>
      <x:c r="T12" s="36" t="n">
        <x:v>0.1</x:v>
      </x:c>
      <x:c r="U12" s="36" t="n">
        <x:v>0.1</x:v>
      </x:c>
      <x:c r="V12" s="16" t="str">
        <x:v>Y</x:v>
      </x:c>
      <x:c r="W12" s="16" t="str">
        <x:v>UNCLEAR</x:v>
      </x:c>
      <x:c r="X12" s="16" t="str">
        <x:v>Y</x:v>
      </x:c>
      <x:c r="Y12" s="16" t="str">
        <x:v>NR</x:v>
      </x:c>
      <x:c r="Z12" s="16" t="str">
        <x:v>NA</x:v>
      </x:c>
      <x:c r="AA12" s="16" t="str">
        <x:v>NR</x:v>
      </x:c>
      <x:c r="AB12" s="16" t="str">
        <x:v>NR</x:v>
      </x:c>
      <x:c r="AC12" s="16" t="str">
        <x:v>NO_EXPLICIT_FOCUS</x:v>
      </x:c>
      <x:c r="AD12" s="16" t="str">
        <x:v>NA</x:v>
      </x:c>
      <x:c r="AE12" s="16" t="str">
        <x:v>NA</x:v>
      </x:c>
      <x:c r="AF12" s="16" t="str">
        <x:v>NA</x:v>
      </x:c>
      <x:c r="AG12" s="16" t="str">
        <x:v>NA</x:v>
      </x:c>
      <x:c r="AH12" s="16" t="str">
        <x:v>NA</x:v>
      </x:c>
      <x:c r="AI12" s="16" t="str">
        <x:v>NA</x:v>
      </x:c>
      <x:c r="AJ12" s="16" t="str">
        <x:v>NA</x:v>
      </x:c>
      <x:c r="AK12" s="16" t="str">
        <x:v>NA</x:v>
      </x:c>
      <x:c r="AL12" s="16" t="str">
        <x:v>NA</x:v>
      </x:c>
      <x:c r="AM12" s="16" t="str">
        <x:v>NA</x:v>
      </x:c>
      <x:c r="AN12" s="16" t="str">
        <x:v>NA</x:v>
      </x:c>
      <x:c r="AO12" s="16" t="str">
        <x:v>NA</x:v>
      </x:c>
      <x:c r="AP12" s="16" t="str">
        <x:v>AUC</x:v>
      </x:c>
      <x:c r="AQ12" s="38" t="n">
        <x:v>0.722</x:v>
      </x:c>
      <x:c r="AR12" s="16" t="str">
        <x:v>OVERALL</x:v>
      </x:c>
      <x:c r="AS12" s="16" t="str">
        <x:v>NR</x:v>
      </x:c>
      <x:c r="AT12" s="16" t="str">
        <x:v>NR</x:v>
      </x:c>
      <x:c r="AU12" s="16" t="str">
        <x:v>N</x:v>
      </x:c>
      <x:c r="AV12" s="16" t="str">
        <x:v>NR</x:v>
      </x:c>
      <x:c r="AW12" s="16" t="str">
        <x:v>NA</x:v>
      </x:c>
      <x:c r="AX12" s="16" t="str">
        <x:v>NR</x:v>
      </x:c>
      <x:c r="AY12" s="16" t="str">
        <x:v>NR</x:v>
      </x:c>
      <x:c r="AZ12" s="16" t="str">
        <x:v>NR</x:v>
      </x:c>
      <x:c r="BA12" s="16" t="str">
        <x:v>NR</x:v>
      </x:c>
      <x:c r="BB12" s="16" t="str">
        <x:v>NR</x:v>
      </x:c>
      <x:c r="BC12" s="16" t="str">
        <x:v>NR</x:v>
      </x:c>
      <x:c r="BD12" s="16" t="str">
        <x:v>NR</x:v>
      </x:c>
      <x:c r="BE12" s="16" t="str">
        <x:v>NR</x:v>
      </x:c>
      <x:c r="BF12" s="16" t="str">
        <x:v>NR</x:v>
      </x:c>
      <x:c r="BG12" s="16" t="str">
        <x:v>NR</x:v>
      </x:c>
      <x:c r="BH12" s="16" t="str">
        <x:v>NR</x:v>
      </x:c>
      <x:c r="BI12" s="16" t="str">
        <x:v>NR</x:v>
      </x:c>
      <x:c r="BJ12" s="16" t="str">
        <x:v>NR</x:v>
      </x:c>
      <x:c r="BK12" s="16" t="str">
        <x:v>NR</x:v>
      </x:c>
      <x:c r="BL12" s="16" t="str">
        <x:v>O(KN^2) -&gt; O(KN) for modified VAE edge inference</x:v>
      </x:c>
      <x:c r="BM12" s="16" t="str">
        <x:v>N</x:v>
      </x:c>
      <x:c r="BN12" s="16" t="str">
        <x:v>NR</x:v>
      </x:c>
      <x:c r="BO12" s="16" t="str">
        <x:v>AUTHOR_STATED</x:v>
      </x:c>
      <x:c r="BP12" s="16" t="str">
        <x:v>Coder_A_EXAMPLE</x:v>
      </x:c>
      <x:c r="BQ12" s="16" t="str">
        <x:v>HIGH</x:v>
      </x:c>
      <x:c r="BR12" s="16" t="str">
        <x:v>Sec. 3 Datasets; Appendix A; Table 2; Table 1; Appendix B</x:v>
      </x:c>
      <x:c r="BS12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For VAE, the paper states its modified edge inference reduces cost from O(KN^2) to O(KN).</x:v>
      </x:c>
      <x:c r="BT12" s="16" t="str">
        <x:v>PENDING</x:v>
      </x:c>
      <x:c r="BU12" s="16"/>
    </x:row>
    <x:row r="13">
      <x:c r="A13" s="16" t="str">
        <x:v>PILOT_01_E12</x:v>
      </x:c>
      <x:c r="B13" s="16" t="str">
        <x:v>PILOT_01</x:v>
      </x:c>
      <x:c r="C13" s="16" t="str">
        <x:v>PILOT_01_M06</x:v>
      </x:c>
      <x:c r="D13" s="16" t="str">
        <x:v>KDDCup</x:v>
      </x:c>
      <x:c r="E13" s="16" t="str">
        <x:v>Bridge to Algebra 2006-2007</x:v>
      </x:c>
      <x:c r="F13" s="16" t="str">
        <x:v>KDD Cup 2010 Educational Data Mining Challenge</x:v>
      </x:c>
      <x:c r="G13" s="16" t="n">
        <x:v>1000</x:v>
      </x:c>
      <x:c r="H13" s="16" t="str">
        <x:v>NR</x:v>
      </x:c>
      <x:c r="I13" s="16" t="n">
        <x:v>211</x:v>
      </x:c>
      <x:c r="J13" s="16" t="n">
        <x:v>98200</x:v>
      </x:c>
      <x:c r="K13" s="16" t="str">
        <x:v>UNCLEAR</x:v>
      </x:c>
      <x:c r="L13" s="16" t="str">
        <x:v>Combine simultaneous answer logs into one; extract named skill tags</x:v>
      </x:c>
      <x:c r="M13" s="16" t="str">
        <x:v>NR</x:v>
      </x:c>
      <x:c r="N13" s="16" t="str">
        <x:v>NR</x:v>
      </x:c>
      <x:c r="O13" s="16" t="str">
        <x:v>UNCLEAR</x:v>
      </x:c>
      <x:c r="P13" s="16" t="str">
        <x:v>NR</x:v>
      </x:c>
      <x:c r="Q13" s="16" t="str">
        <x:v>LEARNER_BASED</x:v>
      </x:c>
      <x:c r="R13" s="16" t="str">
        <x:v>students</x:v>
      </x:c>
      <x:c r="S13" s="36" t="n">
        <x:v>0.8</x:v>
      </x:c>
      <x:c r="T13" s="36" t="n">
        <x:v>0.1</x:v>
      </x:c>
      <x:c r="U13" s="36" t="n">
        <x:v>0.1</x:v>
      </x:c>
      <x:c r="V13" s="16" t="str">
        <x:v>Y</x:v>
      </x:c>
      <x:c r="W13" s="16" t="str">
        <x:v>UNCLEAR</x:v>
      </x:c>
      <x:c r="X13" s="16" t="str">
        <x:v>Y</x:v>
      </x:c>
      <x:c r="Y13" s="16" t="str">
        <x:v>NR</x:v>
      </x:c>
      <x:c r="Z13" s="16" t="str">
        <x:v>NA</x:v>
      </x:c>
      <x:c r="AA13" s="16" t="str">
        <x:v>NR</x:v>
      </x:c>
      <x:c r="AB13" s="16" t="str">
        <x:v>NR</x:v>
      </x:c>
      <x:c r="AC13" s="16" t="str">
        <x:v>NO_EXPLICIT_FOCUS</x:v>
      </x:c>
      <x:c r="AD13" s="16" t="str">
        <x:v>NA</x:v>
      </x:c>
      <x:c r="AE13" s="16" t="str">
        <x:v>NA</x:v>
      </x:c>
      <x:c r="AF13" s="16" t="str">
        <x:v>NA</x:v>
      </x:c>
      <x:c r="AG13" s="16" t="str">
        <x:v>NA</x:v>
      </x:c>
      <x:c r="AH13" s="16" t="str">
        <x:v>NA</x:v>
      </x:c>
      <x:c r="AI13" s="16" t="str">
        <x:v>NA</x:v>
      </x:c>
      <x:c r="AJ13" s="16" t="str">
        <x:v>NA</x:v>
      </x:c>
      <x:c r="AK13" s="16" t="str">
        <x:v>NA</x:v>
      </x:c>
      <x:c r="AL13" s="16" t="str">
        <x:v>NA</x:v>
      </x:c>
      <x:c r="AM13" s="16" t="str">
        <x:v>NA</x:v>
      </x:c>
      <x:c r="AN13" s="16" t="str">
        <x:v>NA</x:v>
      </x:c>
      <x:c r="AO13" s="16" t="str">
        <x:v>NA</x:v>
      </x:c>
      <x:c r="AP13" s="16" t="str">
        <x:v>AUC</x:v>
      </x:c>
      <x:c r="AQ13" s="38" t="n">
        <x:v>0.769</x:v>
      </x:c>
      <x:c r="AR13" s="16" t="str">
        <x:v>OVERALL</x:v>
      </x:c>
      <x:c r="AS13" s="16" t="str">
        <x:v>NR</x:v>
      </x:c>
      <x:c r="AT13" s="16" t="str">
        <x:v>NR</x:v>
      </x:c>
      <x:c r="AU13" s="16" t="str">
        <x:v>N</x:v>
      </x:c>
      <x:c r="AV13" s="16" t="str">
        <x:v>NR</x:v>
      </x:c>
      <x:c r="AW13" s="16" t="str">
        <x:v>NA</x:v>
      </x:c>
      <x:c r="AX13" s="16" t="str">
        <x:v>NR</x:v>
      </x:c>
      <x:c r="AY13" s="16" t="str">
        <x:v>NR</x:v>
      </x:c>
      <x:c r="AZ13" s="16" t="str">
        <x:v>NR</x:v>
      </x:c>
      <x:c r="BA13" s="16" t="str">
        <x:v>NR</x:v>
      </x:c>
      <x:c r="BB13" s="16" t="str">
        <x:v>NR</x:v>
      </x:c>
      <x:c r="BC13" s="16" t="str">
        <x:v>NR</x:v>
      </x:c>
      <x:c r="BD13" s="16" t="str">
        <x:v>NR</x:v>
      </x:c>
      <x:c r="BE13" s="16" t="str">
        <x:v>NR</x:v>
      </x:c>
      <x:c r="BF13" s="16" t="str">
        <x:v>NR</x:v>
      </x:c>
      <x:c r="BG13" s="16" t="str">
        <x:v>NR</x:v>
      </x:c>
      <x:c r="BH13" s="16" t="str">
        <x:v>NR</x:v>
      </x:c>
      <x:c r="BI13" s="16" t="str">
        <x:v>NR</x:v>
      </x:c>
      <x:c r="BJ13" s="16" t="str">
        <x:v>NR</x:v>
      </x:c>
      <x:c r="BK13" s="16" t="str">
        <x:v>NR</x:v>
      </x:c>
      <x:c r="BL13" s="16" t="str">
        <x:v>O(KN^2) -&gt; O(KN) for modified VAE edge inference</x:v>
      </x:c>
      <x:c r="BM13" s="16" t="str">
        <x:v>N</x:v>
      </x:c>
      <x:c r="BN13" s="16" t="str">
        <x:v>NR</x:v>
      </x:c>
      <x:c r="BO13" s="16" t="str">
        <x:v>AUTHOR_STATED</x:v>
      </x:c>
      <x:c r="BP13" s="16" t="str">
        <x:v>Coder_A_EXAMPLE</x:v>
      </x:c>
      <x:c r="BQ13" s="16" t="str">
        <x:v>HIGH</x:v>
      </x:c>
      <x:c r="BR13" s="16" t="str">
        <x:v>Sec. 3 Datasets; Appendix A; Table 2; Table 1; Appendix B</x:v>
      </x:c>
      <x:c r="BS13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For VAE, the paper states its modified edge inference reduces cost from O(KN^2) to O(KN).</x:v>
      </x:c>
      <x:c r="BT13" s="16" t="str">
        <x:v>PENDING</x:v>
      </x:c>
      <x:c r="BU13" s="16"/>
    </x:row>
  </x:sheetData>
  <x:pageMargins left="0.7" right="0.7" top="0.75" bottom="0.75" header="0.3" footer="0.3"/>
  <x:tableParts count="1">
    <x:tablePart xmlns:r="http://schemas.openxmlformats.org/officeDocument/2006/relationships" r:id="Rb261185dbafd4f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43" t="str">
        <x:v>Sheet</x:v>
      </x:c>
      <x:c r="B1" s="43" t="str">
        <x:v>Field / exact cell(s)</x:v>
      </x:c>
      <x:c r="C1" s="43" t="str">
        <x:v>What to enter for KT004</x:v>
      </x:c>
      <x:c r="D1" s="43" t="str">
        <x:v>Where to read in paper</x:v>
      </x:c>
      <x:c r="E1" s="43" t="str">
        <x:v>Why / coding rule</x:v>
      </x:c>
      <x:c r="F1" s="43" t="str">
        <x:v>Source URL</x:v>
      </x:c>
    </x:row>
    <x:row r="2">
      <x:c r="A2" s="16" t="str">
        <x:v>Paper_Coding_KT004</x:v>
      </x:c>
      <x:c r="B2" s="16" t="str">
        <x:v>A2–N2</x:v>
      </x:c>
      <x:c r="C2" s="16" t="str">
        <x:v>Paper identity, eligibility, corpus tier</x:v>
      </x:c>
      <x:c r="D2" s="16" t="str">
        <x:v>Official metadata; Abstract; Introduction; Sec. 2</x:v>
      </x:c>
      <x:c r="E2" s="16" t="str">
        <x:v>KT is central; explicit graph is central; no SSL → PRIMARY_CORE / GRAPH_KT</x:v>
      </x:c>
      <x:c r="F2" s="16" t="str">
        <x:v>https://doi.org/10.1145/3350546.3352513</x:v>
      </x:c>
    </x:row>
    <x:row r="3">
      <x:c r="A3" s="16" t="str">
        <x:v>Paper_Coding_KT004</x:v>
      </x:c>
      <x:c r="B3" s="16" t="str">
        <x:v>P2–V2</x:v>
      </x:c>
      <x:c r="C3" s="16" t="str">
        <x:v>NR/blank for author code/config/seeds/environment/archive; data_available=Y</x:v>
      </x:c>
      <x:c r="D3" s="16" t="str">
        <x:v>Sec. 3; Appendix A–B; paper-wide search</x:v>
      </x:c>
      <x:c r="E3" s="16" t="str">
        <x:v>Paper names public datasets and preprocessing, but does not report an author code artifact in the paper.</x:v>
      </x:c>
      <x:c r="F3" s="16" t="str">
        <x:v>https://rlgm.github.io/papers/70.pdf</x:v>
      </x:c>
    </x:row>
    <x:row r="4">
      <x:c r="A4" s="16" t="str">
        <x:v>Paper_Coding_KT004</x:v>
      </x:c>
      <x:c r="B4" s="16" t="str">
        <x:v>W2–AH2</x:v>
      </x:c>
      <x:c r="C4" s="16" t="str">
        <x:v>Provisional QA: 2,2,1,2,0,1,NA,1 → normalized MODERATE</x:v>
      </x:c>
      <x:c r="D4" s="16" t="str">
        <x:v>Sec. 2–3; Appendix A–B</x:v>
      </x:c>
      <x:c r="E4" s="16" t="str">
        <x:v>Pilot QA only; must be independently coded by Coder B.</x:v>
      </x:c>
      <x:c r="F4" s="16" t="str">
        <x:v>https://rlgm.github.io/papers/70.pdf</x:v>
      </x:c>
    </x:row>
    <x:row r="5">
      <x:c r="A5" s="16" t="str">
        <x:v>Model_Coding_KT004</x:v>
      </x:c>
      <x:c r="B5" s="16" t="str">
        <x:v>Rows 2–7</x:v>
      </x:c>
      <x:c r="C5" s="16" t="str">
        <x:v>Six model entries: Dense, Transition, DKT Graph, PAM, MHA, VAE</x:v>
      </x:c>
      <x:c r="D5" s="16" t="str">
        <x:v>Sec. 2.2</x:v>
      </x:c>
      <x:c r="E5" s="16" t="str">
        <x:v>Graph construction is a substantive model dimension under the locked codebook.</x:v>
      </x:c>
      <x:c r="F5" s="16" t="str">
        <x:v>https://rlgm.github.io/papers/70.pdf</x:v>
      </x:c>
    </x:row>
    <x:row r="6">
      <x:c r="A6" s="16" t="str">
        <x:v>Model_Coding_KT004</x:v>
      </x:c>
      <x:c r="B6" s="16" t="str">
        <x:v>Dense row</x:v>
      </x:c>
      <x:c r="C6" s="16" t="str">
        <x:v>graph_source=OTHER*; provenance=MODEL_DEFINED_FIXED*</x:v>
      </x:c>
      <x:c r="D6" s="16" t="str">
        <x:v>Sec. 2.2 Dense Graph</x:v>
      </x:c>
      <x:c r="E6" s="16" t="str">
        <x:v>Pilot reveals missing codebook categories for data-independent model-defined graphs.</x:v>
      </x:c>
      <x:c r="F6" s="16" t="str">
        <x:v>https://rlgm.github.io/papers/70.pdf</x:v>
      </x:c>
    </x:row>
    <x:row r="7">
      <x:c r="A7" s="16" t="str">
        <x:v>Model_Coding_KT004</x:v>
      </x:c>
      <x:c r="B7" s="16" t="str">
        <x:v>Transition row</x:v>
      </x:c>
      <x:c r="C7" s="16" t="str">
        <x:v>graph_source=SEQUENTIAL_TRANSITION*; provenance=PRECOMPUTED_UNCLEAR_SPLIT; leakage=POTENTIAL</x:v>
      </x:c>
      <x:c r="D7" s="16" t="str">
        <x:v>Sec. 2.2 Transition Graph; Appendix B</x:v>
      </x:c>
      <x:c r="E7" s="16" t="str">
        <x:v>Transition counts are data-derived; paper does not explicitly say this graph is computed from train only.</x:v>
      </x:c>
      <x:c r="F7" s="16" t="str">
        <x:v>https://rlgm.github.io/papers/70.pdf</x:v>
      </x:c>
    </x:row>
    <x:row r="8">
      <x:c r="A8" s="16" t="str">
        <x:v>Model_Coding_KT004</x:v>
      </x:c>
      <x:c r="B8" s="16" t="str">
        <x:v>DKTGraph row</x:v>
      </x:c>
      <x:c r="C8" s="16" t="str">
        <x:v>LEARNED_FROM_INTERACTIONS; PRECOMPUTED_UNCLEAR_SPLIT; leakage=POTENTIAL</x:v>
      </x:c>
      <x:c r="D8" s="16" t="str">
        <x:v>Sec. 2.2 DKT Graph; Appendix B</x:v>
      </x:c>
      <x:c r="E8" s="16" t="str">
        <x:v>Graph derives from a trained DKT; exact extraction partition is not explicit.</x:v>
      </x:c>
      <x:c r="F8" s="16" t="str">
        <x:v>https://rlgm.github.io/papers/70.pdf</x:v>
      </x:c>
    </x:row>
    <x:row r="9">
      <x:c r="A9" s="16" t="str">
        <x:v>Model_Coding_KT004</x:v>
      </x:c>
      <x:c r="B9" s="16" t="str">
        <x:v>PAM/MHA/VAE rows</x:v>
      </x:c>
      <x:c r="C9" s="16" t="str">
        <x:v>JOINTLY_LEARNED_TRAINING; leakage=LOW</x:v>
      </x:c>
      <x:c r="D9" s="16" t="str">
        <x:v>Sec. 2.2; Appendix B</x:v>
      </x:c>
      <x:c r="E9" s="16" t="str">
        <x:v>Graph structure is jointly learned while models are trained on training-student data.</x:v>
      </x:c>
      <x:c r="F9" s="16" t="str">
        <x:v>https://rlgm.github.io/papers/70.pdf</x:v>
      </x:c>
    </x:row>
    <x:row r="10">
      <x:c r="A10" s="16" t="str">
        <x:v>Model_Coding_KT004</x:v>
      </x:c>
      <x:c r="B10" s="16" t="str">
        <x:v>All six rows</x:v>
      </x:c>
      <x:c r="C10" s="16" t="str">
        <x:v>graph_representation=KC_KC; dynamic=N; temporal_backbone=RNN_LSTM_GRU; fusion=MESSAGE_PASSING_IN_PREDICTION_LOOP</x:v>
      </x:c>
      <x:c r="D10" s="16" t="str">
        <x:v>Introduction; Sec. 2.1; Sec. 2.2</x:v>
      </x:c>
      <x:c r="E10" s="16" t="str">
        <x:v>Nodes are concepts, graph is invariant to students/time, concept states are updated with GRU.</x:v>
      </x:c>
      <x:c r="F10" s="16" t="str">
        <x:v>https://rlgm.github.io/papers/70.pdf</x:v>
      </x:c>
    </x:row>
    <x:row r="11">
      <x:c r="A11" s="16" t="str">
        <x:v>Model_Coding_KT004</x:v>
      </x:c>
      <x:c r="B11" s="16" t="str">
        <x:v>All six rows</x:v>
      </x:c>
      <x:c r="C11" s="16" t="str">
        <x:v>ssl_family=NONE</x:v>
      </x:c>
      <x:c r="D11" s="16" t="str">
        <x:v>Sec. 2.1–2.2</x:v>
      </x:c>
      <x:c r="E11" s="16" t="str">
        <x:v>NLL is supervised KT; VAE KL/latent-edge inference is not treated as a separate SSL pretext task under frozen definitions.</x:v>
      </x:c>
      <x:c r="F11" s="16" t="str">
        <x:v>https://rlgm.github.io/papers/70.pdf</x:v>
      </x:c>
    </x:row>
    <x:row r="12">
      <x:c r="A12" s="16" t="str">
        <x:v>Experiment_Coding_KT004</x:v>
      </x:c>
      <x:c r="B12" s="16" t="str">
        <x:v>12 rows</x:v>
      </x:c>
      <x:c r="C12" s="16" t="str">
        <x:v>6 GKT variants × 2 datasets</x:v>
      </x:c>
      <x:c r="D12" s="16" t="str">
        <x:v>Sec. 3; Table 1; Table 2</x:v>
      </x:c>
      <x:c r="E12" s="16" t="str">
        <x:v>Each proposed graph-construction variant has an AUC on each dataset.</x:v>
      </x:c>
      <x:c r="F12" s="16" t="str">
        <x:v>https://rlgm.github.io/papers/70.pdf</x:v>
      </x:c>
    </x:row>
    <x:row r="13">
      <x:c r="A13" s="16" t="str">
        <x:v>Experiment_Coding_KT004</x:v>
      </x:c>
      <x:c r="B13" s="16" t="str">
        <x:v>Dataset fields</x:v>
      </x:c>
      <x:c r="C13" s="16" t="str">
        <x:v>ASSISTments: 1000 learners, 101 skills, 62,955 logs; KDDCup: 1000, 211, 98,200</x:v>
      </x:c>
      <x:c r="D13" s="16" t="str">
        <x:v>Table 2</x:v>
      </x:c>
      <x:c r="E13" s="16" t="str">
        <x:v>Use paper-reported post-preprocessing counts; item counts are NR.</x:v>
      </x:c>
      <x:c r="F13" s="16" t="str">
        <x:v>https://rlgm.github.io/papers/70.pdf</x:v>
      </x:c>
    </x:row>
    <x:row r="14">
      <x:c r="A14" s="16" t="str">
        <x:v>Experiment_Coding_KT004</x:v>
      </x:c>
      <x:c r="B14" s="16" t="str">
        <x:v>Split fields</x:v>
      </x:c>
      <x:c r="C14" s="16" t="str">
        <x:v>LEARNER_BASED; 0.8/0.1/0.1; separate validation=Y</x:v>
      </x:c>
      <x:c r="D14" s="16" t="str">
        <x:v>Appendix B</x:v>
      </x:c>
      <x:c r="E14" s="16" t="str">
        <x:v>Paper explicitly divides students 8:1:1 and tunes on validation students.</x:v>
      </x:c>
      <x:c r="F14" s="16" t="str">
        <x:v>https://rlgm.github.io/papers/70.pdf</x:v>
      </x:c>
    </x:row>
    <x:row r="15">
      <x:c r="A15" s="16" t="str">
        <x:v>Experiment_Coding_KT004</x:v>
      </x:c>
      <x:c r="B15" s="16" t="str">
        <x:v>Sparsity fields</x:v>
      </x:c>
      <x:c r="C15" s="16" t="str">
        <x:v>NO_EXPLICIT_FOCUS; sparse/cold-start fields=NA</x:v>
      </x:c>
      <x:c r="D15" s="16" t="str">
        <x:v>Appendix A; Sec. 3</x:v>
      </x:c>
      <x:c r="E15" s="16" t="str">
        <x:v>Filtering skills with &lt;10 answers is preprocessing, not a sparse-KC evaluation protocol.</x:v>
      </x:c>
      <x:c r="F15" s="16" t="str">
        <x:v>https://rlgm.github.io/papers/70.pdf</x:v>
      </x:c>
    </x:row>
    <x:row r="16">
      <x:c r="A16" s="16" t="str">
        <x:v>Experiment_Coding_KT004</x:v>
      </x:c>
      <x:c r="B16" s="16" t="str">
        <x:v>Metric fields</x:v>
      </x:c>
      <x:c r="C16" s="16" t="str">
        <x:v>AUC; Table-1 values</x:v>
      </x:c>
      <x:c r="D16" s="16" t="str">
        <x:v>Table 1</x:v>
      </x:c>
      <x:c r="E16" s="16" t="str">
        <x:v>Reported proposed-method metric is overall AUC; no CI/seeds/stats reported.</x:v>
      </x:c>
      <x:c r="F16" s="16" t="str">
        <x:v>https://rlgm.github.io/papers/70.pdf</x:v>
      </x:c>
    </x:row>
    <x:row r="17">
      <x:c r="A17" s="16" t="str">
        <x:v>Experiment_Coding_KT004</x:v>
      </x:c>
      <x:c r="B17" s="16" t="str">
        <x:v>Compute fields</x:v>
      </x:c>
      <x:c r="C17" s="16" t="str">
        <x:v>Mostly NR; VAE complexity O(KN^2)→O(KN)</x:v>
      </x:c>
      <x:c r="D17" s="16" t="str">
        <x:v>Sec. 2.2</x:v>
      </x:c>
      <x:c r="E17" s="16" t="str">
        <x:v>Only an asymptotic complexity reduction is explicitly discussed.</x:v>
      </x:c>
      <x:c r="F17" s="16" t="str">
        <x:v>https://rlgm.github.io/papers/70.pdf</x:v>
      </x:c>
    </x:row>
  </x:sheetData>
  <x:pageMargins left="0.7" right="0.7" top="0.75" bottom="0.75" header="0.3" footer="0.3"/>
  <x:tableParts count="1">
    <x:tablePart xmlns:r="http://schemas.openxmlformats.org/officeDocument/2006/relationships" r:id="Rf3bcfec82f6c43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60" hidden="0" customWidth="1"/>
    <x:col min="4" max="4" width="16" hidden="0" customWidth="1"/>
  </x:cols>
  <x:sheetData>
    <x:row r="1">
      <x:c r="A1" s="52" t="str">
        <x:v>Issue</x:v>
      </x:c>
      <x:c r="B1" s="52" t="str">
        <x:v>Observed in KT004</x:v>
      </x:c>
      <x:c r="C1" s="52" t="str">
        <x:v>Recommendation</x:v>
      </x:c>
      <x:c r="D1" s="52" t="str">
        <x:v>Status</x:v>
      </x:c>
    </x:row>
    <x:row r="2">
      <x:c r="A2" t="str">
        <x:v>CB09 graph provenance</x:v>
      </x:c>
      <x:c r="B2" t="str">
        <x:v>Dense Graph is fixed by model design and is neither external nor inferred from data.</x:v>
      </x:c>
      <x:c r="C2" t="str">
        <x:v>Add `MODEL_DEFINED_FIXED` to graph_provenance.</x:v>
      </x:c>
      <x:c r="D2" t="str">
        <x:v>CANDIDATE</x:v>
      </x:c>
    </x:row>
    <x:row r="3">
      <x:c r="A3" t="str">
        <x:v>CB10 graph source</x:v>
      </x:c>
      <x:c r="B3" t="str">
        <x:v>Transition Graph is based on ordered concept transitions, not ordinary co-occurrence.</x:v>
      </x:c>
      <x:c r="C3" t="str">
        <x:v>Add `SEQUENTIAL_TRANSITION` to graph_source.</x:v>
      </x:c>
      <x:c r="D3" t="str">
        <x:v>CANDIDATE</x:v>
      </x:c>
    </x:row>
    <x:row r="4">
      <x:c r="A4" t="str">
        <x:v>CB11 evidence traceability</x:v>
      </x:c>
      <x:c r="B4" t="str">
        <x:v>A single row-level coding_basis/evidence_locator cannot represent dozens of fields with mixed author-stated vs reviewer-inferred status.</x:v>
      </x:c>
      <x:c r="C4" t="str">
        <x:v>Add a long-form `Coding_Evidence` table keyed by entity_id + field.</x:v>
      </x:c>
      <x:c r="D4" t="str">
        <x:v>CANDIDATE</x:v>
      </x:c>
    </x:row>
    <x:row r="5">
      <x:c r="A5" t="str">
        <x:v>CB12 model-entry granularity</x:v>
      </x:c>
      <x:c r="B5" t="str">
        <x:v>One paper has six graph-construction variants under one shared GKT architecture.</x:v>
      </x:c>
      <x:c r="C5" t="str">
        <x:v>Keep six model entries because graph construction is a substantive taxonomy dimension.</x:v>
      </x:c>
      <x:c r="D5" t="str">
        <x:v>SUPPORTED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60" hidden="0" customWidth="1"/>
  </x:cols>
  <x:sheetData>
    <x:row r="1">
      <x:c r="A1" s="11" t="str">
        <x:v>Source</x:v>
      </x:c>
      <x:c r="B1" s="11" t="str">
        <x:v>Use</x:v>
      </x:c>
      <x:c r="C1" s="11" t="str">
        <x:v>URL</x:v>
      </x:c>
    </x:row>
    <x:row r="2">
      <x:c r="A2" t="str">
        <x:v>Official DOI / conference metadata</x:v>
      </x:c>
      <x:c r="B2" t="str">
        <x:v>Bibliographic identity</x:v>
      </x:c>
      <x:c r="C2" t="str">
        <x:v>https://doi.org/10.1145/3350546.3352513</x:v>
      </x:c>
    </x:row>
    <x:row r="3">
      <x:c r="A3" t="str">
        <x:v>Public full-text version</x:v>
      </x:c>
      <x:c r="B3" t="str">
        <x:v>Method, experiments, appendix</x:v>
      </x:c>
      <x:c r="C3" t="str">
        <x:v>https://rlgm.github.io/papers/70.pdf</x:v>
      </x:c>
    </x:row>
    <x:row r="4">
      <x:c r="A4" t="str">
        <x:v>Third-party implementation</x:v>
      </x:c>
      <x:c r="B4" t="str">
        <x:v>Reproducibility context only; not coded as author artifact</x:v>
      </x:c>
      <x:c r="C4" t="str">
        <x:v>https://github.com/jhljx/GKT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7" hidden="0" customWidth="1"/>
    <x:col min="4" max="4" width="34" hidden="0" customWidth="1"/>
    <x:col min="5" max="5" width="30" hidden="0" customWidth="1"/>
    <x:col min="6" max="6" width="44" hidden="0" customWidth="1"/>
    <x:col min="7" max="7" width="12" hidden="0" customWidth="1"/>
    <x:col min="8" max="8" width="14" hidden="0" customWidth="1"/>
    <x:col min="9" max="9" width="30" hidden="0" customWidth="1"/>
  </x:cols>
  <x:sheetData>
    <x:row r="1">
      <x:c r="A1" s="58" t="str">
        <x:v>Seq</x:v>
      </x:c>
      <x:c r="B1" s="58" t="str">
        <x:v>Level</x:v>
      </x:c>
      <x:c r="C1" s="58" t="str">
        <x:v>Entity ID</x:v>
      </x:c>
      <x:c r="D1" s="58" t="str">
        <x:v>Field</x:v>
      </x:c>
      <x:c r="E1" s="58" t="str">
        <x:v>Coder Value</x:v>
      </x:c>
      <x:c r="F1" s="58" t="str">
        <x:v>Evidence Locator</x:v>
      </x:c>
      <x:c r="G1" s="58" t="str">
        <x:v>Confidence</x:v>
      </x:c>
      <x:c r="H1" s="58" t="str">
        <x:v>Kappa Eligible</x:v>
      </x:c>
      <x:c r="I1" s="58" t="str">
        <x:v>Notes</x:v>
      </x:c>
    </x:row>
    <x:row r="2">
      <x:c r="A2" s="16" t="n">
        <x:v>1</x:v>
      </x:c>
      <x:c r="B2" s="16" t="str">
        <x:v>PAPER</x:v>
      </x:c>
      <x:c r="C2" s="16" t="str">
        <x:v>PILOT_01</x:v>
      </x:c>
      <x:c r="D2" s="16" t="str">
        <x:v>kt_central_task</x:v>
      </x:c>
      <x:c r="E2" s="16" t="str">
        <x:f>'Paper_Coding_KT004'!I2</x:f>
        <x:v>Y</x:v>
      </x:c>
      <x:c r="F2" s="16" t="str">
        <x:f>'Paper_Coding_KT004'!AK2</x:f>
        <x:v>Official metadata + Abstract/Introduction; Sec. 2.1–2.2; Sec. 3; Appendix A–B</x:v>
      </x:c>
      <x:c r="G2" s="16" t="str">
        <x:v>HIGH</x:v>
      </x:c>
      <x:c r="H2" s="16" t="str">
        <x:v>Y</x:v>
      </x:c>
      <x:c r="I2" s="16" t="str">
        <x:v>Coder A worked example</x:v>
      </x:c>
    </x:row>
    <x:row r="3">
      <x:c r="A3" s="16" t="n">
        <x:v>2</x:v>
      </x:c>
      <x:c r="B3" s="16" t="str">
        <x:v>PAPER</x:v>
      </x:c>
      <x:c r="C3" s="16" t="str">
        <x:v>PILOT_01</x:v>
      </x:c>
      <x:c r="D3" s="16" t="str">
        <x:v>G_criterion</x:v>
      </x:c>
      <x:c r="E3" s="16" t="str">
        <x:f>'Paper_Coding_KT004'!J2</x:f>
        <x:v>Y</x:v>
      </x:c>
      <x:c r="F3" s="16" t="str">
        <x:f>'Paper_Coding_KT004'!AK2</x:f>
        <x:v>Official metadata + Abstract/Introduction; Sec. 2.1–2.2; Sec. 3; Appendix A–B</x:v>
      </x:c>
      <x:c r="G3" s="16" t="str">
        <x:v>HIGH</x:v>
      </x:c>
      <x:c r="H3" s="16" t="str">
        <x:v>Y</x:v>
      </x:c>
      <x:c r="I3" s="16" t="str">
        <x:v>Coder A worked example</x:v>
      </x:c>
    </x:row>
    <x:row r="4">
      <x:c r="A4" s="16" t="n">
        <x:v>3</x:v>
      </x:c>
      <x:c r="B4" s="16" t="str">
        <x:v>PAPER</x:v>
      </x:c>
      <x:c r="C4" s="16" t="str">
        <x:v>PILOT_01</x:v>
      </x:c>
      <x:c r="D4" s="16" t="str">
        <x:v>S_criterion</x:v>
      </x:c>
      <x:c r="E4" s="16" t="str">
        <x:f>'Paper_Coding_KT004'!K2</x:f>
        <x:v>N</x:v>
      </x:c>
      <x:c r="F4" s="16" t="str">
        <x:f>'Paper_Coding_KT004'!AK2</x:f>
        <x:v>Official metadata + Abstract/Introduction; Sec. 2.1–2.2; Sec. 3; Appendix A–B</x:v>
      </x:c>
      <x:c r="G4" s="16" t="str">
        <x:v>HIGH</x:v>
      </x:c>
      <x:c r="H4" s="16" t="str">
        <x:v>Y</x:v>
      </x:c>
      <x:c r="I4" s="16" t="str">
        <x:v>Coder A worked example</x:v>
      </x:c>
    </x:row>
    <x:row r="5">
      <x:c r="A5" s="16" t="n">
        <x:v>4</x:v>
      </x:c>
      <x:c r="B5" s="16" t="str">
        <x:v>PAPER</x:v>
      </x:c>
      <x:c r="C5" s="16" t="str">
        <x:v>PILOT_01</x:v>
      </x:c>
      <x:c r="D5" s="16" t="str">
        <x:v>primary_gateway_pass</x:v>
      </x:c>
      <x:c r="E5" s="16" t="str">
        <x:f>'Paper_Coding_KT004'!L2</x:f>
        <x:v>PASS</x:v>
      </x:c>
      <x:c r="F5" s="16" t="str">
        <x:f>'Paper_Coding_KT004'!AK2</x:f>
        <x:v>Official metadata + Abstract/Introduction; Sec. 2.1–2.2; Sec. 3; Appendix A–B</x:v>
      </x:c>
      <x:c r="G5" s="16" t="str">
        <x:v>HIGH</x:v>
      </x:c>
      <x:c r="H5" s="16" t="str">
        <x:v>Y</x:v>
      </x:c>
      <x:c r="I5" s="16" t="str">
        <x:v>Coder A worked example</x:v>
      </x:c>
    </x:row>
    <x:row r="6">
      <x:c r="A6" s="16" t="n">
        <x:v>5</x:v>
      </x:c>
      <x:c r="B6" s="16" t="str">
        <x:v>PAPER</x:v>
      </x:c>
      <x:c r="C6" s="16" t="str">
        <x:v>PILOT_01</x:v>
      </x:c>
      <x:c r="D6" s="16" t="str">
        <x:v>corpus_status</x:v>
      </x:c>
      <x:c r="E6" s="16" t="str">
        <x:f>'Paper_Coding_KT004'!M2</x:f>
        <x:v>PRIMARY_CORE</x:v>
      </x:c>
      <x:c r="F6" s="16" t="str">
        <x:f>'Paper_Coding_KT004'!AK2</x:f>
        <x:v>Official metadata + Abstract/Introduction; Sec. 2.1–2.2; Sec. 3; Appendix A–B</x:v>
      </x:c>
      <x:c r="G6" s="16" t="str">
        <x:v>HIGH</x:v>
      </x:c>
      <x:c r="H6" s="16" t="str">
        <x:v>Y</x:v>
      </x:c>
      <x:c r="I6" s="16" t="str">
        <x:v>Coder A worked example</x:v>
      </x:c>
    </x:row>
    <x:row r="7">
      <x:c r="A7" s="16" t="n">
        <x:v>6</x:v>
      </x:c>
      <x:c r="B7" s="16" t="str">
        <x:v>PAPER</x:v>
      </x:c>
      <x:c r="C7" s="16" t="str">
        <x:v>PILOT_01</x:v>
      </x:c>
      <x:c r="D7" s="16" t="str">
        <x:v>role_in_survey</x:v>
      </x:c>
      <x:c r="E7" s="16" t="str">
        <x:f>'Paper_Coding_KT004'!N2</x:f>
        <x:v>GRAPH_KT</x:v>
      </x:c>
      <x:c r="F7" s="16" t="str">
        <x:f>'Paper_Coding_KT004'!AK2</x:f>
        <x:v>Official metadata + Abstract/Introduction; Sec. 2.1–2.2; Sec. 3; Appendix A–B</x:v>
      </x:c>
      <x:c r="G7" s="16" t="str">
        <x:v>HIGH</x:v>
      </x:c>
      <x:c r="H7" s="16" t="str">
        <x:v>Y</x:v>
      </x:c>
      <x:c r="I7" s="16" t="str">
        <x:v>Coder A worked example</x:v>
      </x:c>
    </x:row>
    <x:row r="8">
      <x:c r="A8" s="16" t="n">
        <x:v>7</x:v>
      </x:c>
      <x:c r="B8" s="16" t="str">
        <x:v>PAPER</x:v>
      </x:c>
      <x:c r="C8" s="16" t="str">
        <x:v>PILOT_01</x:v>
      </x:c>
      <x:c r="D8" s="16" t="str">
        <x:v>code_available</x:v>
      </x:c>
      <x:c r="E8" s="16" t="str">
        <x:f>'Paper_Coding_KT004'!P2</x:f>
        <x:v>NR</x:v>
      </x:c>
      <x:c r="F8" s="16" t="str">
        <x:f>'Paper_Coding_KT004'!AK2</x:f>
        <x:v>Official metadata + Abstract/Introduction; Sec. 2.1–2.2; Sec. 3; Appendix A–B</x:v>
      </x:c>
      <x:c r="G8" s="16" t="str">
        <x:v>HIGH</x:v>
      </x:c>
      <x:c r="H8" s="16" t="str">
        <x:v>Y</x:v>
      </x:c>
      <x:c r="I8" s="16" t="str">
        <x:v>Coder A worked example</x:v>
      </x:c>
    </x:row>
    <x:row r="9">
      <x:c r="A9" s="16" t="n">
        <x:v>8</x:v>
      </x:c>
      <x:c r="B9" s="16" t="str">
        <x:v>PAPER</x:v>
      </x:c>
      <x:c r="C9" s="16" t="str">
        <x:v>PILOT_01</x:v>
      </x:c>
      <x:c r="D9" s="16" t="str">
        <x:v>data_available</x:v>
      </x:c>
      <x:c r="E9" s="16" t="str">
        <x:f>'Paper_Coding_KT004'!R2</x:f>
        <x:v>Y</x:v>
      </x:c>
      <x:c r="F9" s="16" t="str">
        <x:f>'Paper_Coding_KT004'!AK2</x:f>
        <x:v>Official metadata + Abstract/Introduction; Sec. 2.1–2.2; Sec. 3; Appendix A–B</x:v>
      </x:c>
      <x:c r="G9" s="16" t="str">
        <x:v>HIGH</x:v>
      </x:c>
      <x:c r="H9" s="16" t="str">
        <x:v>Y</x:v>
      </x:c>
      <x:c r="I9" s="16" t="str">
        <x:v>Coder A worked example</x:v>
      </x:c>
    </x:row>
    <x:row r="10">
      <x:c r="A10" s="16" t="n">
        <x:v>9</x:v>
      </x:c>
      <x:c r="B10" s="16" t="str">
        <x:v>PAPER</x:v>
      </x:c>
      <x:c r="C10" s="16" t="str">
        <x:v>PILOT_01</x:v>
      </x:c>
      <x:c r="D10" s="16" t="str">
        <x:v>config_available</x:v>
      </x:c>
      <x:c r="E10" s="16" t="str">
        <x:f>'Paper_Coding_KT004'!S2</x:f>
        <x:v>NR</x:v>
      </x:c>
      <x:c r="F10" s="16" t="str">
        <x:f>'Paper_Coding_KT004'!AK2</x:f>
        <x:v>Official metadata + Abstract/Introduction; Sec. 2.1–2.2; Sec. 3; Appendix A–B</x:v>
      </x:c>
      <x:c r="G10" s="16" t="str">
        <x:v>HIGH</x:v>
      </x:c>
      <x:c r="H10" s="16" t="str">
        <x:v>Y</x:v>
      </x:c>
      <x:c r="I10" s="16" t="str">
        <x:v>Coder A worked example</x:v>
      </x:c>
    </x:row>
    <x:row r="11">
      <x:c r="A11" s="16" t="n">
        <x:v>10</x:v>
      </x:c>
      <x:c r="B11" s="16" t="str">
        <x:v>PAPER</x:v>
      </x:c>
      <x:c r="C11" s="16" t="str">
        <x:v>PILOT_01</x:v>
      </x:c>
      <x:c r="D11" s="16" t="str">
        <x:v>seed_available</x:v>
      </x:c>
      <x:c r="E11" s="16" t="str">
        <x:f>'Paper_Coding_KT004'!T2</x:f>
        <x:v>NR</x:v>
      </x:c>
      <x:c r="F11" s="16" t="str">
        <x:f>'Paper_Coding_KT004'!AK2</x:f>
        <x:v>Official metadata + Abstract/Introduction; Sec. 2.1–2.2; Sec. 3; Appendix A–B</x:v>
      </x:c>
      <x:c r="G11" s="16" t="str">
        <x:v>HIGH</x:v>
      </x:c>
      <x:c r="H11" s="16" t="str">
        <x:v>Y</x:v>
      </x:c>
      <x:c r="I11" s="16" t="str">
        <x:v>Coder A worked example</x:v>
      </x:c>
    </x:row>
    <x:row r="12">
      <x:c r="A12" s="16" t="n">
        <x:v>11</x:v>
      </x:c>
      <x:c r="B12" s="16" t="str">
        <x:v>PAPER</x:v>
      </x:c>
      <x:c r="C12" s="16" t="str">
        <x:v>PILOT_01</x:v>
      </x:c>
      <x:c r="D12" s="16" t="str">
        <x:v>environment_available</x:v>
      </x:c>
      <x:c r="E12" s="16" t="str">
        <x:f>'Paper_Coding_KT004'!U2</x:f>
        <x:v>NR</x:v>
      </x:c>
      <x:c r="F12" s="16" t="str">
        <x:f>'Paper_Coding_KT004'!AK2</x:f>
        <x:v>Official metadata + Abstract/Introduction; Sec. 2.1–2.2; Sec. 3; Appendix A–B</x:v>
      </x:c>
      <x:c r="G12" s="16" t="str">
        <x:v>HIGH</x:v>
      </x:c>
      <x:c r="H12" s="16" t="str">
        <x:v>Y</x:v>
      </x:c>
      <x:c r="I12" s="16" t="str">
        <x:v>Coder A worked example</x:v>
      </x:c>
    </x:row>
    <x:row r="13">
      <x:c r="A13" s="16" t="n">
        <x:v>12</x:v>
      </x:c>
      <x:c r="B13" s="16" t="str">
        <x:v>PAPER</x:v>
      </x:c>
      <x:c r="C13" s="16" t="str">
        <x:v>PILOT_01</x:v>
      </x:c>
      <x:c r="D13" s="16" t="str">
        <x:v>artifact_archive_available</x:v>
      </x:c>
      <x:c r="E13" s="16" t="str">
        <x:f>'Paper_Coding_KT004'!V2</x:f>
        <x:v>NR</x:v>
      </x:c>
      <x:c r="F13" s="16" t="str">
        <x:f>'Paper_Coding_KT004'!AK2</x:f>
        <x:v>Official metadata + Abstract/Introduction; Sec. 2.1–2.2; Sec. 3; Appendix A–B</x:v>
      </x:c>
      <x:c r="G13" s="16" t="str">
        <x:v>HIGH</x:v>
      </x:c>
      <x:c r="H13" s="16" t="str">
        <x:v>Y</x:v>
      </x:c>
      <x:c r="I13" s="16" t="str">
        <x:v>Coder A worked example</x:v>
      </x:c>
    </x:row>
    <x:row r="14">
      <x:c r="A14" s="16" t="n">
        <x:v>13</x:v>
      </x:c>
      <x:c r="B14" s="16" t="str">
        <x:v>PAPER</x:v>
      </x:c>
      <x:c r="C14" s="16" t="str">
        <x:v>PILOT_01</x:v>
      </x:c>
      <x:c r="D14" s="16" t="str">
        <x:v>QA1</x:v>
      </x:c>
      <x:c r="E14" s="16" t="n">
        <x:f>'Paper_Coding_KT004'!W2</x:f>
        <x:v>2</x:v>
      </x:c>
      <x:c r="F14" s="16" t="str">
        <x:f>'Paper_Coding_KT004'!AK2</x:f>
        <x:v>Official metadata + Abstract/Introduction; Sec. 2.1–2.2; Sec. 3; Appendix A–B</x:v>
      </x:c>
      <x:c r="G14" s="16" t="str">
        <x:v>HIGH</x:v>
      </x:c>
      <x:c r="H14" s="16" t="str">
        <x:v>N</x:v>
      </x:c>
      <x:c r="I14" s="16" t="str">
        <x:v>Coder A worked example</x:v>
      </x:c>
    </x:row>
    <x:row r="15">
      <x:c r="A15" s="16" t="n">
        <x:v>14</x:v>
      </x:c>
      <x:c r="B15" s="16" t="str">
        <x:v>PAPER</x:v>
      </x:c>
      <x:c r="C15" s="16" t="str">
        <x:v>PILOT_01</x:v>
      </x:c>
      <x:c r="D15" s="16" t="str">
        <x:v>QA2</x:v>
      </x:c>
      <x:c r="E15" s="16" t="n">
        <x:f>'Paper_Coding_KT004'!X2</x:f>
        <x:v>2</x:v>
      </x:c>
      <x:c r="F15" s="16" t="str">
        <x:f>'Paper_Coding_KT004'!AK2</x:f>
        <x:v>Official metadata + Abstract/Introduction; Sec. 2.1–2.2; Sec. 3; Appendix A–B</x:v>
      </x:c>
      <x:c r="G15" s="16" t="str">
        <x:v>HIGH</x:v>
      </x:c>
      <x:c r="H15" s="16" t="str">
        <x:v>N</x:v>
      </x:c>
      <x:c r="I15" s="16" t="str">
        <x:v>Coder A worked example</x:v>
      </x:c>
    </x:row>
    <x:row r="16">
      <x:c r="A16" s="16" t="n">
        <x:v>15</x:v>
      </x:c>
      <x:c r="B16" s="16" t="str">
        <x:v>PAPER</x:v>
      </x:c>
      <x:c r="C16" s="16" t="str">
        <x:v>PILOT_01</x:v>
      </x:c>
      <x:c r="D16" s="16" t="str">
        <x:v>QA3</x:v>
      </x:c>
      <x:c r="E16" s="16" t="n">
        <x:f>'Paper_Coding_KT004'!Y2</x:f>
        <x:v>1</x:v>
      </x:c>
      <x:c r="F16" s="16" t="str">
        <x:f>'Paper_Coding_KT004'!AK2</x:f>
        <x:v>Official metadata + Abstract/Introduction; Sec. 2.1–2.2; Sec. 3; Appendix A–B</x:v>
      </x:c>
      <x:c r="G16" s="16" t="str">
        <x:v>HIGH</x:v>
      </x:c>
      <x:c r="H16" s="16" t="str">
        <x:v>N</x:v>
      </x:c>
      <x:c r="I16" s="16" t="str">
        <x:v>Coder A worked example</x:v>
      </x:c>
    </x:row>
    <x:row r="17">
      <x:c r="A17" s="16" t="n">
        <x:v>16</x:v>
      </x:c>
      <x:c r="B17" s="16" t="str">
        <x:v>PAPER</x:v>
      </x:c>
      <x:c r="C17" s="16" t="str">
        <x:v>PILOT_01</x:v>
      </x:c>
      <x:c r="D17" s="16" t="str">
        <x:v>QA4</x:v>
      </x:c>
      <x:c r="E17" s="16" t="n">
        <x:f>'Paper_Coding_KT004'!Z2</x:f>
        <x:v>2</x:v>
      </x:c>
      <x:c r="F17" s="16" t="str">
        <x:f>'Paper_Coding_KT004'!AK2</x:f>
        <x:v>Official metadata + Abstract/Introduction; Sec. 2.1–2.2; Sec. 3; Appendix A–B</x:v>
      </x:c>
      <x:c r="G17" s="16" t="str">
        <x:v>HIGH</x:v>
      </x:c>
      <x:c r="H17" s="16" t="str">
        <x:v>N</x:v>
      </x:c>
      <x:c r="I17" s="16" t="str">
        <x:v>Coder A worked example</x:v>
      </x:c>
    </x:row>
    <x:row r="18">
      <x:c r="A18" s="16" t="n">
        <x:v>17</x:v>
      </x:c>
      <x:c r="B18" s="16" t="str">
        <x:v>PAPER</x:v>
      </x:c>
      <x:c r="C18" s="16" t="str">
        <x:v>PILOT_01</x:v>
      </x:c>
      <x:c r="D18" s="16" t="str">
        <x:v>QA5</x:v>
      </x:c>
      <x:c r="E18" s="16" t="n">
        <x:f>'Paper_Coding_KT004'!AA2</x:f>
        <x:v>0</x:v>
      </x:c>
      <x:c r="F18" s="16" t="str">
        <x:f>'Paper_Coding_KT004'!AK2</x:f>
        <x:v>Official metadata + Abstract/Introduction; Sec. 2.1–2.2; Sec. 3; Appendix A–B</x:v>
      </x:c>
      <x:c r="G18" s="16" t="str">
        <x:v>HIGH</x:v>
      </x:c>
      <x:c r="H18" s="16" t="str">
        <x:v>N</x:v>
      </x:c>
      <x:c r="I18" s="16" t="str">
        <x:v>Coder A worked example</x:v>
      </x:c>
    </x:row>
    <x:row r="19">
      <x:c r="A19" s="16" t="n">
        <x:v>18</x:v>
      </x:c>
      <x:c r="B19" s="16" t="str">
        <x:v>PAPER</x:v>
      </x:c>
      <x:c r="C19" s="16" t="str">
        <x:v>PILOT_01</x:v>
      </x:c>
      <x:c r="D19" s="16" t="str">
        <x:v>QA6</x:v>
      </x:c>
      <x:c r="E19" s="16" t="n">
        <x:f>'Paper_Coding_KT004'!AB2</x:f>
        <x:v>1</x:v>
      </x:c>
      <x:c r="F19" s="16" t="str">
        <x:f>'Paper_Coding_KT004'!AK2</x:f>
        <x:v>Official metadata + Abstract/Introduction; Sec. 2.1–2.2; Sec. 3; Appendix A–B</x:v>
      </x:c>
      <x:c r="G19" s="16" t="str">
        <x:v>HIGH</x:v>
      </x:c>
      <x:c r="H19" s="16" t="str">
        <x:v>N</x:v>
      </x:c>
      <x:c r="I19" s="16" t="str">
        <x:v>Coder A worked example</x:v>
      </x:c>
    </x:row>
    <x:row r="20">
      <x:c r="A20" s="16" t="n">
        <x:v>19</x:v>
      </x:c>
      <x:c r="B20" s="16" t="str">
        <x:v>PAPER</x:v>
      </x:c>
      <x:c r="C20" s="16" t="str">
        <x:v>PILOT_01</x:v>
      </x:c>
      <x:c r="D20" s="16" t="str">
        <x:v>QA7</x:v>
      </x:c>
      <x:c r="E20" s="16" t="str">
        <x:f>'Paper_Coding_KT004'!AC2</x:f>
        <x:v>NA</x:v>
      </x:c>
      <x:c r="F20" s="16" t="str">
        <x:f>'Paper_Coding_KT004'!AK2</x:f>
        <x:v>Official metadata + Abstract/Introduction; Sec. 2.1–2.2; Sec. 3; Appendix A–B</x:v>
      </x:c>
      <x:c r="G20" s="16" t="str">
        <x:v>HIGH</x:v>
      </x:c>
      <x:c r="H20" s="16" t="str">
        <x:v>N</x:v>
      </x:c>
      <x:c r="I20" s="16" t="str">
        <x:v>Coder A worked example</x:v>
      </x:c>
    </x:row>
    <x:row r="21">
      <x:c r="A21" s="16" t="n">
        <x:v>20</x:v>
      </x:c>
      <x:c r="B21" s="16" t="str">
        <x:v>PAPER</x:v>
      </x:c>
      <x:c r="C21" s="16" t="str">
        <x:v>PILOT_01</x:v>
      </x:c>
      <x:c r="D21" s="16" t="str">
        <x:v>QA8</x:v>
      </x:c>
      <x:c r="E21" s="16" t="n">
        <x:f>'Paper_Coding_KT004'!AD2</x:f>
        <x:v>1</x:v>
      </x:c>
      <x:c r="F21" s="16" t="str">
        <x:f>'Paper_Coding_KT004'!AK2</x:f>
        <x:v>Official metadata + Abstract/Introduction; Sec. 2.1–2.2; Sec. 3; Appendix A–B</x:v>
      </x:c>
      <x:c r="G21" s="16" t="str">
        <x:v>HIGH</x:v>
      </x:c>
      <x:c r="H21" s="16" t="str">
        <x:v>N</x:v>
      </x:c>
      <x:c r="I21" s="16" t="str">
        <x:v>Coder A worked example</x:v>
      </x:c>
    </x:row>
    <x:row r="22">
      <x:c r="A22" s="16" t="n">
        <x:v>21</x:v>
      </x:c>
      <x:c r="B22" s="16" t="str">
        <x:v>PAPER</x:v>
      </x:c>
      <x:c r="C22" s="16" t="str">
        <x:v>PILOT_01</x:v>
      </x:c>
      <x:c r="D22" s="16" t="str">
        <x:v>quality_tier</x:v>
      </x:c>
      <x:c r="E22" s="16" t="str">
        <x:f>'Paper_Coding_KT004'!AH2</x:f>
        <x:v>MODERATE</x:v>
      </x:c>
      <x:c r="F22" s="16" t="str">
        <x:f>'Paper_Coding_KT004'!AK2</x:f>
        <x:v>Official metadata + Abstract/Introduction; Sec. 2.1–2.2; Sec. 3; Appendix A–B</x:v>
      </x:c>
      <x:c r="G22" s="16" t="str">
        <x:v>HIGH</x:v>
      </x:c>
      <x:c r="H22" s="16" t="str">
        <x:v>Y</x:v>
      </x:c>
      <x:c r="I22" s="16" t="str">
        <x:v>Coder A worked example</x:v>
      </x:c>
    </x:row>
    <x:row r="23">
      <x:c r="A23" s="16" t="n">
        <x:v>22</x:v>
      </x:c>
      <x:c r="B23" s="16" t="str">
        <x:v>MODEL</x:v>
      </x:c>
      <x:c r="C23" s="16" t="str">
        <x:f>'Model_Coding_KT004'!A2</x:f>
        <x:v>PILOT_01_M01</x:v>
      </x:c>
      <x:c r="D23" s="16" t="str">
        <x:v>graph_source</x:v>
      </x:c>
      <x:c r="E23" s="16" t="str">
        <x:f>'Model_Coding_KT004'!E2</x:f>
        <x:v>OTHER*</x:v>
      </x:c>
      <x:c r="F23" s="16" t="str">
        <x:f>'Model_Coding_KT004'!AT2</x:f>
        <x:v>Sec. 2.1; Sec. 2.2 Dense Graph; Appendix B</x:v>
      </x:c>
      <x:c r="G23" s="16" t="str">
        <x:v>HIGH</x:v>
      </x:c>
      <x:c r="H23" s="16" t="str">
        <x:v>Y</x:v>
      </x:c>
      <x:c r="I23" s="16" t="str">
        <x:v>Coder A worked example</x:v>
      </x:c>
    </x:row>
    <x:row r="24">
      <x:c r="A24" s="16" t="n">
        <x:v>23</x:v>
      </x:c>
      <x:c r="B24" s="16" t="str">
        <x:v>MODEL</x:v>
      </x:c>
      <x:c r="C24" s="16" t="str">
        <x:f>'Model_Coding_KT004'!A2</x:f>
        <x:v>PILOT_01_M01</x:v>
      </x:c>
      <x:c r="D24" s="16" t="str">
        <x:v>graph_provenance</x:v>
      </x:c>
      <x:c r="E24" s="16" t="str">
        <x:f>'Model_Coding_KT004'!G2</x:f>
        <x:v>MODEL_DEFINED_FIXED*</x:v>
      </x:c>
      <x:c r="F24" s="16" t="str">
        <x:f>'Model_Coding_KT004'!AT2</x:f>
        <x:v>Sec. 2.1; Sec. 2.2 Dense Graph; Appendix B</x:v>
      </x:c>
      <x:c r="G24" s="16" t="str">
        <x:v>HIGH</x:v>
      </x:c>
      <x:c r="H24" s="16" t="str">
        <x:v>Y</x:v>
      </x:c>
      <x:c r="I24" s="16" t="str">
        <x:v>Coder A worked example</x:v>
      </x:c>
    </x:row>
    <x:row r="25">
      <x:c r="A25" s="16" t="n">
        <x:v>24</x:v>
      </x:c>
      <x:c r="B25" s="16" t="str">
        <x:v>MODEL</x:v>
      </x:c>
      <x:c r="C25" s="16" t="str">
        <x:f>'Model_Coding_KT004'!A2</x:f>
        <x:v>PILOT_01_M01</x:v>
      </x:c>
      <x:c r="D25" s="16" t="str">
        <x:v>graph_leakage_risk</x:v>
      </x:c>
      <x:c r="E25" s="16" t="str">
        <x:f>'Model_Coding_KT004'!H2</x:f>
        <x:v>LOW</x:v>
      </x:c>
      <x:c r="F25" s="16" t="str">
        <x:f>'Model_Coding_KT004'!AT2</x:f>
        <x:v>Sec. 2.1; Sec. 2.2 Dense Graph; Appendix B</x:v>
      </x:c>
      <x:c r="G25" s="16" t="str">
        <x:v>HIGH</x:v>
      </x:c>
      <x:c r="H25" s="16" t="str">
        <x:v>Y</x:v>
      </x:c>
      <x:c r="I25" s="16" t="str">
        <x:v>Coder A worked example</x:v>
      </x:c>
    </x:row>
    <x:row r="26">
      <x:c r="A26" s="16" t="n">
        <x:v>25</x:v>
      </x:c>
      <x:c r="B26" s="16" t="str">
        <x:v>MODEL</x:v>
      </x:c>
      <x:c r="C26" s="16" t="str">
        <x:f>'Model_Coding_KT004'!A2</x:f>
        <x:v>PILOT_01_M01</x:v>
      </x:c>
      <x:c r="D26" s="16" t="str">
        <x:v>graph_construction_uses_response_labels</x:v>
      </x:c>
      <x:c r="E26" s="16" t="str">
        <x:f>'Model_Coding_KT004'!J2</x:f>
        <x:v>N</x:v>
      </x:c>
      <x:c r="F26" s="16" t="str">
        <x:f>'Model_Coding_KT004'!AT2</x:f>
        <x:v>Sec. 2.1; Sec. 2.2 Dense Graph; Appendix B</x:v>
      </x:c>
      <x:c r="G26" s="16" t="str">
        <x:v>HIGH</x:v>
      </x:c>
      <x:c r="H26" s="16" t="str">
        <x:v>Y</x:v>
      </x:c>
      <x:c r="I26" s="16" t="str">
        <x:v>Coder A worked example</x:v>
      </x:c>
    </x:row>
    <x:row r="27">
      <x:c r="A27" s="16" t="n">
        <x:v>26</x:v>
      </x:c>
      <x:c r="B27" s="16" t="str">
        <x:v>MODEL</x:v>
      </x:c>
      <x:c r="C27" s="16" t="str">
        <x:f>'Model_Coding_KT004'!A2</x:f>
        <x:v>PILOT_01_M01</x:v>
      </x:c>
      <x:c r="D27" s="16" t="str">
        <x:v>graph_construction_uses_test_partition</x:v>
      </x:c>
      <x:c r="E27" s="16" t="str">
        <x:f>'Model_Coding_KT004'!K2</x:f>
        <x:v>N</x:v>
      </x:c>
      <x:c r="F27" s="16" t="str">
        <x:f>'Model_Coding_KT004'!AT2</x:f>
        <x:v>Sec. 2.1; Sec. 2.2 Dense Graph; Appendix B</x:v>
      </x:c>
      <x:c r="G27" s="16" t="str">
        <x:v>HIGH</x:v>
      </x:c>
      <x:c r="H27" s="16" t="str">
        <x:v>Y</x:v>
      </x:c>
      <x:c r="I27" s="16" t="str">
        <x:v>Coder A worked example</x:v>
      </x:c>
    </x:row>
    <x:row r="28">
      <x:c r="A28" s="16" t="n">
        <x:v>27</x:v>
      </x:c>
      <x:c r="B28" s="16" t="str">
        <x:v>MODEL</x:v>
      </x:c>
      <x:c r="C28" s="16" t="str">
        <x:f>'Model_Coding_KT004'!A2</x:f>
        <x:v>PILOT_01_M01</x:v>
      </x:c>
      <x:c r="D28" s="16" t="str">
        <x:v>graph_representation</x:v>
      </x:c>
      <x:c r="E28" s="16" t="str">
        <x:f>'Model_Coding_KT004'!L2</x:f>
        <x:v>KC_KC</x:v>
      </x:c>
      <x:c r="F28" s="16" t="str">
        <x:f>'Model_Coding_KT004'!AT2</x:f>
        <x:v>Sec. 2.1; Sec. 2.2 Dense Graph; Appendix B</x:v>
      </x:c>
      <x:c r="G28" s="16" t="str">
        <x:v>HIGH</x:v>
      </x:c>
      <x:c r="H28" s="16" t="str">
        <x:v>Y</x:v>
      </x:c>
      <x:c r="I28" s="16" t="str">
        <x:v>Coder A worked example</x:v>
      </x:c>
    </x:row>
    <x:row r="29">
      <x:c r="A29" s="16" t="n">
        <x:v>28</x:v>
      </x:c>
      <x:c r="B29" s="16" t="str">
        <x:v>MODEL</x:v>
      </x:c>
      <x:c r="C29" s="16" t="str">
        <x:f>'Model_Coding_KT004'!A2</x:f>
        <x:v>PILOT_01_M01</x:v>
      </x:c>
      <x:c r="D29" s="16" t="str">
        <x:v>directed</x:v>
      </x:c>
      <x:c r="E29" s="16" t="str">
        <x:f>'Model_Coding_KT004'!O2</x:f>
        <x:v>Y</x:v>
      </x:c>
      <x:c r="F29" s="16" t="str">
        <x:f>'Model_Coding_KT004'!AT2</x:f>
        <x:v>Sec. 2.1; Sec. 2.2 Dense Graph; Appendix B</x:v>
      </x:c>
      <x:c r="G29" s="16" t="str">
        <x:v>HIGH</x:v>
      </x:c>
      <x:c r="H29" s="16" t="str">
        <x:v>Y</x:v>
      </x:c>
      <x:c r="I29" s="16" t="str">
        <x:v>Coder A worked example</x:v>
      </x:c>
    </x:row>
    <x:row r="30">
      <x:c r="A30" s="16" t="n">
        <x:v>29</x:v>
      </x:c>
      <x:c r="B30" s="16" t="str">
        <x:v>MODEL</x:v>
      </x:c>
      <x:c r="C30" s="16" t="str">
        <x:f>'Model_Coding_KT004'!A2</x:f>
        <x:v>PILOT_01_M01</x:v>
      </x:c>
      <x:c r="D30" s="16" t="str">
        <x:v>weighted</x:v>
      </x:c>
      <x:c r="E30" s="16" t="str">
        <x:f>'Model_Coding_KT004'!P2</x:f>
        <x:v>Y</x:v>
      </x:c>
      <x:c r="F30" s="16" t="str">
        <x:f>'Model_Coding_KT004'!AT2</x:f>
        <x:v>Sec. 2.1; Sec. 2.2 Dense Graph; Appendix B</x:v>
      </x:c>
      <x:c r="G30" s="16" t="str">
        <x:v>HIGH</x:v>
      </x:c>
      <x:c r="H30" s="16" t="str">
        <x:v>Y</x:v>
      </x:c>
      <x:c r="I30" s="16" t="str">
        <x:v>Coder A worked example</x:v>
      </x:c>
    </x:row>
    <x:row r="31">
      <x:c r="A31" s="16" t="n">
        <x:v>30</x:v>
      </x:c>
      <x:c r="B31" s="16" t="str">
        <x:v>MODEL</x:v>
      </x:c>
      <x:c r="C31" s="16" t="str">
        <x:f>'Model_Coding_KT004'!A2</x:f>
        <x:v>PILOT_01_M01</x:v>
      </x:c>
      <x:c r="D31" s="16" t="str">
        <x:v>typed_edges</x:v>
      </x:c>
      <x:c r="E31" s="16" t="str">
        <x:f>'Model_Coding_KT004'!Q2</x:f>
        <x:v>Y</x:v>
      </x:c>
      <x:c r="F31" s="16" t="str">
        <x:f>'Model_Coding_KT004'!AT2</x:f>
        <x:v>Sec. 2.1; Sec. 2.2 Dense Graph; Appendix B</x:v>
      </x:c>
      <x:c r="G31" s="16" t="str">
        <x:v>HIGH</x:v>
      </x:c>
      <x:c r="H31" s="16" t="str">
        <x:v>Y</x:v>
      </x:c>
      <x:c r="I31" s="16" t="str">
        <x:v>Coder A worked example</x:v>
      </x:c>
    </x:row>
    <x:row r="32">
      <x:c r="A32" s="16" t="n">
        <x:v>31</x:v>
      </x:c>
      <x:c r="B32" s="16" t="str">
        <x:v>MODEL</x:v>
      </x:c>
      <x:c r="C32" s="16" t="str">
        <x:f>'Model_Coding_KT004'!A2</x:f>
        <x:v>PILOT_01_M01</x:v>
      </x:c>
      <x:c r="D32" s="16" t="str">
        <x:v>dynamic</x:v>
      </x:c>
      <x:c r="E32" s="16" t="str">
        <x:f>'Model_Coding_KT004'!R2</x:f>
        <x:v>N</x:v>
      </x:c>
      <x:c r="F32" s="16" t="str">
        <x:f>'Model_Coding_KT004'!AT2</x:f>
        <x:v>Sec. 2.1; Sec. 2.2 Dense Graph; Appendix B</x:v>
      </x:c>
      <x:c r="G32" s="16" t="str">
        <x:v>HIGH</x:v>
      </x:c>
      <x:c r="H32" s="16" t="str">
        <x:v>Y</x:v>
      </x:c>
      <x:c r="I32" s="16" t="str">
        <x:v>Coder A worked example</x:v>
      </x:c>
    </x:row>
    <x:row r="33">
      <x:c r="A33" s="16" t="n">
        <x:v>32</x:v>
      </x:c>
      <x:c r="B33" s="16" t="str">
        <x:v>MODEL</x:v>
      </x:c>
      <x:c r="C33" s="16" t="str">
        <x:f>'Model_Coding_KT004'!A2</x:f>
        <x:v>PILOT_01_M01</x:v>
      </x:c>
      <x:c r="D33" s="16" t="str">
        <x:v>dag_enforced</x:v>
      </x:c>
      <x:c r="E33" s="16" t="str">
        <x:f>'Model_Coding_KT004'!S2</x:f>
        <x:v>N</x:v>
      </x:c>
      <x:c r="F33" s="16" t="str">
        <x:f>'Model_Coding_KT004'!AT2</x:f>
        <x:v>Sec. 2.1; Sec. 2.2 Dense Graph; Appendix B</x:v>
      </x:c>
      <x:c r="G33" s="16" t="str">
        <x:v>HIGH</x:v>
      </x:c>
      <x:c r="H33" s="16" t="str">
        <x:v>Y</x:v>
      </x:c>
      <x:c r="I33" s="16" t="str">
        <x:v>Coder A worked example</x:v>
      </x:c>
    </x:row>
    <x:row r="34">
      <x:c r="A34" s="16" t="n">
        <x:v>33</x:v>
      </x:c>
      <x:c r="B34" s="16" t="str">
        <x:v>MODEL</x:v>
      </x:c>
      <x:c r="C34" s="16" t="str">
        <x:f>'Model_Coding_KT004'!A2</x:f>
        <x:v>PILOT_01_M01</x:v>
      </x:c>
      <x:c r="D34" s="16" t="str">
        <x:v>edge_confidence_used</x:v>
      </x:c>
      <x:c r="E34" s="16" t="str">
        <x:f>'Model_Coding_KT004'!T2</x:f>
        <x:v>N</x:v>
      </x:c>
      <x:c r="F34" s="16" t="str">
        <x:f>'Model_Coding_KT004'!AT2</x:f>
        <x:v>Sec. 2.1; Sec. 2.2 Dense Graph; Appendix B</x:v>
      </x:c>
      <x:c r="G34" s="16" t="str">
        <x:v>HIGH</x:v>
      </x:c>
      <x:c r="H34" s="16" t="str">
        <x:v>Y</x:v>
      </x:c>
      <x:c r="I34" s="16" t="str">
        <x:v>Coder A worked example</x:v>
      </x:c>
    </x:row>
    <x:row r="35">
      <x:c r="A35" s="16" t="n">
        <x:v>34</x:v>
      </x:c>
      <x:c r="B35" s="16" t="str">
        <x:v>MODEL</x:v>
      </x:c>
      <x:c r="C35" s="16" t="str">
        <x:f>'Model_Coding_KT004'!A2</x:f>
        <x:v>PILOT_01_M01</x:v>
      </x:c>
      <x:c r="D35" s="16" t="str">
        <x:v>gnn_encoder</x:v>
      </x:c>
      <x:c r="E35" s="16" t="str">
        <x:f>'Model_Coding_KT004'!U2</x:f>
        <x:v>OTHER</x:v>
      </x:c>
      <x:c r="F35" s="16" t="str">
        <x:f>'Model_Coding_KT004'!AT2</x:f>
        <x:v>Sec. 2.1; Sec. 2.2 Dense Graph; Appendix B</x:v>
      </x:c>
      <x:c r="G35" s="16" t="str">
        <x:v>HIGH</x:v>
      </x:c>
      <x:c r="H35" s="16" t="str">
        <x:v>Y</x:v>
      </x:c>
      <x:c r="I35" s="16" t="str">
        <x:v>Coder A worked example</x:v>
      </x:c>
    </x:row>
    <x:row r="36">
      <x:c r="A36" s="16" t="n">
        <x:v>35</x:v>
      </x:c>
      <x:c r="B36" s="16" t="str">
        <x:v>MODEL</x:v>
      </x:c>
      <x:c r="C36" s="16" t="str">
        <x:f>'Model_Coding_KT004'!A2</x:f>
        <x:v>PILOT_01_M01</x:v>
      </x:c>
      <x:c r="D36" s="16" t="str">
        <x:v>temporal_backbone</x:v>
      </x:c>
      <x:c r="E36" s="16" t="str">
        <x:f>'Model_Coding_KT004'!Y2</x:f>
        <x:v>RNN_LSTM_GRU</x:v>
      </x:c>
      <x:c r="F36" s="16" t="str">
        <x:f>'Model_Coding_KT004'!AT2</x:f>
        <x:v>Sec. 2.1; Sec. 2.2 Dense Graph; Appendix B</x:v>
      </x:c>
      <x:c r="G36" s="16" t="str">
        <x:v>HIGH</x:v>
      </x:c>
      <x:c r="H36" s="16" t="str">
        <x:v>Y</x:v>
      </x:c>
      <x:c r="I36" s="16" t="str">
        <x:v>Coder A worked example</x:v>
      </x:c>
    </x:row>
    <x:row r="37">
      <x:c r="A37" s="16" t="n">
        <x:v>36</x:v>
      </x:c>
      <x:c r="B37" s="16" t="str">
        <x:v>MODEL</x:v>
      </x:c>
      <x:c r="C37" s="16" t="str">
        <x:f>'Model_Coding_KT004'!A2</x:f>
        <x:v>PILOT_01_M01</x:v>
      </x:c>
      <x:c r="D37" s="16" t="str">
        <x:v>semantic_auxiliary_encoder</x:v>
      </x:c>
      <x:c r="E37" s="16" t="str">
        <x:f>'Model_Coding_KT004'!Z2</x:f>
        <x:v>NA</x:v>
      </x:c>
      <x:c r="F37" s="16" t="str">
        <x:f>'Model_Coding_KT004'!AT2</x:f>
        <x:v>Sec. 2.1; Sec. 2.2 Dense Graph; Appendix B</x:v>
      </x:c>
      <x:c r="G37" s="16" t="str">
        <x:v>HIGH</x:v>
      </x:c>
      <x:c r="H37" s="16" t="str">
        <x:v>Y</x:v>
      </x:c>
      <x:c r="I37" s="16" t="str">
        <x:v>Coder A worked example</x:v>
      </x:c>
    </x:row>
    <x:row r="38">
      <x:c r="A38" s="16" t="n">
        <x:v>37</x:v>
      </x:c>
      <x:c r="B38" s="16" t="str">
        <x:v>MODEL</x:v>
      </x:c>
      <x:c r="C38" s="16" t="str">
        <x:f>'Model_Coding_KT004'!A2</x:f>
        <x:v>PILOT_01_M01</x:v>
      </x:c>
      <x:c r="D38" s="16" t="str">
        <x:v>fusion_type</x:v>
      </x:c>
      <x:c r="E38" s="16" t="str">
        <x:f>'Model_Coding_KT004'!AA2</x:f>
        <x:v>MESSAGE_PASSING_IN_PREDICTION_LOOP</x:v>
      </x:c>
      <x:c r="F38" s="16" t="str">
        <x:f>'Model_Coding_KT004'!AT2</x:f>
        <x:v>Sec. 2.1; Sec. 2.2 Dense Graph; Appendix B</x:v>
      </x:c>
      <x:c r="G38" s="16" t="str">
        <x:v>HIGH</x:v>
      </x:c>
      <x:c r="H38" s="16" t="str">
        <x:v>Y</x:v>
      </x:c>
      <x:c r="I38" s="16" t="str">
        <x:v>Coder A worked example</x:v>
      </x:c>
    </x:row>
    <x:row r="39">
      <x:c r="A39" s="16" t="n">
        <x:v>38</x:v>
      </x:c>
      <x:c r="B39" s="16" t="str">
        <x:v>MODEL</x:v>
      </x:c>
      <x:c r="C39" s="16" t="str">
        <x:f>'Model_Coding_KT004'!A2</x:f>
        <x:v>PILOT_01_M01</x:v>
      </x:c>
      <x:c r="D39" s="16" t="str">
        <x:v>fusion_location</x:v>
      </x:c>
      <x:c r="E39" s="16" t="str">
        <x:f>'Model_Coding_KT004'!AB2</x:f>
        <x:v>HIDDEN_STATE</x:v>
      </x:c>
      <x:c r="F39" s="16" t="str">
        <x:f>'Model_Coding_KT004'!AT2</x:f>
        <x:v>Sec. 2.1; Sec. 2.2 Dense Graph; Appendix B</x:v>
      </x:c>
      <x:c r="G39" s="16" t="str">
        <x:v>HIGH</x:v>
      </x:c>
      <x:c r="H39" s="16" t="str">
        <x:v>Y</x:v>
      </x:c>
      <x:c r="I39" s="16" t="str">
        <x:v>Coder A worked example</x:v>
      </x:c>
    </x:row>
    <x:row r="40">
      <x:c r="A40" s="16" t="n">
        <x:v>39</x:v>
      </x:c>
      <x:c r="B40" s="16" t="str">
        <x:v>MODEL</x:v>
      </x:c>
      <x:c r="C40" s="16" t="str">
        <x:f>'Model_Coding_KT004'!A2</x:f>
        <x:v>PILOT_01_M01</x:v>
      </x:c>
      <x:c r="D40" s="16" t="str">
        <x:v>ssl_family</x:v>
      </x:c>
      <x:c r="E40" s="16" t="str">
        <x:f>'Model_Coding_KT004'!AD2</x:f>
        <x:v>NONE</x:v>
      </x:c>
      <x:c r="F40" s="16" t="str">
        <x:f>'Model_Coding_KT004'!AT2</x:f>
        <x:v>Sec. 2.1; Sec. 2.2 Dense Graph; Appendix B</x:v>
      </x:c>
      <x:c r="G40" s="16" t="str">
        <x:v>HIGH</x:v>
      </x:c>
      <x:c r="H40" s="16" t="str">
        <x:v>Y</x:v>
      </x:c>
      <x:c r="I40" s="16" t="str">
        <x:v>Coder A worked example</x:v>
      </x:c>
    </x:row>
    <x:row r="41">
      <x:c r="A41" s="16" t="n">
        <x:v>40</x:v>
      </x:c>
      <x:c r="B41" s="16" t="str">
        <x:v>MODEL</x:v>
      </x:c>
      <x:c r="C41" s="16" t="str">
        <x:f>'Model_Coding_KT004'!A2</x:f>
        <x:v>PILOT_01_M01</x:v>
      </x:c>
      <x:c r="D41" s="16" t="str">
        <x:v>non_ssl_pretraining</x:v>
      </x:c>
      <x:c r="E41" s="16" t="str">
        <x:f>'Model_Coding_KT004'!AE2</x:f>
        <x:v>N</x:v>
      </x:c>
      <x:c r="F41" s="16" t="str">
        <x:f>'Model_Coding_KT004'!AT2</x:f>
        <x:v>Sec. 2.1; Sec. 2.2 Dense Graph; Appendix B</x:v>
      </x:c>
      <x:c r="G41" s="16" t="str">
        <x:v>HIGH</x:v>
      </x:c>
      <x:c r="H41" s="16" t="str">
        <x:v>Y</x:v>
      </x:c>
      <x:c r="I41" s="16" t="str">
        <x:v>Coder A worked example</x:v>
      </x:c>
    </x:row>
    <x:row r="42">
      <x:c r="A42" s="16" t="n">
        <x:v>41</x:v>
      </x:c>
      <x:c r="B42" s="16" t="str">
        <x:v>MODEL</x:v>
      </x:c>
      <x:c r="C42" s="16" t="str">
        <x:f>'Model_Coding_KT004'!A2</x:f>
        <x:v>PILOT_01_M01</x:v>
      </x:c>
      <x:c r="D42" s="16" t="str">
        <x:v>ssl_training_mode</x:v>
      </x:c>
      <x:c r="E42" s="16" t="str">
        <x:f>'Model_Coding_KT004'!AG2</x:f>
        <x:v>NA</x:v>
      </x:c>
      <x:c r="F42" s="16" t="str">
        <x:f>'Model_Coding_KT004'!AT2</x:f>
        <x:v>Sec. 2.1; Sec. 2.2 Dense Graph; Appendix B</x:v>
      </x:c>
      <x:c r="G42" s="16" t="str">
        <x:v>HIGH</x:v>
      </x:c>
      <x:c r="H42" s="16" t="str">
        <x:v>Y</x:v>
      </x:c>
      <x:c r="I42" s="16" t="str">
        <x:v>Coder A worked example</x:v>
      </x:c>
    </x:row>
    <x:row r="43">
      <x:c r="A43" s="16" t="n">
        <x:v>42</x:v>
      </x:c>
      <x:c r="B43" s="16" t="str">
        <x:v>MODEL</x:v>
      </x:c>
      <x:c r="C43" s="16" t="str">
        <x:f>'Model_Coding_KT004'!A2</x:f>
        <x:v>PILOT_01_M01</x:v>
      </x:c>
      <x:c r="D43" s="16" t="str">
        <x:v>ssl_target_level</x:v>
      </x:c>
      <x:c r="E43" s="16" t="str">
        <x:f>'Model_Coding_KT004'!AH2</x:f>
        <x:v>NA</x:v>
      </x:c>
      <x:c r="F43" s="16" t="str">
        <x:f>'Model_Coding_KT004'!AT2</x:f>
        <x:v>Sec. 2.1; Sec. 2.2 Dense Graph; Appendix B</x:v>
      </x:c>
      <x:c r="G43" s="16" t="str">
        <x:v>HIGH</x:v>
      </x:c>
      <x:c r="H43" s="16" t="str">
        <x:v>Y</x:v>
      </x:c>
      <x:c r="I43" s="16" t="str">
        <x:v>Coder A worked example</x:v>
      </x:c>
    </x:row>
    <x:row r="44">
      <x:c r="A44" s="16" t="n">
        <x:v>43</x:v>
      </x:c>
      <x:c r="B44" s="16" t="str">
        <x:v>MODEL</x:v>
      </x:c>
      <x:c r="C44" s="16" t="str">
        <x:f>'Model_Coding_KT004'!A2</x:f>
        <x:v>PILOT_01_M01</x:v>
      </x:c>
      <x:c r="D44" s="16" t="str">
        <x:v>augmentation_type</x:v>
      </x:c>
      <x:c r="E44" s="16" t="str">
        <x:f>'Model_Coding_KT004'!AM2</x:f>
        <x:v>NO_EXPLICIT_AUGMENTATION</x:v>
      </x:c>
      <x:c r="F44" s="16" t="str">
        <x:f>'Model_Coding_KT004'!AT2</x:f>
        <x:v>Sec. 2.1; Sec. 2.2 Dense Graph; Appendix B</x:v>
      </x:c>
      <x:c r="G44" s="16" t="str">
        <x:v>HIGH</x:v>
      </x:c>
      <x:c r="H44" s="16" t="str">
        <x:v>Y</x:v>
      </x:c>
      <x:c r="I44" s="16" t="str">
        <x:v>Coder A worked example</x:v>
      </x:c>
    </x:row>
    <x:row r="45">
      <x:c r="A45" s="16" t="n">
        <x:v>44</x:v>
      </x:c>
      <x:c r="B45" s="16" t="str">
        <x:v>MODEL</x:v>
      </x:c>
      <x:c r="C45" s="16" t="str">
        <x:f>'Model_Coding_KT004'!A2</x:f>
        <x:v>PILOT_01_M01</x:v>
      </x:c>
      <x:c r="D45" s="16" t="str">
        <x:v>educational_structure_preservation</x:v>
      </x:c>
      <x:c r="E45" s="16" t="str">
        <x:f>'Model_Coding_KT004'!AN2</x:f>
        <x:v>NO_AUGMENTATION</x:v>
      </x:c>
      <x:c r="F45" s="16" t="str">
        <x:f>'Model_Coding_KT004'!AT2</x:f>
        <x:v>Sec. 2.1; Sec. 2.2 Dense Graph; Appendix B</x:v>
      </x:c>
      <x:c r="G45" s="16" t="str">
        <x:v>HIGH</x:v>
      </x:c>
      <x:c r="H45" s="16" t="str">
        <x:v>Y</x:v>
      </x:c>
      <x:c r="I45" s="16" t="str">
        <x:v>Coder A worked example</x:v>
      </x:c>
    </x:row>
    <x:row r="46">
      <x:c r="A46" s="16" t="n">
        <x:v>45</x:v>
      </x:c>
      <x:c r="B46" s="16" t="str">
        <x:v>MODEL</x:v>
      </x:c>
      <x:c r="C46" s="16" t="str">
        <x:f>'Model_Coding_KT004'!A2</x:f>
        <x:v>PILOT_01_M01</x:v>
      </x:c>
      <x:c r="D46" s="16" t="str">
        <x:v>augmentation_validity_ablation</x:v>
      </x:c>
      <x:c r="E46" s="16" t="str">
        <x:f>'Model_Coding_KT004'!AP2</x:f>
        <x:v>NA</x:v>
      </x:c>
      <x:c r="F46" s="16" t="str">
        <x:f>'Model_Coding_KT004'!AT2</x:f>
        <x:v>Sec. 2.1; Sec. 2.2 Dense Graph; Appendix B</x:v>
      </x:c>
      <x:c r="G46" s="16" t="str">
        <x:v>HIGH</x:v>
      </x:c>
      <x:c r="H46" s="16" t="str">
        <x:v>Y</x:v>
      </x:c>
      <x:c r="I46" s="16" t="str">
        <x:v>Coder A worked example</x:v>
      </x:c>
    </x:row>
    <x:row r="47">
      <x:c r="A47" s="16" t="n">
        <x:v>46</x:v>
      </x:c>
      <x:c r="B47" s="16" t="str">
        <x:v>MODEL</x:v>
      </x:c>
      <x:c r="C47" s="16" t="str">
        <x:f>'Model_Coding_KT004'!A3</x:f>
        <x:v>PILOT_01_M02</x:v>
      </x:c>
      <x:c r="D47" s="16" t="str">
        <x:v>graph_source</x:v>
      </x:c>
      <x:c r="E47" s="16" t="str">
        <x:f>'Model_Coding_KT004'!E3</x:f>
        <x:v>SEQUENTIAL_TRANSITION*</x:v>
      </x:c>
      <x:c r="F47" s="16" t="str">
        <x:f>'Model_Coding_KT004'!AT3</x:f>
        <x:v>Sec. 2.2 Transition Graph; Appendix B split</x:v>
      </x:c>
      <x:c r="G47" s="16" t="str">
        <x:v>HIGH</x:v>
      </x:c>
      <x:c r="H47" s="16" t="str">
        <x:v>Y</x:v>
      </x:c>
      <x:c r="I47" s="16" t="str">
        <x:v>Coder A worked example</x:v>
      </x:c>
    </x:row>
    <x:row r="48">
      <x:c r="A48" s="16" t="n">
        <x:v>47</x:v>
      </x:c>
      <x:c r="B48" s="16" t="str">
        <x:v>MODEL</x:v>
      </x:c>
      <x:c r="C48" s="16" t="str">
        <x:f>'Model_Coding_KT004'!A3</x:f>
        <x:v>PILOT_01_M02</x:v>
      </x:c>
      <x:c r="D48" s="16" t="str">
        <x:v>graph_provenance</x:v>
      </x:c>
      <x:c r="E48" s="16" t="str">
        <x:f>'Model_Coding_KT004'!G3</x:f>
        <x:v>PRECOMPUTED_UNCLEAR_SPLIT</x:v>
      </x:c>
      <x:c r="F48" s="16" t="str">
        <x:f>'Model_Coding_KT004'!AT3</x:f>
        <x:v>Sec. 2.2 Transition Graph; Appendix B split</x:v>
      </x:c>
      <x:c r="G48" s="16" t="str">
        <x:v>HIGH</x:v>
      </x:c>
      <x:c r="H48" s="16" t="str">
        <x:v>Y</x:v>
      </x:c>
      <x:c r="I48" s="16" t="str">
        <x:v>Coder A worked example</x:v>
      </x:c>
    </x:row>
    <x:row r="49">
      <x:c r="A49" s="16" t="n">
        <x:v>48</x:v>
      </x:c>
      <x:c r="B49" s="16" t="str">
        <x:v>MODEL</x:v>
      </x:c>
      <x:c r="C49" s="16" t="str">
        <x:f>'Model_Coding_KT004'!A3</x:f>
        <x:v>PILOT_01_M02</x:v>
      </x:c>
      <x:c r="D49" s="16" t="str">
        <x:v>graph_leakage_risk</x:v>
      </x:c>
      <x:c r="E49" s="16" t="str">
        <x:f>'Model_Coding_KT004'!H3</x:f>
        <x:v>POTENTIAL</x:v>
      </x:c>
      <x:c r="F49" s="16" t="str">
        <x:f>'Model_Coding_KT004'!AT3</x:f>
        <x:v>Sec. 2.2 Transition Graph; Appendix B split</x:v>
      </x:c>
      <x:c r="G49" s="16" t="str">
        <x:v>HIGH</x:v>
      </x:c>
      <x:c r="H49" s="16" t="str">
        <x:v>Y</x:v>
      </x:c>
      <x:c r="I49" s="16" t="str">
        <x:v>Coder A worked example</x:v>
      </x:c>
    </x:row>
    <x:row r="50">
      <x:c r="A50" s="16" t="n">
        <x:v>49</x:v>
      </x:c>
      <x:c r="B50" s="16" t="str">
        <x:v>MODEL</x:v>
      </x:c>
      <x:c r="C50" s="16" t="str">
        <x:f>'Model_Coding_KT004'!A3</x:f>
        <x:v>PILOT_01_M02</x:v>
      </x:c>
      <x:c r="D50" s="16" t="str">
        <x:v>graph_construction_uses_response_labels</x:v>
      </x:c>
      <x:c r="E50" s="16" t="str">
        <x:f>'Model_Coding_KT004'!J3</x:f>
        <x:v>N</x:v>
      </x:c>
      <x:c r="F50" s="16" t="str">
        <x:f>'Model_Coding_KT004'!AT3</x:f>
        <x:v>Sec. 2.2 Transition Graph; Appendix B split</x:v>
      </x:c>
      <x:c r="G50" s="16" t="str">
        <x:v>HIGH</x:v>
      </x:c>
      <x:c r="H50" s="16" t="str">
        <x:v>Y</x:v>
      </x:c>
      <x:c r="I50" s="16" t="str">
        <x:v>Coder A worked example</x:v>
      </x:c>
    </x:row>
    <x:row r="51">
      <x:c r="A51" s="16" t="n">
        <x:v>50</x:v>
      </x:c>
      <x:c r="B51" s="16" t="str">
        <x:v>MODEL</x:v>
      </x:c>
      <x:c r="C51" s="16" t="str">
        <x:f>'Model_Coding_KT004'!A3</x:f>
        <x:v>PILOT_01_M02</x:v>
      </x:c>
      <x:c r="D51" s="16" t="str">
        <x:v>graph_construction_uses_test_partition</x:v>
      </x:c>
      <x:c r="E51" s="16" t="str">
        <x:f>'Model_Coding_KT004'!K3</x:f>
        <x:v>UNCLEAR</x:v>
      </x:c>
      <x:c r="F51" s="16" t="str">
        <x:f>'Model_Coding_KT004'!AT3</x:f>
        <x:v>Sec. 2.2 Transition Graph; Appendix B split</x:v>
      </x:c>
      <x:c r="G51" s="16" t="str">
        <x:v>HIGH</x:v>
      </x:c>
      <x:c r="H51" s="16" t="str">
        <x:v>Y</x:v>
      </x:c>
      <x:c r="I51" s="16" t="str">
        <x:v>Coder A worked example</x:v>
      </x:c>
    </x:row>
    <x:row r="52">
      <x:c r="A52" s="16" t="n">
        <x:v>51</x:v>
      </x:c>
      <x:c r="B52" s="16" t="str">
        <x:v>MODEL</x:v>
      </x:c>
      <x:c r="C52" s="16" t="str">
        <x:f>'Model_Coding_KT004'!A3</x:f>
        <x:v>PILOT_01_M02</x:v>
      </x:c>
      <x:c r="D52" s="16" t="str">
        <x:v>graph_representation</x:v>
      </x:c>
      <x:c r="E52" s="16" t="str">
        <x:f>'Model_Coding_KT004'!L3</x:f>
        <x:v>KC_KC</x:v>
      </x:c>
      <x:c r="F52" s="16" t="str">
        <x:f>'Model_Coding_KT004'!AT3</x:f>
        <x:v>Sec. 2.2 Transition Graph; Appendix B split</x:v>
      </x:c>
      <x:c r="G52" s="16" t="str">
        <x:v>HIGH</x:v>
      </x:c>
      <x:c r="H52" s="16" t="str">
        <x:v>Y</x:v>
      </x:c>
      <x:c r="I52" s="16" t="str">
        <x:v>Coder A worked example</x:v>
      </x:c>
    </x:row>
    <x:row r="53">
      <x:c r="A53" s="16" t="n">
        <x:v>52</x:v>
      </x:c>
      <x:c r="B53" s="16" t="str">
        <x:v>MODEL</x:v>
      </x:c>
      <x:c r="C53" s="16" t="str">
        <x:f>'Model_Coding_KT004'!A3</x:f>
        <x:v>PILOT_01_M02</x:v>
      </x:c>
      <x:c r="D53" s="16" t="str">
        <x:v>directed</x:v>
      </x:c>
      <x:c r="E53" s="16" t="str">
        <x:f>'Model_Coding_KT004'!O3</x:f>
        <x:v>Y</x:v>
      </x:c>
      <x:c r="F53" s="16" t="str">
        <x:f>'Model_Coding_KT004'!AT3</x:f>
        <x:v>Sec. 2.2 Transition Graph; Appendix B split</x:v>
      </x:c>
      <x:c r="G53" s="16" t="str">
        <x:v>HIGH</x:v>
      </x:c>
      <x:c r="H53" s="16" t="str">
        <x:v>Y</x:v>
      </x:c>
      <x:c r="I53" s="16" t="str">
        <x:v>Coder A worked example</x:v>
      </x:c>
    </x:row>
    <x:row r="54">
      <x:c r="A54" s="16" t="n">
        <x:v>53</x:v>
      </x:c>
      <x:c r="B54" s="16" t="str">
        <x:v>MODEL</x:v>
      </x:c>
      <x:c r="C54" s="16" t="str">
        <x:f>'Model_Coding_KT004'!A3</x:f>
        <x:v>PILOT_01_M02</x:v>
      </x:c>
      <x:c r="D54" s="16" t="str">
        <x:v>weighted</x:v>
      </x:c>
      <x:c r="E54" s="16" t="str">
        <x:f>'Model_Coding_KT004'!P3</x:f>
        <x:v>Y</x:v>
      </x:c>
      <x:c r="F54" s="16" t="str">
        <x:f>'Model_Coding_KT004'!AT3</x:f>
        <x:v>Sec. 2.2 Transition Graph; Appendix B split</x:v>
      </x:c>
      <x:c r="G54" s="16" t="str">
        <x:v>HIGH</x:v>
      </x:c>
      <x:c r="H54" s="16" t="str">
        <x:v>Y</x:v>
      </x:c>
      <x:c r="I54" s="16" t="str">
        <x:v>Coder A worked example</x:v>
      </x:c>
    </x:row>
    <x:row r="55">
      <x:c r="A55" s="16" t="n">
        <x:v>54</x:v>
      </x:c>
      <x:c r="B55" s="16" t="str">
        <x:v>MODEL</x:v>
      </x:c>
      <x:c r="C55" s="16" t="str">
        <x:f>'Model_Coding_KT004'!A3</x:f>
        <x:v>PILOT_01_M02</x:v>
      </x:c>
      <x:c r="D55" s="16" t="str">
        <x:v>typed_edges</x:v>
      </x:c>
      <x:c r="E55" s="16" t="str">
        <x:f>'Model_Coding_KT004'!Q3</x:f>
        <x:v>Y</x:v>
      </x:c>
      <x:c r="F55" s="16" t="str">
        <x:f>'Model_Coding_KT004'!AT3</x:f>
        <x:v>Sec. 2.2 Transition Graph; Appendix B split</x:v>
      </x:c>
      <x:c r="G55" s="16" t="str">
        <x:v>HIGH</x:v>
      </x:c>
      <x:c r="H55" s="16" t="str">
        <x:v>Y</x:v>
      </x:c>
      <x:c r="I55" s="16" t="str">
        <x:v>Coder A worked example</x:v>
      </x:c>
    </x:row>
    <x:row r="56">
      <x:c r="A56" s="16" t="n">
        <x:v>55</x:v>
      </x:c>
      <x:c r="B56" s="16" t="str">
        <x:v>MODEL</x:v>
      </x:c>
      <x:c r="C56" s="16" t="str">
        <x:f>'Model_Coding_KT004'!A3</x:f>
        <x:v>PILOT_01_M02</x:v>
      </x:c>
      <x:c r="D56" s="16" t="str">
        <x:v>dynamic</x:v>
      </x:c>
      <x:c r="E56" s="16" t="str">
        <x:f>'Model_Coding_KT004'!R3</x:f>
        <x:v>N</x:v>
      </x:c>
      <x:c r="F56" s="16" t="str">
        <x:f>'Model_Coding_KT004'!AT3</x:f>
        <x:v>Sec. 2.2 Transition Graph; Appendix B split</x:v>
      </x:c>
      <x:c r="G56" s="16" t="str">
        <x:v>HIGH</x:v>
      </x:c>
      <x:c r="H56" s="16" t="str">
        <x:v>Y</x:v>
      </x:c>
      <x:c r="I56" s="16" t="str">
        <x:v>Coder A worked example</x:v>
      </x:c>
    </x:row>
    <x:row r="57">
      <x:c r="A57" s="16" t="n">
        <x:v>56</x:v>
      </x:c>
      <x:c r="B57" s="16" t="str">
        <x:v>MODEL</x:v>
      </x:c>
      <x:c r="C57" s="16" t="str">
        <x:f>'Model_Coding_KT004'!A3</x:f>
        <x:v>PILOT_01_M02</x:v>
      </x:c>
      <x:c r="D57" s="16" t="str">
        <x:v>dag_enforced</x:v>
      </x:c>
      <x:c r="E57" s="16" t="str">
        <x:f>'Model_Coding_KT004'!S3</x:f>
        <x:v>N</x:v>
      </x:c>
      <x:c r="F57" s="16" t="str">
        <x:f>'Model_Coding_KT004'!AT3</x:f>
        <x:v>Sec. 2.2 Transition Graph; Appendix B split</x:v>
      </x:c>
      <x:c r="G57" s="16" t="str">
        <x:v>HIGH</x:v>
      </x:c>
      <x:c r="H57" s="16" t="str">
        <x:v>Y</x:v>
      </x:c>
      <x:c r="I57" s="16" t="str">
        <x:v>Coder A worked example</x:v>
      </x:c>
    </x:row>
    <x:row r="58">
      <x:c r="A58" s="16" t="n">
        <x:v>57</x:v>
      </x:c>
      <x:c r="B58" s="16" t="str">
        <x:v>MODEL</x:v>
      </x:c>
      <x:c r="C58" s="16" t="str">
        <x:f>'Model_Coding_KT004'!A3</x:f>
        <x:v>PILOT_01_M02</x:v>
      </x:c>
      <x:c r="D58" s="16" t="str">
        <x:v>edge_confidence_used</x:v>
      </x:c>
      <x:c r="E58" s="16" t="str">
        <x:f>'Model_Coding_KT004'!T3</x:f>
        <x:v>N</x:v>
      </x:c>
      <x:c r="F58" s="16" t="str">
        <x:f>'Model_Coding_KT004'!AT3</x:f>
        <x:v>Sec. 2.2 Transition Graph; Appendix B split</x:v>
      </x:c>
      <x:c r="G58" s="16" t="str">
        <x:v>HIGH</x:v>
      </x:c>
      <x:c r="H58" s="16" t="str">
        <x:v>Y</x:v>
      </x:c>
      <x:c r="I58" s="16" t="str">
        <x:v>Coder A worked example</x:v>
      </x:c>
    </x:row>
    <x:row r="59">
      <x:c r="A59" s="16" t="n">
        <x:v>58</x:v>
      </x:c>
      <x:c r="B59" s="16" t="str">
        <x:v>MODEL</x:v>
      </x:c>
      <x:c r="C59" s="16" t="str">
        <x:f>'Model_Coding_KT004'!A3</x:f>
        <x:v>PILOT_01_M02</x:v>
      </x:c>
      <x:c r="D59" s="16" t="str">
        <x:v>gnn_encoder</x:v>
      </x:c>
      <x:c r="E59" s="16" t="str">
        <x:f>'Model_Coding_KT004'!U3</x:f>
        <x:v>OTHER</x:v>
      </x:c>
      <x:c r="F59" s="16" t="str">
        <x:f>'Model_Coding_KT004'!AT3</x:f>
        <x:v>Sec. 2.2 Transition Graph; Appendix B split</x:v>
      </x:c>
      <x:c r="G59" s="16" t="str">
        <x:v>HIGH</x:v>
      </x:c>
      <x:c r="H59" s="16" t="str">
        <x:v>Y</x:v>
      </x:c>
      <x:c r="I59" s="16" t="str">
        <x:v>Coder A worked example</x:v>
      </x:c>
    </x:row>
    <x:row r="60">
      <x:c r="A60" s="16" t="n">
        <x:v>59</x:v>
      </x:c>
      <x:c r="B60" s="16" t="str">
        <x:v>MODEL</x:v>
      </x:c>
      <x:c r="C60" s="16" t="str">
        <x:f>'Model_Coding_KT004'!A3</x:f>
        <x:v>PILOT_01_M02</x:v>
      </x:c>
      <x:c r="D60" s="16" t="str">
        <x:v>temporal_backbone</x:v>
      </x:c>
      <x:c r="E60" s="16" t="str">
        <x:f>'Model_Coding_KT004'!Y3</x:f>
        <x:v>RNN_LSTM_GRU</x:v>
      </x:c>
      <x:c r="F60" s="16" t="str">
        <x:f>'Model_Coding_KT004'!AT3</x:f>
        <x:v>Sec. 2.2 Transition Graph; Appendix B split</x:v>
      </x:c>
      <x:c r="G60" s="16" t="str">
        <x:v>HIGH</x:v>
      </x:c>
      <x:c r="H60" s="16" t="str">
        <x:v>Y</x:v>
      </x:c>
      <x:c r="I60" s="16" t="str">
        <x:v>Coder A worked example</x:v>
      </x:c>
    </x:row>
    <x:row r="61">
      <x:c r="A61" s="16" t="n">
        <x:v>60</x:v>
      </x:c>
      <x:c r="B61" s="16" t="str">
        <x:v>MODEL</x:v>
      </x:c>
      <x:c r="C61" s="16" t="str">
        <x:f>'Model_Coding_KT004'!A3</x:f>
        <x:v>PILOT_01_M02</x:v>
      </x:c>
      <x:c r="D61" s="16" t="str">
        <x:v>semantic_auxiliary_encoder</x:v>
      </x:c>
      <x:c r="E61" s="16" t="str">
        <x:f>'Model_Coding_KT004'!Z3</x:f>
        <x:v>NA</x:v>
      </x:c>
      <x:c r="F61" s="16" t="str">
        <x:f>'Model_Coding_KT004'!AT3</x:f>
        <x:v>Sec. 2.2 Transition Graph; Appendix B split</x:v>
      </x:c>
      <x:c r="G61" s="16" t="str">
        <x:v>HIGH</x:v>
      </x:c>
      <x:c r="H61" s="16" t="str">
        <x:v>Y</x:v>
      </x:c>
      <x:c r="I61" s="16" t="str">
        <x:v>Coder A worked example</x:v>
      </x:c>
    </x:row>
    <x:row r="62">
      <x:c r="A62" s="16" t="n">
        <x:v>61</x:v>
      </x:c>
      <x:c r="B62" s="16" t="str">
        <x:v>MODEL</x:v>
      </x:c>
      <x:c r="C62" s="16" t="str">
        <x:f>'Model_Coding_KT004'!A3</x:f>
        <x:v>PILOT_01_M02</x:v>
      </x:c>
      <x:c r="D62" s="16" t="str">
        <x:v>fusion_type</x:v>
      </x:c>
      <x:c r="E62" s="16" t="str">
        <x:f>'Model_Coding_KT004'!AA3</x:f>
        <x:v>MESSAGE_PASSING_IN_PREDICTION_LOOP</x:v>
      </x:c>
      <x:c r="F62" s="16" t="str">
        <x:f>'Model_Coding_KT004'!AT3</x:f>
        <x:v>Sec. 2.2 Transition Graph; Appendix B split</x:v>
      </x:c>
      <x:c r="G62" s="16" t="str">
        <x:v>HIGH</x:v>
      </x:c>
      <x:c r="H62" s="16" t="str">
        <x:v>Y</x:v>
      </x:c>
      <x:c r="I62" s="16" t="str">
        <x:v>Coder A worked example</x:v>
      </x:c>
    </x:row>
    <x:row r="63">
      <x:c r="A63" s="16" t="n">
        <x:v>62</x:v>
      </x:c>
      <x:c r="B63" s="16" t="str">
        <x:v>MODEL</x:v>
      </x:c>
      <x:c r="C63" s="16" t="str">
        <x:f>'Model_Coding_KT004'!A3</x:f>
        <x:v>PILOT_01_M02</x:v>
      </x:c>
      <x:c r="D63" s="16" t="str">
        <x:v>fusion_location</x:v>
      </x:c>
      <x:c r="E63" s="16" t="str">
        <x:f>'Model_Coding_KT004'!AB3</x:f>
        <x:v>HIDDEN_STATE</x:v>
      </x:c>
      <x:c r="F63" s="16" t="str">
        <x:f>'Model_Coding_KT004'!AT3</x:f>
        <x:v>Sec. 2.2 Transition Graph; Appendix B split</x:v>
      </x:c>
      <x:c r="G63" s="16" t="str">
        <x:v>HIGH</x:v>
      </x:c>
      <x:c r="H63" s="16" t="str">
        <x:v>Y</x:v>
      </x:c>
      <x:c r="I63" s="16" t="str">
        <x:v>Coder A worked example</x:v>
      </x:c>
    </x:row>
    <x:row r="64">
      <x:c r="A64" s="16" t="n">
        <x:v>63</x:v>
      </x:c>
      <x:c r="B64" s="16" t="str">
        <x:v>MODEL</x:v>
      </x:c>
      <x:c r="C64" s="16" t="str">
        <x:f>'Model_Coding_KT004'!A3</x:f>
        <x:v>PILOT_01_M02</x:v>
      </x:c>
      <x:c r="D64" s="16" t="str">
        <x:v>ssl_family</x:v>
      </x:c>
      <x:c r="E64" s="16" t="str">
        <x:f>'Model_Coding_KT004'!AD3</x:f>
        <x:v>NONE</x:v>
      </x:c>
      <x:c r="F64" s="16" t="str">
        <x:f>'Model_Coding_KT004'!AT3</x:f>
        <x:v>Sec. 2.2 Transition Graph; Appendix B split</x:v>
      </x:c>
      <x:c r="G64" s="16" t="str">
        <x:v>HIGH</x:v>
      </x:c>
      <x:c r="H64" s="16" t="str">
        <x:v>Y</x:v>
      </x:c>
      <x:c r="I64" s="16" t="str">
        <x:v>Coder A worked example</x:v>
      </x:c>
    </x:row>
    <x:row r="65">
      <x:c r="A65" s="16" t="n">
        <x:v>64</x:v>
      </x:c>
      <x:c r="B65" s="16" t="str">
        <x:v>MODEL</x:v>
      </x:c>
      <x:c r="C65" s="16" t="str">
        <x:f>'Model_Coding_KT004'!A3</x:f>
        <x:v>PILOT_01_M02</x:v>
      </x:c>
      <x:c r="D65" s="16" t="str">
        <x:v>non_ssl_pretraining</x:v>
      </x:c>
      <x:c r="E65" s="16" t="str">
        <x:f>'Model_Coding_KT004'!AE3</x:f>
        <x:v>N</x:v>
      </x:c>
      <x:c r="F65" s="16" t="str">
        <x:f>'Model_Coding_KT004'!AT3</x:f>
        <x:v>Sec. 2.2 Transition Graph; Appendix B split</x:v>
      </x:c>
      <x:c r="G65" s="16" t="str">
        <x:v>HIGH</x:v>
      </x:c>
      <x:c r="H65" s="16" t="str">
        <x:v>Y</x:v>
      </x:c>
      <x:c r="I65" s="16" t="str">
        <x:v>Coder A worked example</x:v>
      </x:c>
    </x:row>
    <x:row r="66">
      <x:c r="A66" s="16" t="n">
        <x:v>65</x:v>
      </x:c>
      <x:c r="B66" s="16" t="str">
        <x:v>MODEL</x:v>
      </x:c>
      <x:c r="C66" s="16" t="str">
        <x:f>'Model_Coding_KT004'!A3</x:f>
        <x:v>PILOT_01_M02</x:v>
      </x:c>
      <x:c r="D66" s="16" t="str">
        <x:v>ssl_training_mode</x:v>
      </x:c>
      <x:c r="E66" s="16" t="str">
        <x:f>'Model_Coding_KT004'!AG3</x:f>
        <x:v>NA</x:v>
      </x:c>
      <x:c r="F66" s="16" t="str">
        <x:f>'Model_Coding_KT004'!AT3</x:f>
        <x:v>Sec. 2.2 Transition Graph; Appendix B split</x:v>
      </x:c>
      <x:c r="G66" s="16" t="str">
        <x:v>HIGH</x:v>
      </x:c>
      <x:c r="H66" s="16" t="str">
        <x:v>Y</x:v>
      </x:c>
      <x:c r="I66" s="16" t="str">
        <x:v>Coder A worked example</x:v>
      </x:c>
    </x:row>
    <x:row r="67">
      <x:c r="A67" s="16" t="n">
        <x:v>66</x:v>
      </x:c>
      <x:c r="B67" s="16" t="str">
        <x:v>MODEL</x:v>
      </x:c>
      <x:c r="C67" s="16" t="str">
        <x:f>'Model_Coding_KT004'!A3</x:f>
        <x:v>PILOT_01_M02</x:v>
      </x:c>
      <x:c r="D67" s="16" t="str">
        <x:v>ssl_target_level</x:v>
      </x:c>
      <x:c r="E67" s="16" t="str">
        <x:f>'Model_Coding_KT004'!AH3</x:f>
        <x:v>NA</x:v>
      </x:c>
      <x:c r="F67" s="16" t="str">
        <x:f>'Model_Coding_KT004'!AT3</x:f>
        <x:v>Sec. 2.2 Transition Graph; Appendix B split</x:v>
      </x:c>
      <x:c r="G67" s="16" t="str">
        <x:v>HIGH</x:v>
      </x:c>
      <x:c r="H67" s="16" t="str">
        <x:v>Y</x:v>
      </x:c>
      <x:c r="I67" s="16" t="str">
        <x:v>Coder A worked example</x:v>
      </x:c>
    </x:row>
    <x:row r="68">
      <x:c r="A68" s="16" t="n">
        <x:v>67</x:v>
      </x:c>
      <x:c r="B68" s="16" t="str">
        <x:v>MODEL</x:v>
      </x:c>
      <x:c r="C68" s="16" t="str">
        <x:f>'Model_Coding_KT004'!A3</x:f>
        <x:v>PILOT_01_M02</x:v>
      </x:c>
      <x:c r="D68" s="16" t="str">
        <x:v>augmentation_type</x:v>
      </x:c>
      <x:c r="E68" s="16" t="str">
        <x:f>'Model_Coding_KT004'!AM3</x:f>
        <x:v>NO_EXPLICIT_AUGMENTATION</x:v>
      </x:c>
      <x:c r="F68" s="16" t="str">
        <x:f>'Model_Coding_KT004'!AT3</x:f>
        <x:v>Sec. 2.2 Transition Graph; Appendix B split</x:v>
      </x:c>
      <x:c r="G68" s="16" t="str">
        <x:v>HIGH</x:v>
      </x:c>
      <x:c r="H68" s="16" t="str">
        <x:v>Y</x:v>
      </x:c>
      <x:c r="I68" s="16" t="str">
        <x:v>Coder A worked example</x:v>
      </x:c>
    </x:row>
    <x:row r="69">
      <x:c r="A69" s="16" t="n">
        <x:v>68</x:v>
      </x:c>
      <x:c r="B69" s="16" t="str">
        <x:v>MODEL</x:v>
      </x:c>
      <x:c r="C69" s="16" t="str">
        <x:f>'Model_Coding_KT004'!A3</x:f>
        <x:v>PILOT_01_M02</x:v>
      </x:c>
      <x:c r="D69" s="16" t="str">
        <x:v>educational_structure_preservation</x:v>
      </x:c>
      <x:c r="E69" s="16" t="str">
        <x:f>'Model_Coding_KT004'!AN3</x:f>
        <x:v>NO_AUGMENTATION</x:v>
      </x:c>
      <x:c r="F69" s="16" t="str">
        <x:f>'Model_Coding_KT004'!AT3</x:f>
        <x:v>Sec. 2.2 Transition Graph; Appendix B split</x:v>
      </x:c>
      <x:c r="G69" s="16" t="str">
        <x:v>HIGH</x:v>
      </x:c>
      <x:c r="H69" s="16" t="str">
        <x:v>Y</x:v>
      </x:c>
      <x:c r="I69" s="16" t="str">
        <x:v>Coder A worked example</x:v>
      </x:c>
    </x:row>
    <x:row r="70">
      <x:c r="A70" s="16" t="n">
        <x:v>69</x:v>
      </x:c>
      <x:c r="B70" s="16" t="str">
        <x:v>MODEL</x:v>
      </x:c>
      <x:c r="C70" s="16" t="str">
        <x:f>'Model_Coding_KT004'!A3</x:f>
        <x:v>PILOT_01_M02</x:v>
      </x:c>
      <x:c r="D70" s="16" t="str">
        <x:v>augmentation_validity_ablation</x:v>
      </x:c>
      <x:c r="E70" s="16" t="str">
        <x:f>'Model_Coding_KT004'!AP3</x:f>
        <x:v>NA</x:v>
      </x:c>
      <x:c r="F70" s="16" t="str">
        <x:f>'Model_Coding_KT004'!AT3</x:f>
        <x:v>Sec. 2.2 Transition Graph; Appendix B split</x:v>
      </x:c>
      <x:c r="G70" s="16" t="str">
        <x:v>HIGH</x:v>
      </x:c>
      <x:c r="H70" s="16" t="str">
        <x:v>Y</x:v>
      </x:c>
      <x:c r="I70" s="16" t="str">
        <x:v>Coder A worked example</x:v>
      </x:c>
    </x:row>
    <x:row r="71">
      <x:c r="A71" s="16" t="n">
        <x:v>70</x:v>
      </x:c>
      <x:c r="B71" s="16" t="str">
        <x:v>MODEL</x:v>
      </x:c>
      <x:c r="C71" s="16" t="str">
        <x:f>'Model_Coding_KT004'!A4</x:f>
        <x:v>PILOT_01_M03</x:v>
      </x:c>
      <x:c r="D71" s="16" t="str">
        <x:v>graph_source</x:v>
      </x:c>
      <x:c r="E71" s="16" t="str">
        <x:f>'Model_Coding_KT004'!E4</x:f>
        <x:v>LEARNED_FROM_INTERACTIONS</x:v>
      </x:c>
      <x:c r="F71" s="16" t="str">
        <x:f>'Model_Coding_KT004'!AT4</x:f>
        <x:v>Sec. 2.2 DKT Graph; Appendix B split</x:v>
      </x:c>
      <x:c r="G71" s="16" t="str">
        <x:v>HIGH</x:v>
      </x:c>
      <x:c r="H71" s="16" t="str">
        <x:v>Y</x:v>
      </x:c>
      <x:c r="I71" s="16" t="str">
        <x:v>Coder A worked example</x:v>
      </x:c>
    </x:row>
    <x:row r="72">
      <x:c r="A72" s="16" t="n">
        <x:v>71</x:v>
      </x:c>
      <x:c r="B72" s="16" t="str">
        <x:v>MODEL</x:v>
      </x:c>
      <x:c r="C72" s="16" t="str">
        <x:f>'Model_Coding_KT004'!A4</x:f>
        <x:v>PILOT_01_M03</x:v>
      </x:c>
      <x:c r="D72" s="16" t="str">
        <x:v>graph_provenance</x:v>
      </x:c>
      <x:c r="E72" s="16" t="str">
        <x:f>'Model_Coding_KT004'!G4</x:f>
        <x:v>PRECOMPUTED_UNCLEAR_SPLIT</x:v>
      </x:c>
      <x:c r="F72" s="16" t="str">
        <x:f>'Model_Coding_KT004'!AT4</x:f>
        <x:v>Sec. 2.2 DKT Graph; Appendix B split</x:v>
      </x:c>
      <x:c r="G72" s="16" t="str">
        <x:v>HIGH</x:v>
      </x:c>
      <x:c r="H72" s="16" t="str">
        <x:v>Y</x:v>
      </x:c>
      <x:c r="I72" s="16" t="str">
        <x:v>Coder A worked example</x:v>
      </x:c>
    </x:row>
    <x:row r="73">
      <x:c r="A73" s="16" t="n">
        <x:v>72</x:v>
      </x:c>
      <x:c r="B73" s="16" t="str">
        <x:v>MODEL</x:v>
      </x:c>
      <x:c r="C73" s="16" t="str">
        <x:f>'Model_Coding_KT004'!A4</x:f>
        <x:v>PILOT_01_M03</x:v>
      </x:c>
      <x:c r="D73" s="16" t="str">
        <x:v>graph_leakage_risk</x:v>
      </x:c>
      <x:c r="E73" s="16" t="str">
        <x:f>'Model_Coding_KT004'!H4</x:f>
        <x:v>POTENTIAL</x:v>
      </x:c>
      <x:c r="F73" s="16" t="str">
        <x:f>'Model_Coding_KT004'!AT4</x:f>
        <x:v>Sec. 2.2 DKT Graph; Appendix B split</x:v>
      </x:c>
      <x:c r="G73" s="16" t="str">
        <x:v>HIGH</x:v>
      </x:c>
      <x:c r="H73" s="16" t="str">
        <x:v>Y</x:v>
      </x:c>
      <x:c r="I73" s="16" t="str">
        <x:v>Coder A worked example</x:v>
      </x:c>
    </x:row>
    <x:row r="74">
      <x:c r="A74" s="16" t="n">
        <x:v>73</x:v>
      </x:c>
      <x:c r="B74" s="16" t="str">
        <x:v>MODEL</x:v>
      </x:c>
      <x:c r="C74" s="16" t="str">
        <x:f>'Model_Coding_KT004'!A4</x:f>
        <x:v>PILOT_01_M03</x:v>
      </x:c>
      <x:c r="D74" s="16" t="str">
        <x:v>graph_construction_uses_response_labels</x:v>
      </x:c>
      <x:c r="E74" s="16" t="str">
        <x:f>'Model_Coding_KT004'!J4</x:f>
        <x:v>Y</x:v>
      </x:c>
      <x:c r="F74" s="16" t="str">
        <x:f>'Model_Coding_KT004'!AT4</x:f>
        <x:v>Sec. 2.2 DKT Graph; Appendix B split</x:v>
      </x:c>
      <x:c r="G74" s="16" t="str">
        <x:v>HIGH</x:v>
      </x:c>
      <x:c r="H74" s="16" t="str">
        <x:v>Y</x:v>
      </x:c>
      <x:c r="I74" s="16" t="str">
        <x:v>Coder A worked example</x:v>
      </x:c>
    </x:row>
    <x:row r="75">
      <x:c r="A75" s="16" t="n">
        <x:v>74</x:v>
      </x:c>
      <x:c r="B75" s="16" t="str">
        <x:v>MODEL</x:v>
      </x:c>
      <x:c r="C75" s="16" t="str">
        <x:f>'Model_Coding_KT004'!A4</x:f>
        <x:v>PILOT_01_M03</x:v>
      </x:c>
      <x:c r="D75" s="16" t="str">
        <x:v>graph_construction_uses_test_partition</x:v>
      </x:c>
      <x:c r="E75" s="16" t="str">
        <x:f>'Model_Coding_KT004'!K4</x:f>
        <x:v>UNCLEAR</x:v>
      </x:c>
      <x:c r="F75" s="16" t="str">
        <x:f>'Model_Coding_KT004'!AT4</x:f>
        <x:v>Sec. 2.2 DKT Graph; Appendix B split</x:v>
      </x:c>
      <x:c r="G75" s="16" t="str">
        <x:v>HIGH</x:v>
      </x:c>
      <x:c r="H75" s="16" t="str">
        <x:v>Y</x:v>
      </x:c>
      <x:c r="I75" s="16" t="str">
        <x:v>Coder A worked example</x:v>
      </x:c>
    </x:row>
    <x:row r="76">
      <x:c r="A76" s="16" t="n">
        <x:v>75</x:v>
      </x:c>
      <x:c r="B76" s="16" t="str">
        <x:v>MODEL</x:v>
      </x:c>
      <x:c r="C76" s="16" t="str">
        <x:f>'Model_Coding_KT004'!A4</x:f>
        <x:v>PILOT_01_M03</x:v>
      </x:c>
      <x:c r="D76" s="16" t="str">
        <x:v>graph_representation</x:v>
      </x:c>
      <x:c r="E76" s="16" t="str">
        <x:f>'Model_Coding_KT004'!L4</x:f>
        <x:v>KC_KC</x:v>
      </x:c>
      <x:c r="F76" s="16" t="str">
        <x:f>'Model_Coding_KT004'!AT4</x:f>
        <x:v>Sec. 2.2 DKT Graph; Appendix B split</x:v>
      </x:c>
      <x:c r="G76" s="16" t="str">
        <x:v>HIGH</x:v>
      </x:c>
      <x:c r="H76" s="16" t="str">
        <x:v>Y</x:v>
      </x:c>
      <x:c r="I76" s="16" t="str">
        <x:v>Coder A worked example</x:v>
      </x:c>
    </x:row>
    <x:row r="77">
      <x:c r="A77" s="16" t="n">
        <x:v>76</x:v>
      </x:c>
      <x:c r="B77" s="16" t="str">
        <x:v>MODEL</x:v>
      </x:c>
      <x:c r="C77" s="16" t="str">
        <x:f>'Model_Coding_KT004'!A4</x:f>
        <x:v>PILOT_01_M03</x:v>
      </x:c>
      <x:c r="D77" s="16" t="str">
        <x:v>directed</x:v>
      </x:c>
      <x:c r="E77" s="16" t="str">
        <x:f>'Model_Coding_KT004'!O4</x:f>
        <x:v>Y</x:v>
      </x:c>
      <x:c r="F77" s="16" t="str">
        <x:f>'Model_Coding_KT004'!AT4</x:f>
        <x:v>Sec. 2.2 DKT Graph; Appendix B split</x:v>
      </x:c>
      <x:c r="G77" s="16" t="str">
        <x:v>HIGH</x:v>
      </x:c>
      <x:c r="H77" s="16" t="str">
        <x:v>Y</x:v>
      </x:c>
      <x:c r="I77" s="16" t="str">
        <x:v>Coder A worked example</x:v>
      </x:c>
    </x:row>
    <x:row r="78">
      <x:c r="A78" s="16" t="n">
        <x:v>77</x:v>
      </x:c>
      <x:c r="B78" s="16" t="str">
        <x:v>MODEL</x:v>
      </x:c>
      <x:c r="C78" s="16" t="str">
        <x:f>'Model_Coding_KT004'!A4</x:f>
        <x:v>PILOT_01_M03</x:v>
      </x:c>
      <x:c r="D78" s="16" t="str">
        <x:v>weighted</x:v>
      </x:c>
      <x:c r="E78" s="16" t="str">
        <x:f>'Model_Coding_KT004'!P4</x:f>
        <x:v>Y</x:v>
      </x:c>
      <x:c r="F78" s="16" t="str">
        <x:f>'Model_Coding_KT004'!AT4</x:f>
        <x:v>Sec. 2.2 DKT Graph; Appendix B split</x:v>
      </x:c>
      <x:c r="G78" s="16" t="str">
        <x:v>HIGH</x:v>
      </x:c>
      <x:c r="H78" s="16" t="str">
        <x:v>Y</x:v>
      </x:c>
      <x:c r="I78" s="16" t="str">
        <x:v>Coder A worked example</x:v>
      </x:c>
    </x:row>
    <x:row r="79">
      <x:c r="A79" s="16" t="n">
        <x:v>78</x:v>
      </x:c>
      <x:c r="B79" s="16" t="str">
        <x:v>MODEL</x:v>
      </x:c>
      <x:c r="C79" s="16" t="str">
        <x:f>'Model_Coding_KT004'!A4</x:f>
        <x:v>PILOT_01_M03</x:v>
      </x:c>
      <x:c r="D79" s="16" t="str">
        <x:v>typed_edges</x:v>
      </x:c>
      <x:c r="E79" s="16" t="str">
        <x:f>'Model_Coding_KT004'!Q4</x:f>
        <x:v>Y</x:v>
      </x:c>
      <x:c r="F79" s="16" t="str">
        <x:f>'Model_Coding_KT004'!AT4</x:f>
        <x:v>Sec. 2.2 DKT Graph; Appendix B split</x:v>
      </x:c>
      <x:c r="G79" s="16" t="str">
        <x:v>HIGH</x:v>
      </x:c>
      <x:c r="H79" s="16" t="str">
        <x:v>Y</x:v>
      </x:c>
      <x:c r="I79" s="16" t="str">
        <x:v>Coder A worked example</x:v>
      </x:c>
    </x:row>
    <x:row r="80">
      <x:c r="A80" s="16" t="n">
        <x:v>79</x:v>
      </x:c>
      <x:c r="B80" s="16" t="str">
        <x:v>MODEL</x:v>
      </x:c>
      <x:c r="C80" s="16" t="str">
        <x:f>'Model_Coding_KT004'!A4</x:f>
        <x:v>PILOT_01_M03</x:v>
      </x:c>
      <x:c r="D80" s="16" t="str">
        <x:v>dynamic</x:v>
      </x:c>
      <x:c r="E80" s="16" t="str">
        <x:f>'Model_Coding_KT004'!R4</x:f>
        <x:v>N</x:v>
      </x:c>
      <x:c r="F80" s="16" t="str">
        <x:f>'Model_Coding_KT004'!AT4</x:f>
        <x:v>Sec. 2.2 DKT Graph; Appendix B split</x:v>
      </x:c>
      <x:c r="G80" s="16" t="str">
        <x:v>HIGH</x:v>
      </x:c>
      <x:c r="H80" s="16" t="str">
        <x:v>Y</x:v>
      </x:c>
      <x:c r="I80" s="16" t="str">
        <x:v>Coder A worked example</x:v>
      </x:c>
    </x:row>
    <x:row r="81">
      <x:c r="A81" s="16" t="n">
        <x:v>80</x:v>
      </x:c>
      <x:c r="B81" s="16" t="str">
        <x:v>MODEL</x:v>
      </x:c>
      <x:c r="C81" s="16" t="str">
        <x:f>'Model_Coding_KT004'!A4</x:f>
        <x:v>PILOT_01_M03</x:v>
      </x:c>
      <x:c r="D81" s="16" t="str">
        <x:v>dag_enforced</x:v>
      </x:c>
      <x:c r="E81" s="16" t="str">
        <x:f>'Model_Coding_KT004'!S4</x:f>
        <x:v>N</x:v>
      </x:c>
      <x:c r="F81" s="16" t="str">
        <x:f>'Model_Coding_KT004'!AT4</x:f>
        <x:v>Sec. 2.2 DKT Graph; Appendix B split</x:v>
      </x:c>
      <x:c r="G81" s="16" t="str">
        <x:v>HIGH</x:v>
      </x:c>
      <x:c r="H81" s="16" t="str">
        <x:v>Y</x:v>
      </x:c>
      <x:c r="I81" s="16" t="str">
        <x:v>Coder A worked example</x:v>
      </x:c>
    </x:row>
    <x:row r="82">
      <x:c r="A82" s="16" t="n">
        <x:v>81</x:v>
      </x:c>
      <x:c r="B82" s="16" t="str">
        <x:v>MODEL</x:v>
      </x:c>
      <x:c r="C82" s="16" t="str">
        <x:f>'Model_Coding_KT004'!A4</x:f>
        <x:v>PILOT_01_M03</x:v>
      </x:c>
      <x:c r="D82" s="16" t="str">
        <x:v>edge_confidence_used</x:v>
      </x:c>
      <x:c r="E82" s="16" t="str">
        <x:f>'Model_Coding_KT004'!T4</x:f>
        <x:v>N</x:v>
      </x:c>
      <x:c r="F82" s="16" t="str">
        <x:f>'Model_Coding_KT004'!AT4</x:f>
        <x:v>Sec. 2.2 DKT Graph; Appendix B split</x:v>
      </x:c>
      <x:c r="G82" s="16" t="str">
        <x:v>HIGH</x:v>
      </x:c>
      <x:c r="H82" s="16" t="str">
        <x:v>Y</x:v>
      </x:c>
      <x:c r="I82" s="16" t="str">
        <x:v>Coder A worked example</x:v>
      </x:c>
    </x:row>
    <x:row r="83">
      <x:c r="A83" s="16" t="n">
        <x:v>82</x:v>
      </x:c>
      <x:c r="B83" s="16" t="str">
        <x:v>MODEL</x:v>
      </x:c>
      <x:c r="C83" s="16" t="str">
        <x:f>'Model_Coding_KT004'!A4</x:f>
        <x:v>PILOT_01_M03</x:v>
      </x:c>
      <x:c r="D83" s="16" t="str">
        <x:v>gnn_encoder</x:v>
      </x:c>
      <x:c r="E83" s="16" t="str">
        <x:f>'Model_Coding_KT004'!U4</x:f>
        <x:v>OTHER</x:v>
      </x:c>
      <x:c r="F83" s="16" t="str">
        <x:f>'Model_Coding_KT004'!AT4</x:f>
        <x:v>Sec. 2.2 DKT Graph; Appendix B split</x:v>
      </x:c>
      <x:c r="G83" s="16" t="str">
        <x:v>HIGH</x:v>
      </x:c>
      <x:c r="H83" s="16" t="str">
        <x:v>Y</x:v>
      </x:c>
      <x:c r="I83" s="16" t="str">
        <x:v>Coder A worked example</x:v>
      </x:c>
    </x:row>
    <x:row r="84">
      <x:c r="A84" s="16" t="n">
        <x:v>83</x:v>
      </x:c>
      <x:c r="B84" s="16" t="str">
        <x:v>MODEL</x:v>
      </x:c>
      <x:c r="C84" s="16" t="str">
        <x:f>'Model_Coding_KT004'!A4</x:f>
        <x:v>PILOT_01_M03</x:v>
      </x:c>
      <x:c r="D84" s="16" t="str">
        <x:v>temporal_backbone</x:v>
      </x:c>
      <x:c r="E84" s="16" t="str">
        <x:f>'Model_Coding_KT004'!Y4</x:f>
        <x:v>RNN_LSTM_GRU</x:v>
      </x:c>
      <x:c r="F84" s="16" t="str">
        <x:f>'Model_Coding_KT004'!AT4</x:f>
        <x:v>Sec. 2.2 DKT Graph; Appendix B split</x:v>
      </x:c>
      <x:c r="G84" s="16" t="str">
        <x:v>HIGH</x:v>
      </x:c>
      <x:c r="H84" s="16" t="str">
        <x:v>Y</x:v>
      </x:c>
      <x:c r="I84" s="16" t="str">
        <x:v>Coder A worked example</x:v>
      </x:c>
    </x:row>
    <x:row r="85">
      <x:c r="A85" s="16" t="n">
        <x:v>84</x:v>
      </x:c>
      <x:c r="B85" s="16" t="str">
        <x:v>MODEL</x:v>
      </x:c>
      <x:c r="C85" s="16" t="str">
        <x:f>'Model_Coding_KT004'!A4</x:f>
        <x:v>PILOT_01_M03</x:v>
      </x:c>
      <x:c r="D85" s="16" t="str">
        <x:v>semantic_auxiliary_encoder</x:v>
      </x:c>
      <x:c r="E85" s="16" t="str">
        <x:f>'Model_Coding_KT004'!Z4</x:f>
        <x:v>NA</x:v>
      </x:c>
      <x:c r="F85" s="16" t="str">
        <x:f>'Model_Coding_KT004'!AT4</x:f>
        <x:v>Sec. 2.2 DKT Graph; Appendix B split</x:v>
      </x:c>
      <x:c r="G85" s="16" t="str">
        <x:v>HIGH</x:v>
      </x:c>
      <x:c r="H85" s="16" t="str">
        <x:v>Y</x:v>
      </x:c>
      <x:c r="I85" s="16" t="str">
        <x:v>Coder A worked example</x:v>
      </x:c>
    </x:row>
    <x:row r="86">
      <x:c r="A86" s="16" t="n">
        <x:v>85</x:v>
      </x:c>
      <x:c r="B86" s="16" t="str">
        <x:v>MODEL</x:v>
      </x:c>
      <x:c r="C86" s="16" t="str">
        <x:f>'Model_Coding_KT004'!A4</x:f>
        <x:v>PILOT_01_M03</x:v>
      </x:c>
      <x:c r="D86" s="16" t="str">
        <x:v>fusion_type</x:v>
      </x:c>
      <x:c r="E86" s="16" t="str">
        <x:f>'Model_Coding_KT004'!AA4</x:f>
        <x:v>MESSAGE_PASSING_IN_PREDICTION_LOOP</x:v>
      </x:c>
      <x:c r="F86" s="16" t="str">
        <x:f>'Model_Coding_KT004'!AT4</x:f>
        <x:v>Sec. 2.2 DKT Graph; Appendix B split</x:v>
      </x:c>
      <x:c r="G86" s="16" t="str">
        <x:v>HIGH</x:v>
      </x:c>
      <x:c r="H86" s="16" t="str">
        <x:v>Y</x:v>
      </x:c>
      <x:c r="I86" s="16" t="str">
        <x:v>Coder A worked example</x:v>
      </x:c>
    </x:row>
    <x:row r="87">
      <x:c r="A87" s="16" t="n">
        <x:v>86</x:v>
      </x:c>
      <x:c r="B87" s="16" t="str">
        <x:v>MODEL</x:v>
      </x:c>
      <x:c r="C87" s="16" t="str">
        <x:f>'Model_Coding_KT004'!A4</x:f>
        <x:v>PILOT_01_M03</x:v>
      </x:c>
      <x:c r="D87" s="16" t="str">
        <x:v>fusion_location</x:v>
      </x:c>
      <x:c r="E87" s="16" t="str">
        <x:f>'Model_Coding_KT004'!AB4</x:f>
        <x:v>HIDDEN_STATE</x:v>
      </x:c>
      <x:c r="F87" s="16" t="str">
        <x:f>'Model_Coding_KT004'!AT4</x:f>
        <x:v>Sec. 2.2 DKT Graph; Appendix B split</x:v>
      </x:c>
      <x:c r="G87" s="16" t="str">
        <x:v>HIGH</x:v>
      </x:c>
      <x:c r="H87" s="16" t="str">
        <x:v>Y</x:v>
      </x:c>
      <x:c r="I87" s="16" t="str">
        <x:v>Coder A worked example</x:v>
      </x:c>
    </x:row>
    <x:row r="88">
      <x:c r="A88" s="16" t="n">
        <x:v>87</x:v>
      </x:c>
      <x:c r="B88" s="16" t="str">
        <x:v>MODEL</x:v>
      </x:c>
      <x:c r="C88" s="16" t="str">
        <x:f>'Model_Coding_KT004'!A4</x:f>
        <x:v>PILOT_01_M03</x:v>
      </x:c>
      <x:c r="D88" s="16" t="str">
        <x:v>ssl_family</x:v>
      </x:c>
      <x:c r="E88" s="16" t="str">
        <x:f>'Model_Coding_KT004'!AD4</x:f>
        <x:v>NONE</x:v>
      </x:c>
      <x:c r="F88" s="16" t="str">
        <x:f>'Model_Coding_KT004'!AT4</x:f>
        <x:v>Sec. 2.2 DKT Graph; Appendix B split</x:v>
      </x:c>
      <x:c r="G88" s="16" t="str">
        <x:v>HIGH</x:v>
      </x:c>
      <x:c r="H88" s="16" t="str">
        <x:v>Y</x:v>
      </x:c>
      <x:c r="I88" s="16" t="str">
        <x:v>Coder A worked example</x:v>
      </x:c>
    </x:row>
    <x:row r="89">
      <x:c r="A89" s="16" t="n">
        <x:v>88</x:v>
      </x:c>
      <x:c r="B89" s="16" t="str">
        <x:v>MODEL</x:v>
      </x:c>
      <x:c r="C89" s="16" t="str">
        <x:f>'Model_Coding_KT004'!A4</x:f>
        <x:v>PILOT_01_M03</x:v>
      </x:c>
      <x:c r="D89" s="16" t="str">
        <x:v>non_ssl_pretraining</x:v>
      </x:c>
      <x:c r="E89" s="16" t="str">
        <x:f>'Model_Coding_KT004'!AE4</x:f>
        <x:v>N</x:v>
      </x:c>
      <x:c r="F89" s="16" t="str">
        <x:f>'Model_Coding_KT004'!AT4</x:f>
        <x:v>Sec. 2.2 DKT Graph; Appendix B split</x:v>
      </x:c>
      <x:c r="G89" s="16" t="str">
        <x:v>HIGH</x:v>
      </x:c>
      <x:c r="H89" s="16" t="str">
        <x:v>Y</x:v>
      </x:c>
      <x:c r="I89" s="16" t="str">
        <x:v>Coder A worked example</x:v>
      </x:c>
    </x:row>
    <x:row r="90">
      <x:c r="A90" s="16" t="n">
        <x:v>89</x:v>
      </x:c>
      <x:c r="B90" s="16" t="str">
        <x:v>MODEL</x:v>
      </x:c>
      <x:c r="C90" s="16" t="str">
        <x:f>'Model_Coding_KT004'!A4</x:f>
        <x:v>PILOT_01_M03</x:v>
      </x:c>
      <x:c r="D90" s="16" t="str">
        <x:v>ssl_training_mode</x:v>
      </x:c>
      <x:c r="E90" s="16" t="str">
        <x:f>'Model_Coding_KT004'!AG4</x:f>
        <x:v>NA</x:v>
      </x:c>
      <x:c r="F90" s="16" t="str">
        <x:f>'Model_Coding_KT004'!AT4</x:f>
        <x:v>Sec. 2.2 DKT Graph; Appendix B split</x:v>
      </x:c>
      <x:c r="G90" s="16" t="str">
        <x:v>HIGH</x:v>
      </x:c>
      <x:c r="H90" s="16" t="str">
        <x:v>Y</x:v>
      </x:c>
      <x:c r="I90" s="16" t="str">
        <x:v>Coder A worked example</x:v>
      </x:c>
    </x:row>
    <x:row r="91">
      <x:c r="A91" s="16" t="n">
        <x:v>90</x:v>
      </x:c>
      <x:c r="B91" s="16" t="str">
        <x:v>MODEL</x:v>
      </x:c>
      <x:c r="C91" s="16" t="str">
        <x:f>'Model_Coding_KT004'!A4</x:f>
        <x:v>PILOT_01_M03</x:v>
      </x:c>
      <x:c r="D91" s="16" t="str">
        <x:v>ssl_target_level</x:v>
      </x:c>
      <x:c r="E91" s="16" t="str">
        <x:f>'Model_Coding_KT004'!AH4</x:f>
        <x:v>NA</x:v>
      </x:c>
      <x:c r="F91" s="16" t="str">
        <x:f>'Model_Coding_KT004'!AT4</x:f>
        <x:v>Sec. 2.2 DKT Graph; Appendix B split</x:v>
      </x:c>
      <x:c r="G91" s="16" t="str">
        <x:v>HIGH</x:v>
      </x:c>
      <x:c r="H91" s="16" t="str">
        <x:v>Y</x:v>
      </x:c>
      <x:c r="I91" s="16" t="str">
        <x:v>Coder A worked example</x:v>
      </x:c>
    </x:row>
    <x:row r="92">
      <x:c r="A92" s="16" t="n">
        <x:v>91</x:v>
      </x:c>
      <x:c r="B92" s="16" t="str">
        <x:v>MODEL</x:v>
      </x:c>
      <x:c r="C92" s="16" t="str">
        <x:f>'Model_Coding_KT004'!A4</x:f>
        <x:v>PILOT_01_M03</x:v>
      </x:c>
      <x:c r="D92" s="16" t="str">
        <x:v>augmentation_type</x:v>
      </x:c>
      <x:c r="E92" s="16" t="str">
        <x:f>'Model_Coding_KT004'!AM4</x:f>
        <x:v>NO_EXPLICIT_AUGMENTATION</x:v>
      </x:c>
      <x:c r="F92" s="16" t="str">
        <x:f>'Model_Coding_KT004'!AT4</x:f>
        <x:v>Sec. 2.2 DKT Graph; Appendix B split</x:v>
      </x:c>
      <x:c r="G92" s="16" t="str">
        <x:v>HIGH</x:v>
      </x:c>
      <x:c r="H92" s="16" t="str">
        <x:v>Y</x:v>
      </x:c>
      <x:c r="I92" s="16" t="str">
        <x:v>Coder A worked example</x:v>
      </x:c>
    </x:row>
    <x:row r="93">
      <x:c r="A93" s="16" t="n">
        <x:v>92</x:v>
      </x:c>
      <x:c r="B93" s="16" t="str">
        <x:v>MODEL</x:v>
      </x:c>
      <x:c r="C93" s="16" t="str">
        <x:f>'Model_Coding_KT004'!A4</x:f>
        <x:v>PILOT_01_M03</x:v>
      </x:c>
      <x:c r="D93" s="16" t="str">
        <x:v>educational_structure_preservation</x:v>
      </x:c>
      <x:c r="E93" s="16" t="str">
        <x:f>'Model_Coding_KT004'!AN4</x:f>
        <x:v>NO_AUGMENTATION</x:v>
      </x:c>
      <x:c r="F93" s="16" t="str">
        <x:f>'Model_Coding_KT004'!AT4</x:f>
        <x:v>Sec. 2.2 DKT Graph; Appendix B split</x:v>
      </x:c>
      <x:c r="G93" s="16" t="str">
        <x:v>HIGH</x:v>
      </x:c>
      <x:c r="H93" s="16" t="str">
        <x:v>Y</x:v>
      </x:c>
      <x:c r="I93" s="16" t="str">
        <x:v>Coder A worked example</x:v>
      </x:c>
    </x:row>
    <x:row r="94">
      <x:c r="A94" s="16" t="n">
        <x:v>93</x:v>
      </x:c>
      <x:c r="B94" s="16" t="str">
        <x:v>MODEL</x:v>
      </x:c>
      <x:c r="C94" s="16" t="str">
        <x:f>'Model_Coding_KT004'!A4</x:f>
        <x:v>PILOT_01_M03</x:v>
      </x:c>
      <x:c r="D94" s="16" t="str">
        <x:v>augmentation_validity_ablation</x:v>
      </x:c>
      <x:c r="E94" s="16" t="str">
        <x:f>'Model_Coding_KT004'!AP4</x:f>
        <x:v>NA</x:v>
      </x:c>
      <x:c r="F94" s="16" t="str">
        <x:f>'Model_Coding_KT004'!AT4</x:f>
        <x:v>Sec. 2.2 DKT Graph; Appendix B split</x:v>
      </x:c>
      <x:c r="G94" s="16" t="str">
        <x:v>HIGH</x:v>
      </x:c>
      <x:c r="H94" s="16" t="str">
        <x:v>Y</x:v>
      </x:c>
      <x:c r="I94" s="16" t="str">
        <x:v>Coder A worked example</x:v>
      </x:c>
    </x:row>
    <x:row r="95">
      <x:c r="A95" s="16" t="n">
        <x:v>94</x:v>
      </x:c>
      <x:c r="B95" s="16" t="str">
        <x:v>MODEL</x:v>
      </x:c>
      <x:c r="C95" s="16" t="str">
        <x:f>'Model_Coding_KT004'!A5</x:f>
        <x:v>PILOT_01_M04</x:v>
      </x:c>
      <x:c r="D95" s="16" t="str">
        <x:v>graph_source</x:v>
      </x:c>
      <x:c r="E95" s="16" t="str">
        <x:f>'Model_Coding_KT004'!E5</x:f>
        <x:v>LEARNED_FROM_INTERACTIONS</x:v>
      </x:c>
      <x:c r="F95" s="16" t="str">
        <x:f>'Model_Coding_KT004'!AT5</x:f>
        <x:v>Sec. 2.2 PAM; Sec. 2.1 NLL; Appendix B split</x:v>
      </x:c>
      <x:c r="G95" s="16" t="str">
        <x:v>HIGH</x:v>
      </x:c>
      <x:c r="H95" s="16" t="str">
        <x:v>Y</x:v>
      </x:c>
      <x:c r="I95" s="16" t="str">
        <x:v>Coder A worked example</x:v>
      </x:c>
    </x:row>
    <x:row r="96">
      <x:c r="A96" s="16" t="n">
        <x:v>95</x:v>
      </x:c>
      <x:c r="B96" s="16" t="str">
        <x:v>MODEL</x:v>
      </x:c>
      <x:c r="C96" s="16" t="str">
        <x:f>'Model_Coding_KT004'!A5</x:f>
        <x:v>PILOT_01_M04</x:v>
      </x:c>
      <x:c r="D96" s="16" t="str">
        <x:v>graph_provenance</x:v>
      </x:c>
      <x:c r="E96" s="16" t="str">
        <x:f>'Model_Coding_KT004'!G5</x:f>
        <x:v>JOINTLY_LEARNED_TRAINING</x:v>
      </x:c>
      <x:c r="F96" s="16" t="str">
        <x:f>'Model_Coding_KT004'!AT5</x:f>
        <x:v>Sec. 2.2 PAM; Sec. 2.1 NLL; Appendix B split</x:v>
      </x:c>
      <x:c r="G96" s="16" t="str">
        <x:v>HIGH</x:v>
      </x:c>
      <x:c r="H96" s="16" t="str">
        <x:v>Y</x:v>
      </x:c>
      <x:c r="I96" s="16" t="str">
        <x:v>Coder A worked example</x:v>
      </x:c>
    </x:row>
    <x:row r="97">
      <x:c r="A97" s="16" t="n">
        <x:v>96</x:v>
      </x:c>
      <x:c r="B97" s="16" t="str">
        <x:v>MODEL</x:v>
      </x:c>
      <x:c r="C97" s="16" t="str">
        <x:f>'Model_Coding_KT004'!A5</x:f>
        <x:v>PILOT_01_M04</x:v>
      </x:c>
      <x:c r="D97" s="16" t="str">
        <x:v>graph_leakage_risk</x:v>
      </x:c>
      <x:c r="E97" s="16" t="str">
        <x:f>'Model_Coding_KT004'!H5</x:f>
        <x:v>LOW</x:v>
      </x:c>
      <x:c r="F97" s="16" t="str">
        <x:f>'Model_Coding_KT004'!AT5</x:f>
        <x:v>Sec. 2.2 PAM; Sec. 2.1 NLL; Appendix B split</x:v>
      </x:c>
      <x:c r="G97" s="16" t="str">
        <x:v>HIGH</x:v>
      </x:c>
      <x:c r="H97" s="16" t="str">
        <x:v>Y</x:v>
      </x:c>
      <x:c r="I97" s="16" t="str">
        <x:v>Coder A worked example</x:v>
      </x:c>
    </x:row>
    <x:row r="98">
      <x:c r="A98" s="16" t="n">
        <x:v>97</x:v>
      </x:c>
      <x:c r="B98" s="16" t="str">
        <x:v>MODEL</x:v>
      </x:c>
      <x:c r="C98" s="16" t="str">
        <x:f>'Model_Coding_KT004'!A5</x:f>
        <x:v>PILOT_01_M04</x:v>
      </x:c>
      <x:c r="D98" s="16" t="str">
        <x:v>graph_construction_uses_response_labels</x:v>
      </x:c>
      <x:c r="E98" s="16" t="str">
        <x:f>'Model_Coding_KT004'!J5</x:f>
        <x:v>Y</x:v>
      </x:c>
      <x:c r="F98" s="16" t="str">
        <x:f>'Model_Coding_KT004'!AT5</x:f>
        <x:v>Sec. 2.2 PAM; Sec. 2.1 NLL; Appendix B split</x:v>
      </x:c>
      <x:c r="G98" s="16" t="str">
        <x:v>HIGH</x:v>
      </x:c>
      <x:c r="H98" s="16" t="str">
        <x:v>Y</x:v>
      </x:c>
      <x:c r="I98" s="16" t="str">
        <x:v>Coder A worked example</x:v>
      </x:c>
    </x:row>
    <x:row r="99">
      <x:c r="A99" s="16" t="n">
        <x:v>98</x:v>
      </x:c>
      <x:c r="B99" s="16" t="str">
        <x:v>MODEL</x:v>
      </x:c>
      <x:c r="C99" s="16" t="str">
        <x:f>'Model_Coding_KT004'!A5</x:f>
        <x:v>PILOT_01_M04</x:v>
      </x:c>
      <x:c r="D99" s="16" t="str">
        <x:v>graph_construction_uses_test_partition</x:v>
      </x:c>
      <x:c r="E99" s="16" t="str">
        <x:f>'Model_Coding_KT004'!K5</x:f>
        <x:v>N</x:v>
      </x:c>
      <x:c r="F99" s="16" t="str">
        <x:f>'Model_Coding_KT004'!AT5</x:f>
        <x:v>Sec. 2.2 PAM; Sec. 2.1 NLL; Appendix B split</x:v>
      </x:c>
      <x:c r="G99" s="16" t="str">
        <x:v>HIGH</x:v>
      </x:c>
      <x:c r="H99" s="16" t="str">
        <x:v>Y</x:v>
      </x:c>
      <x:c r="I99" s="16" t="str">
        <x:v>Coder A worked example</x:v>
      </x:c>
    </x:row>
    <x:row r="100">
      <x:c r="A100" s="16" t="n">
        <x:v>99</x:v>
      </x:c>
      <x:c r="B100" s="16" t="str">
        <x:v>MODEL</x:v>
      </x:c>
      <x:c r="C100" s="16" t="str">
        <x:f>'Model_Coding_KT004'!A5</x:f>
        <x:v>PILOT_01_M04</x:v>
      </x:c>
      <x:c r="D100" s="16" t="str">
        <x:v>graph_representation</x:v>
      </x:c>
      <x:c r="E100" s="16" t="str">
        <x:f>'Model_Coding_KT004'!L5</x:f>
        <x:v>KC_KC</x:v>
      </x:c>
      <x:c r="F100" s="16" t="str">
        <x:f>'Model_Coding_KT004'!AT5</x:f>
        <x:v>Sec. 2.2 PAM; Sec. 2.1 NLL; Appendix B split</x:v>
      </x:c>
      <x:c r="G100" s="16" t="str">
        <x:v>HIGH</x:v>
      </x:c>
      <x:c r="H100" s="16" t="str">
        <x:v>Y</x:v>
      </x:c>
      <x:c r="I100" s="16" t="str">
        <x:v>Coder A worked example</x:v>
      </x:c>
    </x:row>
    <x:row r="101">
      <x:c r="A101" s="16" t="n">
        <x:v>100</x:v>
      </x:c>
      <x:c r="B101" s="16" t="str">
        <x:v>MODEL</x:v>
      </x:c>
      <x:c r="C101" s="16" t="str">
        <x:f>'Model_Coding_KT004'!A5</x:f>
        <x:v>PILOT_01_M04</x:v>
      </x:c>
      <x:c r="D101" s="16" t="str">
        <x:v>directed</x:v>
      </x:c>
      <x:c r="E101" s="16" t="str">
        <x:f>'Model_Coding_KT004'!O5</x:f>
        <x:v>Y</x:v>
      </x:c>
      <x:c r="F101" s="16" t="str">
        <x:f>'Model_Coding_KT004'!AT5</x:f>
        <x:v>Sec. 2.2 PAM; Sec. 2.1 NLL; Appendix B split</x:v>
      </x:c>
      <x:c r="G101" s="16" t="str">
        <x:v>HIGH</x:v>
      </x:c>
      <x:c r="H101" s="16" t="str">
        <x:v>Y</x:v>
      </x:c>
      <x:c r="I101" s="16" t="str">
        <x:v>Coder A worked example</x:v>
      </x:c>
    </x:row>
    <x:row r="102">
      <x:c r="A102" s="16" t="n">
        <x:v>101</x:v>
      </x:c>
      <x:c r="B102" s="16" t="str">
        <x:v>MODEL</x:v>
      </x:c>
      <x:c r="C102" s="16" t="str">
        <x:f>'Model_Coding_KT004'!A5</x:f>
        <x:v>PILOT_01_M04</x:v>
      </x:c>
      <x:c r="D102" s="16" t="str">
        <x:v>weighted</x:v>
      </x:c>
      <x:c r="E102" s="16" t="str">
        <x:f>'Model_Coding_KT004'!P5</x:f>
        <x:v>Y</x:v>
      </x:c>
      <x:c r="F102" s="16" t="str">
        <x:f>'Model_Coding_KT004'!AT5</x:f>
        <x:v>Sec. 2.2 PAM; Sec. 2.1 NLL; Appendix B split</x:v>
      </x:c>
      <x:c r="G102" s="16" t="str">
        <x:v>HIGH</x:v>
      </x:c>
      <x:c r="H102" s="16" t="str">
        <x:v>Y</x:v>
      </x:c>
      <x:c r="I102" s="16" t="str">
        <x:v>Coder A worked example</x:v>
      </x:c>
    </x:row>
    <x:row r="103">
      <x:c r="A103" s="16" t="n">
        <x:v>102</x:v>
      </x:c>
      <x:c r="B103" s="16" t="str">
        <x:v>MODEL</x:v>
      </x:c>
      <x:c r="C103" s="16" t="str">
        <x:f>'Model_Coding_KT004'!A5</x:f>
        <x:v>PILOT_01_M04</x:v>
      </x:c>
      <x:c r="D103" s="16" t="str">
        <x:v>typed_edges</x:v>
      </x:c>
      <x:c r="E103" s="16" t="str">
        <x:f>'Model_Coding_KT004'!Q5</x:f>
        <x:v>Y</x:v>
      </x:c>
      <x:c r="F103" s="16" t="str">
        <x:f>'Model_Coding_KT004'!AT5</x:f>
        <x:v>Sec. 2.2 PAM; Sec. 2.1 NLL; Appendix B split</x:v>
      </x:c>
      <x:c r="G103" s="16" t="str">
        <x:v>HIGH</x:v>
      </x:c>
      <x:c r="H103" s="16" t="str">
        <x:v>Y</x:v>
      </x:c>
      <x:c r="I103" s="16" t="str">
        <x:v>Coder A worked example</x:v>
      </x:c>
    </x:row>
    <x:row r="104">
      <x:c r="A104" s="16" t="n">
        <x:v>103</x:v>
      </x:c>
      <x:c r="B104" s="16" t="str">
        <x:v>MODEL</x:v>
      </x:c>
      <x:c r="C104" s="16" t="str">
        <x:f>'Model_Coding_KT004'!A5</x:f>
        <x:v>PILOT_01_M04</x:v>
      </x:c>
      <x:c r="D104" s="16" t="str">
        <x:v>dynamic</x:v>
      </x:c>
      <x:c r="E104" s="16" t="str">
        <x:f>'Model_Coding_KT004'!R5</x:f>
        <x:v>N</x:v>
      </x:c>
      <x:c r="F104" s="16" t="str">
        <x:f>'Model_Coding_KT004'!AT5</x:f>
        <x:v>Sec. 2.2 PAM; Sec. 2.1 NLL; Appendix B split</x:v>
      </x:c>
      <x:c r="G104" s="16" t="str">
        <x:v>HIGH</x:v>
      </x:c>
      <x:c r="H104" s="16" t="str">
        <x:v>Y</x:v>
      </x:c>
      <x:c r="I104" s="16" t="str">
        <x:v>Coder A worked example</x:v>
      </x:c>
    </x:row>
    <x:row r="105">
      <x:c r="A105" s="16" t="n">
        <x:v>104</x:v>
      </x:c>
      <x:c r="B105" s="16" t="str">
        <x:v>MODEL</x:v>
      </x:c>
      <x:c r="C105" s="16" t="str">
        <x:f>'Model_Coding_KT004'!A5</x:f>
        <x:v>PILOT_01_M04</x:v>
      </x:c>
      <x:c r="D105" s="16" t="str">
        <x:v>dag_enforced</x:v>
      </x:c>
      <x:c r="E105" s="16" t="str">
        <x:f>'Model_Coding_KT004'!S5</x:f>
        <x:v>N</x:v>
      </x:c>
      <x:c r="F105" s="16" t="str">
        <x:f>'Model_Coding_KT004'!AT5</x:f>
        <x:v>Sec. 2.2 PAM; Sec. 2.1 NLL; Appendix B split</x:v>
      </x:c>
      <x:c r="G105" s="16" t="str">
        <x:v>HIGH</x:v>
      </x:c>
      <x:c r="H105" s="16" t="str">
        <x:v>Y</x:v>
      </x:c>
      <x:c r="I105" s="16" t="str">
        <x:v>Coder A worked example</x:v>
      </x:c>
    </x:row>
    <x:row r="106">
      <x:c r="A106" s="16" t="n">
        <x:v>105</x:v>
      </x:c>
      <x:c r="B106" s="16" t="str">
        <x:v>MODEL</x:v>
      </x:c>
      <x:c r="C106" s="16" t="str">
        <x:f>'Model_Coding_KT004'!A5</x:f>
        <x:v>PILOT_01_M04</x:v>
      </x:c>
      <x:c r="D106" s="16" t="str">
        <x:v>edge_confidence_used</x:v>
      </x:c>
      <x:c r="E106" s="16" t="str">
        <x:f>'Model_Coding_KT004'!T5</x:f>
        <x:v>N</x:v>
      </x:c>
      <x:c r="F106" s="16" t="str">
        <x:f>'Model_Coding_KT004'!AT5</x:f>
        <x:v>Sec. 2.2 PAM; Sec. 2.1 NLL; Appendix B split</x:v>
      </x:c>
      <x:c r="G106" s="16" t="str">
        <x:v>HIGH</x:v>
      </x:c>
      <x:c r="H106" s="16" t="str">
        <x:v>Y</x:v>
      </x:c>
      <x:c r="I106" s="16" t="str">
        <x:v>Coder A worked example</x:v>
      </x:c>
    </x:row>
    <x:row r="107">
      <x:c r="A107" s="16" t="n">
        <x:v>106</x:v>
      </x:c>
      <x:c r="B107" s="16" t="str">
        <x:v>MODEL</x:v>
      </x:c>
      <x:c r="C107" s="16" t="str">
        <x:f>'Model_Coding_KT004'!A5</x:f>
        <x:v>PILOT_01_M04</x:v>
      </x:c>
      <x:c r="D107" s="16" t="str">
        <x:v>gnn_encoder</x:v>
      </x:c>
      <x:c r="E107" s="16" t="str">
        <x:f>'Model_Coding_KT004'!U5</x:f>
        <x:v>OTHER</x:v>
      </x:c>
      <x:c r="F107" s="16" t="str">
        <x:f>'Model_Coding_KT004'!AT5</x:f>
        <x:v>Sec. 2.2 PAM; Sec. 2.1 NLL; Appendix B split</x:v>
      </x:c>
      <x:c r="G107" s="16" t="str">
        <x:v>HIGH</x:v>
      </x:c>
      <x:c r="H107" s="16" t="str">
        <x:v>Y</x:v>
      </x:c>
      <x:c r="I107" s="16" t="str">
        <x:v>Coder A worked example</x:v>
      </x:c>
    </x:row>
    <x:row r="108">
      <x:c r="A108" s="16" t="n">
        <x:v>107</x:v>
      </x:c>
      <x:c r="B108" s="16" t="str">
        <x:v>MODEL</x:v>
      </x:c>
      <x:c r="C108" s="16" t="str">
        <x:f>'Model_Coding_KT004'!A5</x:f>
        <x:v>PILOT_01_M04</x:v>
      </x:c>
      <x:c r="D108" s="16" t="str">
        <x:v>temporal_backbone</x:v>
      </x:c>
      <x:c r="E108" s="16" t="str">
        <x:f>'Model_Coding_KT004'!Y5</x:f>
        <x:v>RNN_LSTM_GRU</x:v>
      </x:c>
      <x:c r="F108" s="16" t="str">
        <x:f>'Model_Coding_KT004'!AT5</x:f>
        <x:v>Sec. 2.2 PAM; Sec. 2.1 NLL; Appendix B split</x:v>
      </x:c>
      <x:c r="G108" s="16" t="str">
        <x:v>HIGH</x:v>
      </x:c>
      <x:c r="H108" s="16" t="str">
        <x:v>Y</x:v>
      </x:c>
      <x:c r="I108" s="16" t="str">
        <x:v>Coder A worked example</x:v>
      </x:c>
    </x:row>
    <x:row r="109">
      <x:c r="A109" s="16" t="n">
        <x:v>108</x:v>
      </x:c>
      <x:c r="B109" s="16" t="str">
        <x:v>MODEL</x:v>
      </x:c>
      <x:c r="C109" s="16" t="str">
        <x:f>'Model_Coding_KT004'!A5</x:f>
        <x:v>PILOT_01_M04</x:v>
      </x:c>
      <x:c r="D109" s="16" t="str">
        <x:v>semantic_auxiliary_encoder</x:v>
      </x:c>
      <x:c r="E109" s="16" t="str">
        <x:f>'Model_Coding_KT004'!Z5</x:f>
        <x:v>NA</x:v>
      </x:c>
      <x:c r="F109" s="16" t="str">
        <x:f>'Model_Coding_KT004'!AT5</x:f>
        <x:v>Sec. 2.2 PAM; Sec. 2.1 NLL; Appendix B split</x:v>
      </x:c>
      <x:c r="G109" s="16" t="str">
        <x:v>HIGH</x:v>
      </x:c>
      <x:c r="H109" s="16" t="str">
        <x:v>Y</x:v>
      </x:c>
      <x:c r="I109" s="16" t="str">
        <x:v>Coder A worked example</x:v>
      </x:c>
    </x:row>
    <x:row r="110">
      <x:c r="A110" s="16" t="n">
        <x:v>109</x:v>
      </x:c>
      <x:c r="B110" s="16" t="str">
        <x:v>MODEL</x:v>
      </x:c>
      <x:c r="C110" s="16" t="str">
        <x:f>'Model_Coding_KT004'!A5</x:f>
        <x:v>PILOT_01_M04</x:v>
      </x:c>
      <x:c r="D110" s="16" t="str">
        <x:v>fusion_type</x:v>
      </x:c>
      <x:c r="E110" s="16" t="str">
        <x:f>'Model_Coding_KT004'!AA5</x:f>
        <x:v>MESSAGE_PASSING_IN_PREDICTION_LOOP</x:v>
      </x:c>
      <x:c r="F110" s="16" t="str">
        <x:f>'Model_Coding_KT004'!AT5</x:f>
        <x:v>Sec. 2.2 PAM; Sec. 2.1 NLL; Appendix B split</x:v>
      </x:c>
      <x:c r="G110" s="16" t="str">
        <x:v>HIGH</x:v>
      </x:c>
      <x:c r="H110" s="16" t="str">
        <x:v>Y</x:v>
      </x:c>
      <x:c r="I110" s="16" t="str">
        <x:v>Coder A worked example</x:v>
      </x:c>
    </x:row>
    <x:row r="111">
      <x:c r="A111" s="16" t="n">
        <x:v>110</x:v>
      </x:c>
      <x:c r="B111" s="16" t="str">
        <x:v>MODEL</x:v>
      </x:c>
      <x:c r="C111" s="16" t="str">
        <x:f>'Model_Coding_KT004'!A5</x:f>
        <x:v>PILOT_01_M04</x:v>
      </x:c>
      <x:c r="D111" s="16" t="str">
        <x:v>fusion_location</x:v>
      </x:c>
      <x:c r="E111" s="16" t="str">
        <x:f>'Model_Coding_KT004'!AB5</x:f>
        <x:v>HIDDEN_STATE</x:v>
      </x:c>
      <x:c r="F111" s="16" t="str">
        <x:f>'Model_Coding_KT004'!AT5</x:f>
        <x:v>Sec. 2.2 PAM; Sec. 2.1 NLL; Appendix B split</x:v>
      </x:c>
      <x:c r="G111" s="16" t="str">
        <x:v>HIGH</x:v>
      </x:c>
      <x:c r="H111" s="16" t="str">
        <x:v>Y</x:v>
      </x:c>
      <x:c r="I111" s="16" t="str">
        <x:v>Coder A worked example</x:v>
      </x:c>
    </x:row>
    <x:row r="112">
      <x:c r="A112" s="16" t="n">
        <x:v>111</x:v>
      </x:c>
      <x:c r="B112" s="16" t="str">
        <x:v>MODEL</x:v>
      </x:c>
      <x:c r="C112" s="16" t="str">
        <x:f>'Model_Coding_KT004'!A5</x:f>
        <x:v>PILOT_01_M04</x:v>
      </x:c>
      <x:c r="D112" s="16" t="str">
        <x:v>ssl_family</x:v>
      </x:c>
      <x:c r="E112" s="16" t="str">
        <x:f>'Model_Coding_KT004'!AD5</x:f>
        <x:v>NONE</x:v>
      </x:c>
      <x:c r="F112" s="16" t="str">
        <x:f>'Model_Coding_KT004'!AT5</x:f>
        <x:v>Sec. 2.2 PAM; Sec. 2.1 NLL; Appendix B split</x:v>
      </x:c>
      <x:c r="G112" s="16" t="str">
        <x:v>HIGH</x:v>
      </x:c>
      <x:c r="H112" s="16" t="str">
        <x:v>Y</x:v>
      </x:c>
      <x:c r="I112" s="16" t="str">
        <x:v>Coder A worked example</x:v>
      </x:c>
    </x:row>
    <x:row r="113">
      <x:c r="A113" s="16" t="n">
        <x:v>112</x:v>
      </x:c>
      <x:c r="B113" s="16" t="str">
        <x:v>MODEL</x:v>
      </x:c>
      <x:c r="C113" s="16" t="str">
        <x:f>'Model_Coding_KT004'!A5</x:f>
        <x:v>PILOT_01_M04</x:v>
      </x:c>
      <x:c r="D113" s="16" t="str">
        <x:v>non_ssl_pretraining</x:v>
      </x:c>
      <x:c r="E113" s="16" t="str">
        <x:f>'Model_Coding_KT004'!AE5</x:f>
        <x:v>N</x:v>
      </x:c>
      <x:c r="F113" s="16" t="str">
        <x:f>'Model_Coding_KT004'!AT5</x:f>
        <x:v>Sec. 2.2 PAM; Sec. 2.1 NLL; Appendix B split</x:v>
      </x:c>
      <x:c r="G113" s="16" t="str">
        <x:v>HIGH</x:v>
      </x:c>
      <x:c r="H113" s="16" t="str">
        <x:v>Y</x:v>
      </x:c>
      <x:c r="I113" s="16" t="str">
        <x:v>Coder A worked example</x:v>
      </x:c>
    </x:row>
    <x:row r="114">
      <x:c r="A114" s="16" t="n">
        <x:v>113</x:v>
      </x:c>
      <x:c r="B114" s="16" t="str">
        <x:v>MODEL</x:v>
      </x:c>
      <x:c r="C114" s="16" t="str">
        <x:f>'Model_Coding_KT004'!A5</x:f>
        <x:v>PILOT_01_M04</x:v>
      </x:c>
      <x:c r="D114" s="16" t="str">
        <x:v>ssl_training_mode</x:v>
      </x:c>
      <x:c r="E114" s="16" t="str">
        <x:f>'Model_Coding_KT004'!AG5</x:f>
        <x:v>NA</x:v>
      </x:c>
      <x:c r="F114" s="16" t="str">
        <x:f>'Model_Coding_KT004'!AT5</x:f>
        <x:v>Sec. 2.2 PAM; Sec. 2.1 NLL; Appendix B split</x:v>
      </x:c>
      <x:c r="G114" s="16" t="str">
        <x:v>HIGH</x:v>
      </x:c>
      <x:c r="H114" s="16" t="str">
        <x:v>Y</x:v>
      </x:c>
      <x:c r="I114" s="16" t="str">
        <x:v>Coder A worked example</x:v>
      </x:c>
    </x:row>
    <x:row r="115">
      <x:c r="A115" s="16" t="n">
        <x:v>114</x:v>
      </x:c>
      <x:c r="B115" s="16" t="str">
        <x:v>MODEL</x:v>
      </x:c>
      <x:c r="C115" s="16" t="str">
        <x:f>'Model_Coding_KT004'!A5</x:f>
        <x:v>PILOT_01_M04</x:v>
      </x:c>
      <x:c r="D115" s="16" t="str">
        <x:v>ssl_target_level</x:v>
      </x:c>
      <x:c r="E115" s="16" t="str">
        <x:f>'Model_Coding_KT004'!AH5</x:f>
        <x:v>NA</x:v>
      </x:c>
      <x:c r="F115" s="16" t="str">
        <x:f>'Model_Coding_KT004'!AT5</x:f>
        <x:v>Sec. 2.2 PAM; Sec. 2.1 NLL; Appendix B split</x:v>
      </x:c>
      <x:c r="G115" s="16" t="str">
        <x:v>HIGH</x:v>
      </x:c>
      <x:c r="H115" s="16" t="str">
        <x:v>Y</x:v>
      </x:c>
      <x:c r="I115" s="16" t="str">
        <x:v>Coder A worked example</x:v>
      </x:c>
    </x:row>
    <x:row r="116">
      <x:c r="A116" s="16" t="n">
        <x:v>115</x:v>
      </x:c>
      <x:c r="B116" s="16" t="str">
        <x:v>MODEL</x:v>
      </x:c>
      <x:c r="C116" s="16" t="str">
        <x:f>'Model_Coding_KT004'!A5</x:f>
        <x:v>PILOT_01_M04</x:v>
      </x:c>
      <x:c r="D116" s="16" t="str">
        <x:v>augmentation_type</x:v>
      </x:c>
      <x:c r="E116" s="16" t="str">
        <x:f>'Model_Coding_KT004'!AM5</x:f>
        <x:v>NO_EXPLICIT_AUGMENTATION</x:v>
      </x:c>
      <x:c r="F116" s="16" t="str">
        <x:f>'Model_Coding_KT004'!AT5</x:f>
        <x:v>Sec. 2.2 PAM; Sec. 2.1 NLL; Appendix B split</x:v>
      </x:c>
      <x:c r="G116" s="16" t="str">
        <x:v>HIGH</x:v>
      </x:c>
      <x:c r="H116" s="16" t="str">
        <x:v>Y</x:v>
      </x:c>
      <x:c r="I116" s="16" t="str">
        <x:v>Coder A worked example</x:v>
      </x:c>
    </x:row>
    <x:row r="117">
      <x:c r="A117" s="16" t="n">
        <x:v>116</x:v>
      </x:c>
      <x:c r="B117" s="16" t="str">
        <x:v>MODEL</x:v>
      </x:c>
      <x:c r="C117" s="16" t="str">
        <x:f>'Model_Coding_KT004'!A5</x:f>
        <x:v>PILOT_01_M04</x:v>
      </x:c>
      <x:c r="D117" s="16" t="str">
        <x:v>educational_structure_preservation</x:v>
      </x:c>
      <x:c r="E117" s="16" t="str">
        <x:f>'Model_Coding_KT004'!AN5</x:f>
        <x:v>NO_AUGMENTATION</x:v>
      </x:c>
      <x:c r="F117" s="16" t="str">
        <x:f>'Model_Coding_KT004'!AT5</x:f>
        <x:v>Sec. 2.2 PAM; Sec. 2.1 NLL; Appendix B split</x:v>
      </x:c>
      <x:c r="G117" s="16" t="str">
        <x:v>HIGH</x:v>
      </x:c>
      <x:c r="H117" s="16" t="str">
        <x:v>Y</x:v>
      </x:c>
      <x:c r="I117" s="16" t="str">
        <x:v>Coder A worked example</x:v>
      </x:c>
    </x:row>
    <x:row r="118">
      <x:c r="A118" s="16" t="n">
        <x:v>117</x:v>
      </x:c>
      <x:c r="B118" s="16" t="str">
        <x:v>MODEL</x:v>
      </x:c>
      <x:c r="C118" s="16" t="str">
        <x:f>'Model_Coding_KT004'!A5</x:f>
        <x:v>PILOT_01_M04</x:v>
      </x:c>
      <x:c r="D118" s="16" t="str">
        <x:v>augmentation_validity_ablation</x:v>
      </x:c>
      <x:c r="E118" s="16" t="str">
        <x:f>'Model_Coding_KT004'!AP5</x:f>
        <x:v>NA</x:v>
      </x:c>
      <x:c r="F118" s="16" t="str">
        <x:f>'Model_Coding_KT004'!AT5</x:f>
        <x:v>Sec. 2.2 PAM; Sec. 2.1 NLL; Appendix B split</x:v>
      </x:c>
      <x:c r="G118" s="16" t="str">
        <x:v>HIGH</x:v>
      </x:c>
      <x:c r="H118" s="16" t="str">
        <x:v>Y</x:v>
      </x:c>
      <x:c r="I118" s="16" t="str">
        <x:v>Coder A worked example</x:v>
      </x:c>
    </x:row>
    <x:row r="119">
      <x:c r="A119" s="16" t="n">
        <x:v>118</x:v>
      </x:c>
      <x:c r="B119" s="16" t="str">
        <x:v>MODEL</x:v>
      </x:c>
      <x:c r="C119" s="16" t="str">
        <x:f>'Model_Coding_KT004'!A6</x:f>
        <x:v>PILOT_01_M05</x:v>
      </x:c>
      <x:c r="D119" s="16" t="str">
        <x:v>graph_source</x:v>
      </x:c>
      <x:c r="E119" s="16" t="str">
        <x:f>'Model_Coding_KT004'!E6</x:f>
        <x:v>LEARNED_FROM_INTERACTIONS</x:v>
      </x:c>
      <x:c r="F119" s="16" t="str">
        <x:f>'Model_Coding_KT004'!AT6</x:f>
        <x:v>Sec. 2.2 MHA; Sec. 2.1 NLL; Appendix B</x:v>
      </x:c>
      <x:c r="G119" s="16" t="str">
        <x:v>HIGH</x:v>
      </x:c>
      <x:c r="H119" s="16" t="str">
        <x:v>Y</x:v>
      </x:c>
      <x:c r="I119" s="16" t="str">
        <x:v>Coder A worked example</x:v>
      </x:c>
    </x:row>
    <x:row r="120">
      <x:c r="A120" s="16" t="n">
        <x:v>119</x:v>
      </x:c>
      <x:c r="B120" s="16" t="str">
        <x:v>MODEL</x:v>
      </x:c>
      <x:c r="C120" s="16" t="str">
        <x:f>'Model_Coding_KT004'!A6</x:f>
        <x:v>PILOT_01_M05</x:v>
      </x:c>
      <x:c r="D120" s="16" t="str">
        <x:v>graph_provenance</x:v>
      </x:c>
      <x:c r="E120" s="16" t="str">
        <x:f>'Model_Coding_KT004'!G6</x:f>
        <x:v>JOINTLY_LEARNED_TRAINING</x:v>
      </x:c>
      <x:c r="F120" s="16" t="str">
        <x:f>'Model_Coding_KT004'!AT6</x:f>
        <x:v>Sec. 2.2 MHA; Sec. 2.1 NLL; Appendix B</x:v>
      </x:c>
      <x:c r="G120" s="16" t="str">
        <x:v>HIGH</x:v>
      </x:c>
      <x:c r="H120" s="16" t="str">
        <x:v>Y</x:v>
      </x:c>
      <x:c r="I120" s="16" t="str">
        <x:v>Coder A worked example</x:v>
      </x:c>
    </x:row>
    <x:row r="121">
      <x:c r="A121" s="16" t="n">
        <x:v>120</x:v>
      </x:c>
      <x:c r="B121" s="16" t="str">
        <x:v>MODEL</x:v>
      </x:c>
      <x:c r="C121" s="16" t="str">
        <x:f>'Model_Coding_KT004'!A6</x:f>
        <x:v>PILOT_01_M05</x:v>
      </x:c>
      <x:c r="D121" s="16" t="str">
        <x:v>graph_leakage_risk</x:v>
      </x:c>
      <x:c r="E121" s="16" t="str">
        <x:f>'Model_Coding_KT004'!H6</x:f>
        <x:v>LOW</x:v>
      </x:c>
      <x:c r="F121" s="16" t="str">
        <x:f>'Model_Coding_KT004'!AT6</x:f>
        <x:v>Sec. 2.2 MHA; Sec. 2.1 NLL; Appendix B</x:v>
      </x:c>
      <x:c r="G121" s="16" t="str">
        <x:v>HIGH</x:v>
      </x:c>
      <x:c r="H121" s="16" t="str">
        <x:v>Y</x:v>
      </x:c>
      <x:c r="I121" s="16" t="str">
        <x:v>Coder A worked example</x:v>
      </x:c>
    </x:row>
    <x:row r="122">
      <x:c r="A122" s="16" t="n">
        <x:v>121</x:v>
      </x:c>
      <x:c r="B122" s="16" t="str">
        <x:v>MODEL</x:v>
      </x:c>
      <x:c r="C122" s="16" t="str">
        <x:f>'Model_Coding_KT004'!A6</x:f>
        <x:v>PILOT_01_M05</x:v>
      </x:c>
      <x:c r="D122" s="16" t="str">
        <x:v>graph_construction_uses_response_labels</x:v>
      </x:c>
      <x:c r="E122" s="16" t="str">
        <x:f>'Model_Coding_KT004'!J6</x:f>
        <x:v>Y</x:v>
      </x:c>
      <x:c r="F122" s="16" t="str">
        <x:f>'Model_Coding_KT004'!AT6</x:f>
        <x:v>Sec. 2.2 MHA; Sec. 2.1 NLL; Appendix B</x:v>
      </x:c>
      <x:c r="G122" s="16" t="str">
        <x:v>HIGH</x:v>
      </x:c>
      <x:c r="H122" s="16" t="str">
        <x:v>Y</x:v>
      </x:c>
      <x:c r="I122" s="16" t="str">
        <x:v>Coder A worked example</x:v>
      </x:c>
    </x:row>
    <x:row r="123">
      <x:c r="A123" s="16" t="n">
        <x:v>122</x:v>
      </x:c>
      <x:c r="B123" s="16" t="str">
        <x:v>MODEL</x:v>
      </x:c>
      <x:c r="C123" s="16" t="str">
        <x:f>'Model_Coding_KT004'!A6</x:f>
        <x:v>PILOT_01_M05</x:v>
      </x:c>
      <x:c r="D123" s="16" t="str">
        <x:v>graph_construction_uses_test_partition</x:v>
      </x:c>
      <x:c r="E123" s="16" t="str">
        <x:f>'Model_Coding_KT004'!K6</x:f>
        <x:v>N</x:v>
      </x:c>
      <x:c r="F123" s="16" t="str">
        <x:f>'Model_Coding_KT004'!AT6</x:f>
        <x:v>Sec. 2.2 MHA; Sec. 2.1 NLL; Appendix B</x:v>
      </x:c>
      <x:c r="G123" s="16" t="str">
        <x:v>HIGH</x:v>
      </x:c>
      <x:c r="H123" s="16" t="str">
        <x:v>Y</x:v>
      </x:c>
      <x:c r="I123" s="16" t="str">
        <x:v>Coder A worked example</x:v>
      </x:c>
    </x:row>
    <x:row r="124">
      <x:c r="A124" s="16" t="n">
        <x:v>123</x:v>
      </x:c>
      <x:c r="B124" s="16" t="str">
        <x:v>MODEL</x:v>
      </x:c>
      <x:c r="C124" s="16" t="str">
        <x:f>'Model_Coding_KT004'!A6</x:f>
        <x:v>PILOT_01_M05</x:v>
      </x:c>
      <x:c r="D124" s="16" t="str">
        <x:v>graph_representation</x:v>
      </x:c>
      <x:c r="E124" s="16" t="str">
        <x:f>'Model_Coding_KT004'!L6</x:f>
        <x:v>KC_KC</x:v>
      </x:c>
      <x:c r="F124" s="16" t="str">
        <x:f>'Model_Coding_KT004'!AT6</x:f>
        <x:v>Sec. 2.2 MHA; Sec. 2.1 NLL; Appendix B</x:v>
      </x:c>
      <x:c r="G124" s="16" t="str">
        <x:v>HIGH</x:v>
      </x:c>
      <x:c r="H124" s="16" t="str">
        <x:v>Y</x:v>
      </x:c>
      <x:c r="I124" s="16" t="str">
        <x:v>Coder A worked example</x:v>
      </x:c>
    </x:row>
    <x:row r="125">
      <x:c r="A125" s="16" t="n">
        <x:v>124</x:v>
      </x:c>
      <x:c r="B125" s="16" t="str">
        <x:v>MODEL</x:v>
      </x:c>
      <x:c r="C125" s="16" t="str">
        <x:f>'Model_Coding_KT004'!A6</x:f>
        <x:v>PILOT_01_M05</x:v>
      </x:c>
      <x:c r="D125" s="16" t="str">
        <x:v>directed</x:v>
      </x:c>
      <x:c r="E125" s="16" t="str">
        <x:f>'Model_Coding_KT004'!O6</x:f>
        <x:v>Y</x:v>
      </x:c>
      <x:c r="F125" s="16" t="str">
        <x:f>'Model_Coding_KT004'!AT6</x:f>
        <x:v>Sec. 2.2 MHA; Sec. 2.1 NLL; Appendix B</x:v>
      </x:c>
      <x:c r="G125" s="16" t="str">
        <x:v>HIGH</x:v>
      </x:c>
      <x:c r="H125" s="16" t="str">
        <x:v>Y</x:v>
      </x:c>
      <x:c r="I125" s="16" t="str">
        <x:v>Coder A worked example</x:v>
      </x:c>
    </x:row>
    <x:row r="126">
      <x:c r="A126" s="16" t="n">
        <x:v>125</x:v>
      </x:c>
      <x:c r="B126" s="16" t="str">
        <x:v>MODEL</x:v>
      </x:c>
      <x:c r="C126" s="16" t="str">
        <x:f>'Model_Coding_KT004'!A6</x:f>
        <x:v>PILOT_01_M05</x:v>
      </x:c>
      <x:c r="D126" s="16" t="str">
        <x:v>weighted</x:v>
      </x:c>
      <x:c r="E126" s="16" t="str">
        <x:f>'Model_Coding_KT004'!P6</x:f>
        <x:v>Y</x:v>
      </x:c>
      <x:c r="F126" s="16" t="str">
        <x:f>'Model_Coding_KT004'!AT6</x:f>
        <x:v>Sec. 2.2 MHA; Sec. 2.1 NLL; Appendix B</x:v>
      </x:c>
      <x:c r="G126" s="16" t="str">
        <x:v>HIGH</x:v>
      </x:c>
      <x:c r="H126" s="16" t="str">
        <x:v>Y</x:v>
      </x:c>
      <x:c r="I126" s="16" t="str">
        <x:v>Coder A worked example</x:v>
      </x:c>
    </x:row>
    <x:row r="127">
      <x:c r="A127" s="16" t="n">
        <x:v>126</x:v>
      </x:c>
      <x:c r="B127" s="16" t="str">
        <x:v>MODEL</x:v>
      </x:c>
      <x:c r="C127" s="16" t="str">
        <x:f>'Model_Coding_KT004'!A6</x:f>
        <x:v>PILOT_01_M05</x:v>
      </x:c>
      <x:c r="D127" s="16" t="str">
        <x:v>typed_edges</x:v>
      </x:c>
      <x:c r="E127" s="16" t="str">
        <x:f>'Model_Coding_KT004'!Q6</x:f>
        <x:v>N</x:v>
      </x:c>
      <x:c r="F127" s="16" t="str">
        <x:f>'Model_Coding_KT004'!AT6</x:f>
        <x:v>Sec. 2.2 MHA; Sec. 2.1 NLL; Appendix B</x:v>
      </x:c>
      <x:c r="G127" s="16" t="str">
        <x:v>HIGH</x:v>
      </x:c>
      <x:c r="H127" s="16" t="str">
        <x:v>Y</x:v>
      </x:c>
      <x:c r="I127" s="16" t="str">
        <x:v>Coder A worked example</x:v>
      </x:c>
    </x:row>
    <x:row r="128">
      <x:c r="A128" s="16" t="n">
        <x:v>127</x:v>
      </x:c>
      <x:c r="B128" s="16" t="str">
        <x:v>MODEL</x:v>
      </x:c>
      <x:c r="C128" s="16" t="str">
        <x:f>'Model_Coding_KT004'!A6</x:f>
        <x:v>PILOT_01_M05</x:v>
      </x:c>
      <x:c r="D128" s="16" t="str">
        <x:v>dynamic</x:v>
      </x:c>
      <x:c r="E128" s="16" t="str">
        <x:f>'Model_Coding_KT004'!R6</x:f>
        <x:v>N</x:v>
      </x:c>
      <x:c r="F128" s="16" t="str">
        <x:f>'Model_Coding_KT004'!AT6</x:f>
        <x:v>Sec. 2.2 MHA; Sec. 2.1 NLL; Appendix B</x:v>
      </x:c>
      <x:c r="G128" s="16" t="str">
        <x:v>HIGH</x:v>
      </x:c>
      <x:c r="H128" s="16" t="str">
        <x:v>Y</x:v>
      </x:c>
      <x:c r="I128" s="16" t="str">
        <x:v>Coder A worked example</x:v>
      </x:c>
    </x:row>
    <x:row r="129">
      <x:c r="A129" s="16" t="n">
        <x:v>128</x:v>
      </x:c>
      <x:c r="B129" s="16" t="str">
        <x:v>MODEL</x:v>
      </x:c>
      <x:c r="C129" s="16" t="str">
        <x:f>'Model_Coding_KT004'!A6</x:f>
        <x:v>PILOT_01_M05</x:v>
      </x:c>
      <x:c r="D129" s="16" t="str">
        <x:v>dag_enforced</x:v>
      </x:c>
      <x:c r="E129" s="16" t="str">
        <x:f>'Model_Coding_KT004'!S6</x:f>
        <x:v>N</x:v>
      </x:c>
      <x:c r="F129" s="16" t="str">
        <x:f>'Model_Coding_KT004'!AT6</x:f>
        <x:v>Sec. 2.2 MHA; Sec. 2.1 NLL; Appendix B</x:v>
      </x:c>
      <x:c r="G129" s="16" t="str">
        <x:v>HIGH</x:v>
      </x:c>
      <x:c r="H129" s="16" t="str">
        <x:v>Y</x:v>
      </x:c>
      <x:c r="I129" s="16" t="str">
        <x:v>Coder A worked example</x:v>
      </x:c>
    </x:row>
    <x:row r="130">
      <x:c r="A130" s="16" t="n">
        <x:v>129</x:v>
      </x:c>
      <x:c r="B130" s="16" t="str">
        <x:v>MODEL</x:v>
      </x:c>
      <x:c r="C130" s="16" t="str">
        <x:f>'Model_Coding_KT004'!A6</x:f>
        <x:v>PILOT_01_M05</x:v>
      </x:c>
      <x:c r="D130" s="16" t="str">
        <x:v>edge_confidence_used</x:v>
      </x:c>
      <x:c r="E130" s="16" t="str">
        <x:f>'Model_Coding_KT004'!T6</x:f>
        <x:v>N</x:v>
      </x:c>
      <x:c r="F130" s="16" t="str">
        <x:f>'Model_Coding_KT004'!AT6</x:f>
        <x:v>Sec. 2.2 MHA; Sec. 2.1 NLL; Appendix B</x:v>
      </x:c>
      <x:c r="G130" s="16" t="str">
        <x:v>HIGH</x:v>
      </x:c>
      <x:c r="H130" s="16" t="str">
        <x:v>Y</x:v>
      </x:c>
      <x:c r="I130" s="16" t="str">
        <x:v>Coder A worked example</x:v>
      </x:c>
    </x:row>
    <x:row r="131">
      <x:c r="A131" s="16" t="n">
        <x:v>130</x:v>
      </x:c>
      <x:c r="B131" s="16" t="str">
        <x:v>MODEL</x:v>
      </x:c>
      <x:c r="C131" s="16" t="str">
        <x:f>'Model_Coding_KT004'!A6</x:f>
        <x:v>PILOT_01_M05</x:v>
      </x:c>
      <x:c r="D131" s="16" t="str">
        <x:v>gnn_encoder</x:v>
      </x:c>
      <x:c r="E131" s="16" t="str">
        <x:f>'Model_Coding_KT004'!U6</x:f>
        <x:v>GRAPH_ATTENTION_HYBRID</x:v>
      </x:c>
      <x:c r="F131" s="16" t="str">
        <x:f>'Model_Coding_KT004'!AT6</x:f>
        <x:v>Sec. 2.2 MHA; Sec. 2.1 NLL; Appendix B</x:v>
      </x:c>
      <x:c r="G131" s="16" t="str">
        <x:v>HIGH</x:v>
      </x:c>
      <x:c r="H131" s="16" t="str">
        <x:v>Y</x:v>
      </x:c>
      <x:c r="I131" s="16" t="str">
        <x:v>Coder A worked example</x:v>
      </x:c>
    </x:row>
    <x:row r="132">
      <x:c r="A132" s="16" t="n">
        <x:v>131</x:v>
      </x:c>
      <x:c r="B132" s="16" t="str">
        <x:v>MODEL</x:v>
      </x:c>
      <x:c r="C132" s="16" t="str">
        <x:f>'Model_Coding_KT004'!A6</x:f>
        <x:v>PILOT_01_M05</x:v>
      </x:c>
      <x:c r="D132" s="16" t="str">
        <x:v>temporal_backbone</x:v>
      </x:c>
      <x:c r="E132" s="16" t="str">
        <x:f>'Model_Coding_KT004'!Y6</x:f>
        <x:v>RNN_LSTM_GRU</x:v>
      </x:c>
      <x:c r="F132" s="16" t="str">
        <x:f>'Model_Coding_KT004'!AT6</x:f>
        <x:v>Sec. 2.2 MHA; Sec. 2.1 NLL; Appendix B</x:v>
      </x:c>
      <x:c r="G132" s="16" t="str">
        <x:v>HIGH</x:v>
      </x:c>
      <x:c r="H132" s="16" t="str">
        <x:v>Y</x:v>
      </x:c>
      <x:c r="I132" s="16" t="str">
        <x:v>Coder A worked example</x:v>
      </x:c>
    </x:row>
    <x:row r="133">
      <x:c r="A133" s="16" t="n">
        <x:v>132</x:v>
      </x:c>
      <x:c r="B133" s="16" t="str">
        <x:v>MODEL</x:v>
      </x:c>
      <x:c r="C133" s="16" t="str">
        <x:f>'Model_Coding_KT004'!A6</x:f>
        <x:v>PILOT_01_M05</x:v>
      </x:c>
      <x:c r="D133" s="16" t="str">
        <x:v>semantic_auxiliary_encoder</x:v>
      </x:c>
      <x:c r="E133" s="16" t="str">
        <x:f>'Model_Coding_KT004'!Z6</x:f>
        <x:v>NA</x:v>
      </x:c>
      <x:c r="F133" s="16" t="str">
        <x:f>'Model_Coding_KT004'!AT6</x:f>
        <x:v>Sec. 2.2 MHA; Sec. 2.1 NLL; Appendix B</x:v>
      </x:c>
      <x:c r="G133" s="16" t="str">
        <x:v>HIGH</x:v>
      </x:c>
      <x:c r="H133" s="16" t="str">
        <x:v>Y</x:v>
      </x:c>
      <x:c r="I133" s="16" t="str">
        <x:v>Coder A worked example</x:v>
      </x:c>
    </x:row>
    <x:row r="134">
      <x:c r="A134" s="16" t="n">
        <x:v>133</x:v>
      </x:c>
      <x:c r="B134" s="16" t="str">
        <x:v>MODEL</x:v>
      </x:c>
      <x:c r="C134" s="16" t="str">
        <x:f>'Model_Coding_KT004'!A6</x:f>
        <x:v>PILOT_01_M05</x:v>
      </x:c>
      <x:c r="D134" s="16" t="str">
        <x:v>fusion_type</x:v>
      </x:c>
      <x:c r="E134" s="16" t="str">
        <x:f>'Model_Coding_KT004'!AA6</x:f>
        <x:v>MESSAGE_PASSING_IN_PREDICTION_LOOP</x:v>
      </x:c>
      <x:c r="F134" s="16" t="str">
        <x:f>'Model_Coding_KT004'!AT6</x:f>
        <x:v>Sec. 2.2 MHA; Sec. 2.1 NLL; Appendix B</x:v>
      </x:c>
      <x:c r="G134" s="16" t="str">
        <x:v>HIGH</x:v>
      </x:c>
      <x:c r="H134" s="16" t="str">
        <x:v>Y</x:v>
      </x:c>
      <x:c r="I134" s="16" t="str">
        <x:v>Coder A worked example</x:v>
      </x:c>
    </x:row>
    <x:row r="135">
      <x:c r="A135" s="16" t="n">
        <x:v>134</x:v>
      </x:c>
      <x:c r="B135" s="16" t="str">
        <x:v>MODEL</x:v>
      </x:c>
      <x:c r="C135" s="16" t="str">
        <x:f>'Model_Coding_KT004'!A6</x:f>
        <x:v>PILOT_01_M05</x:v>
      </x:c>
      <x:c r="D135" s="16" t="str">
        <x:v>fusion_location</x:v>
      </x:c>
      <x:c r="E135" s="16" t="str">
        <x:f>'Model_Coding_KT004'!AB6</x:f>
        <x:v>HIDDEN_STATE</x:v>
      </x:c>
      <x:c r="F135" s="16" t="str">
        <x:f>'Model_Coding_KT004'!AT6</x:f>
        <x:v>Sec. 2.2 MHA; Sec. 2.1 NLL; Appendix B</x:v>
      </x:c>
      <x:c r="G135" s="16" t="str">
        <x:v>HIGH</x:v>
      </x:c>
      <x:c r="H135" s="16" t="str">
        <x:v>Y</x:v>
      </x:c>
      <x:c r="I135" s="16" t="str">
        <x:v>Coder A worked example</x:v>
      </x:c>
    </x:row>
    <x:row r="136">
      <x:c r="A136" s="16" t="n">
        <x:v>135</x:v>
      </x:c>
      <x:c r="B136" s="16" t="str">
        <x:v>MODEL</x:v>
      </x:c>
      <x:c r="C136" s="16" t="str">
        <x:f>'Model_Coding_KT004'!A6</x:f>
        <x:v>PILOT_01_M05</x:v>
      </x:c>
      <x:c r="D136" s="16" t="str">
        <x:v>ssl_family</x:v>
      </x:c>
      <x:c r="E136" s="16" t="str">
        <x:f>'Model_Coding_KT004'!AD6</x:f>
        <x:v>NONE</x:v>
      </x:c>
      <x:c r="F136" s="16" t="str">
        <x:f>'Model_Coding_KT004'!AT6</x:f>
        <x:v>Sec. 2.2 MHA; Sec. 2.1 NLL; Appendix B</x:v>
      </x:c>
      <x:c r="G136" s="16" t="str">
        <x:v>HIGH</x:v>
      </x:c>
      <x:c r="H136" s="16" t="str">
        <x:v>Y</x:v>
      </x:c>
      <x:c r="I136" s="16" t="str">
        <x:v>Coder A worked example</x:v>
      </x:c>
    </x:row>
    <x:row r="137">
      <x:c r="A137" s="16" t="n">
        <x:v>136</x:v>
      </x:c>
      <x:c r="B137" s="16" t="str">
        <x:v>MODEL</x:v>
      </x:c>
      <x:c r="C137" s="16" t="str">
        <x:f>'Model_Coding_KT004'!A6</x:f>
        <x:v>PILOT_01_M05</x:v>
      </x:c>
      <x:c r="D137" s="16" t="str">
        <x:v>non_ssl_pretraining</x:v>
      </x:c>
      <x:c r="E137" s="16" t="str">
        <x:f>'Model_Coding_KT004'!AE6</x:f>
        <x:v>N</x:v>
      </x:c>
      <x:c r="F137" s="16" t="str">
        <x:f>'Model_Coding_KT004'!AT6</x:f>
        <x:v>Sec. 2.2 MHA; Sec. 2.1 NLL; Appendix B</x:v>
      </x:c>
      <x:c r="G137" s="16" t="str">
        <x:v>HIGH</x:v>
      </x:c>
      <x:c r="H137" s="16" t="str">
        <x:v>Y</x:v>
      </x:c>
      <x:c r="I137" s="16" t="str">
        <x:v>Coder A worked example</x:v>
      </x:c>
    </x:row>
    <x:row r="138">
      <x:c r="A138" s="16" t="n">
        <x:v>137</x:v>
      </x:c>
      <x:c r="B138" s="16" t="str">
        <x:v>MODEL</x:v>
      </x:c>
      <x:c r="C138" s="16" t="str">
        <x:f>'Model_Coding_KT004'!A6</x:f>
        <x:v>PILOT_01_M05</x:v>
      </x:c>
      <x:c r="D138" s="16" t="str">
        <x:v>ssl_training_mode</x:v>
      </x:c>
      <x:c r="E138" s="16" t="str">
        <x:f>'Model_Coding_KT004'!AG6</x:f>
        <x:v>NA</x:v>
      </x:c>
      <x:c r="F138" s="16" t="str">
        <x:f>'Model_Coding_KT004'!AT6</x:f>
        <x:v>Sec. 2.2 MHA; Sec. 2.1 NLL; Appendix B</x:v>
      </x:c>
      <x:c r="G138" s="16" t="str">
        <x:v>HIGH</x:v>
      </x:c>
      <x:c r="H138" s="16" t="str">
        <x:v>Y</x:v>
      </x:c>
      <x:c r="I138" s="16" t="str">
        <x:v>Coder A worked example</x:v>
      </x:c>
    </x:row>
    <x:row r="139">
      <x:c r="A139" s="16" t="n">
        <x:v>138</x:v>
      </x:c>
      <x:c r="B139" s="16" t="str">
        <x:v>MODEL</x:v>
      </x:c>
      <x:c r="C139" s="16" t="str">
        <x:f>'Model_Coding_KT004'!A6</x:f>
        <x:v>PILOT_01_M05</x:v>
      </x:c>
      <x:c r="D139" s="16" t="str">
        <x:v>ssl_target_level</x:v>
      </x:c>
      <x:c r="E139" s="16" t="str">
        <x:f>'Model_Coding_KT004'!AH6</x:f>
        <x:v>NA</x:v>
      </x:c>
      <x:c r="F139" s="16" t="str">
        <x:f>'Model_Coding_KT004'!AT6</x:f>
        <x:v>Sec. 2.2 MHA; Sec. 2.1 NLL; Appendix B</x:v>
      </x:c>
      <x:c r="G139" s="16" t="str">
        <x:v>HIGH</x:v>
      </x:c>
      <x:c r="H139" s="16" t="str">
        <x:v>Y</x:v>
      </x:c>
      <x:c r="I139" s="16" t="str">
        <x:v>Coder A worked example</x:v>
      </x:c>
    </x:row>
    <x:row r="140">
      <x:c r="A140" s="16" t="n">
        <x:v>139</x:v>
      </x:c>
      <x:c r="B140" s="16" t="str">
        <x:v>MODEL</x:v>
      </x:c>
      <x:c r="C140" s="16" t="str">
        <x:f>'Model_Coding_KT004'!A6</x:f>
        <x:v>PILOT_01_M05</x:v>
      </x:c>
      <x:c r="D140" s="16" t="str">
        <x:v>augmentation_type</x:v>
      </x:c>
      <x:c r="E140" s="16" t="str">
        <x:f>'Model_Coding_KT004'!AM6</x:f>
        <x:v>NO_EXPLICIT_AUGMENTATION</x:v>
      </x:c>
      <x:c r="F140" s="16" t="str">
        <x:f>'Model_Coding_KT004'!AT6</x:f>
        <x:v>Sec. 2.2 MHA; Sec. 2.1 NLL; Appendix B</x:v>
      </x:c>
      <x:c r="G140" s="16" t="str">
        <x:v>HIGH</x:v>
      </x:c>
      <x:c r="H140" s="16" t="str">
        <x:v>Y</x:v>
      </x:c>
      <x:c r="I140" s="16" t="str">
        <x:v>Coder A worked example</x:v>
      </x:c>
    </x:row>
    <x:row r="141">
      <x:c r="A141" s="16" t="n">
        <x:v>140</x:v>
      </x:c>
      <x:c r="B141" s="16" t="str">
        <x:v>MODEL</x:v>
      </x:c>
      <x:c r="C141" s="16" t="str">
        <x:f>'Model_Coding_KT004'!A6</x:f>
        <x:v>PILOT_01_M05</x:v>
      </x:c>
      <x:c r="D141" s="16" t="str">
        <x:v>educational_structure_preservation</x:v>
      </x:c>
      <x:c r="E141" s="16" t="str">
        <x:f>'Model_Coding_KT004'!AN6</x:f>
        <x:v>NO_AUGMENTATION</x:v>
      </x:c>
      <x:c r="F141" s="16" t="str">
        <x:f>'Model_Coding_KT004'!AT6</x:f>
        <x:v>Sec. 2.2 MHA; Sec. 2.1 NLL; Appendix B</x:v>
      </x:c>
      <x:c r="G141" s="16" t="str">
        <x:v>HIGH</x:v>
      </x:c>
      <x:c r="H141" s="16" t="str">
        <x:v>Y</x:v>
      </x:c>
      <x:c r="I141" s="16" t="str">
        <x:v>Coder A worked example</x:v>
      </x:c>
    </x:row>
    <x:row r="142">
      <x:c r="A142" s="16" t="n">
        <x:v>141</x:v>
      </x:c>
      <x:c r="B142" s="16" t="str">
        <x:v>MODEL</x:v>
      </x:c>
      <x:c r="C142" s="16" t="str">
        <x:f>'Model_Coding_KT004'!A6</x:f>
        <x:v>PILOT_01_M05</x:v>
      </x:c>
      <x:c r="D142" s="16" t="str">
        <x:v>augmentation_validity_ablation</x:v>
      </x:c>
      <x:c r="E142" s="16" t="str">
        <x:f>'Model_Coding_KT004'!AP6</x:f>
        <x:v>NA</x:v>
      </x:c>
      <x:c r="F142" s="16" t="str">
        <x:f>'Model_Coding_KT004'!AT6</x:f>
        <x:v>Sec. 2.2 MHA; Sec. 2.1 NLL; Appendix B</x:v>
      </x:c>
      <x:c r="G142" s="16" t="str">
        <x:v>HIGH</x:v>
      </x:c>
      <x:c r="H142" s="16" t="str">
        <x:v>Y</x:v>
      </x:c>
      <x:c r="I142" s="16" t="str">
        <x:v>Coder A worked example</x:v>
      </x:c>
    </x:row>
    <x:row r="143">
      <x:c r="A143" s="16" t="n">
        <x:v>142</x:v>
      </x:c>
      <x:c r="B143" s="16" t="str">
        <x:v>MODEL</x:v>
      </x:c>
      <x:c r="C143" s="16" t="str">
        <x:f>'Model_Coding_KT004'!A7</x:f>
        <x:v>PILOT_01_M06</x:v>
      </x:c>
      <x:c r="D143" s="16" t="str">
        <x:v>graph_source</x:v>
      </x:c>
      <x:c r="E143" s="16" t="str">
        <x:f>'Model_Coding_KT004'!E7</x:f>
        <x:v>LEARNED_FROM_INTERACTIONS</x:v>
      </x:c>
      <x:c r="F143" s="16" t="str">
        <x:f>'Model_Coding_KT004'!AT7</x:f>
        <x:v>Sec. 2.2 VAE; Sec. 2.1 NLL; Appendix B</x:v>
      </x:c>
      <x:c r="G143" s="16" t="str">
        <x:v>HIGH</x:v>
      </x:c>
      <x:c r="H143" s="16" t="str">
        <x:v>Y</x:v>
      </x:c>
      <x:c r="I143" s="16" t="str">
        <x:v>Coder A worked example</x:v>
      </x:c>
    </x:row>
    <x:row r="144">
      <x:c r="A144" s="16" t="n">
        <x:v>143</x:v>
      </x:c>
      <x:c r="B144" s="16" t="str">
        <x:v>MODEL</x:v>
      </x:c>
      <x:c r="C144" s="16" t="str">
        <x:f>'Model_Coding_KT004'!A7</x:f>
        <x:v>PILOT_01_M06</x:v>
      </x:c>
      <x:c r="D144" s="16" t="str">
        <x:v>graph_provenance</x:v>
      </x:c>
      <x:c r="E144" s="16" t="str">
        <x:f>'Model_Coding_KT004'!G7</x:f>
        <x:v>JOINTLY_LEARNED_TRAINING</x:v>
      </x:c>
      <x:c r="F144" s="16" t="str">
        <x:f>'Model_Coding_KT004'!AT7</x:f>
        <x:v>Sec. 2.2 VAE; Sec. 2.1 NLL; Appendix B</x:v>
      </x:c>
      <x:c r="G144" s="16" t="str">
        <x:v>HIGH</x:v>
      </x:c>
      <x:c r="H144" s="16" t="str">
        <x:v>Y</x:v>
      </x:c>
      <x:c r="I144" s="16" t="str">
        <x:v>Coder A worked example</x:v>
      </x:c>
    </x:row>
    <x:row r="145">
      <x:c r="A145" s="16" t="n">
        <x:v>144</x:v>
      </x:c>
      <x:c r="B145" s="16" t="str">
        <x:v>MODEL</x:v>
      </x:c>
      <x:c r="C145" s="16" t="str">
        <x:f>'Model_Coding_KT004'!A7</x:f>
        <x:v>PILOT_01_M06</x:v>
      </x:c>
      <x:c r="D145" s="16" t="str">
        <x:v>graph_leakage_risk</x:v>
      </x:c>
      <x:c r="E145" s="16" t="str">
        <x:f>'Model_Coding_KT004'!H7</x:f>
        <x:v>LOW</x:v>
      </x:c>
      <x:c r="F145" s="16" t="str">
        <x:f>'Model_Coding_KT004'!AT7</x:f>
        <x:v>Sec. 2.2 VAE; Sec. 2.1 NLL; Appendix B</x:v>
      </x:c>
      <x:c r="G145" s="16" t="str">
        <x:v>HIGH</x:v>
      </x:c>
      <x:c r="H145" s="16" t="str">
        <x:v>Y</x:v>
      </x:c>
      <x:c r="I145" s="16" t="str">
        <x:v>Coder A worked example</x:v>
      </x:c>
    </x:row>
    <x:row r="146">
      <x:c r="A146" s="16" t="n">
        <x:v>145</x:v>
      </x:c>
      <x:c r="B146" s="16" t="str">
        <x:v>MODEL</x:v>
      </x:c>
      <x:c r="C146" s="16" t="str">
        <x:f>'Model_Coding_KT004'!A7</x:f>
        <x:v>PILOT_01_M06</x:v>
      </x:c>
      <x:c r="D146" s="16" t="str">
        <x:v>graph_construction_uses_response_labels</x:v>
      </x:c>
      <x:c r="E146" s="16" t="str">
        <x:f>'Model_Coding_KT004'!J7</x:f>
        <x:v>Y</x:v>
      </x:c>
      <x:c r="F146" s="16" t="str">
        <x:f>'Model_Coding_KT004'!AT7</x:f>
        <x:v>Sec. 2.2 VAE; Sec. 2.1 NLL; Appendix B</x:v>
      </x:c>
      <x:c r="G146" s="16" t="str">
        <x:v>HIGH</x:v>
      </x:c>
      <x:c r="H146" s="16" t="str">
        <x:v>Y</x:v>
      </x:c>
      <x:c r="I146" s="16" t="str">
        <x:v>Coder A worked example</x:v>
      </x:c>
    </x:row>
    <x:row r="147">
      <x:c r="A147" s="16" t="n">
        <x:v>146</x:v>
      </x:c>
      <x:c r="B147" s="16" t="str">
        <x:v>MODEL</x:v>
      </x:c>
      <x:c r="C147" s="16" t="str">
        <x:f>'Model_Coding_KT004'!A7</x:f>
        <x:v>PILOT_01_M06</x:v>
      </x:c>
      <x:c r="D147" s="16" t="str">
        <x:v>graph_construction_uses_test_partition</x:v>
      </x:c>
      <x:c r="E147" s="16" t="str">
        <x:f>'Model_Coding_KT004'!K7</x:f>
        <x:v>N</x:v>
      </x:c>
      <x:c r="F147" s="16" t="str">
        <x:f>'Model_Coding_KT004'!AT7</x:f>
        <x:v>Sec. 2.2 VAE; Sec. 2.1 NLL; Appendix B</x:v>
      </x:c>
      <x:c r="G147" s="16" t="str">
        <x:v>HIGH</x:v>
      </x:c>
      <x:c r="H147" s="16" t="str">
        <x:v>Y</x:v>
      </x:c>
      <x:c r="I147" s="16" t="str">
        <x:v>Coder A worked example</x:v>
      </x:c>
    </x:row>
    <x:row r="148">
      <x:c r="A148" s="16" t="n">
        <x:v>147</x:v>
      </x:c>
      <x:c r="B148" s="16" t="str">
        <x:v>MODEL</x:v>
      </x:c>
      <x:c r="C148" s="16" t="str">
        <x:f>'Model_Coding_KT004'!A7</x:f>
        <x:v>PILOT_01_M06</x:v>
      </x:c>
      <x:c r="D148" s="16" t="str">
        <x:v>graph_representation</x:v>
      </x:c>
      <x:c r="E148" s="16" t="str">
        <x:f>'Model_Coding_KT004'!L7</x:f>
        <x:v>KC_KC</x:v>
      </x:c>
      <x:c r="F148" s="16" t="str">
        <x:f>'Model_Coding_KT004'!AT7</x:f>
        <x:v>Sec. 2.2 VAE; Sec. 2.1 NLL; Appendix B</x:v>
      </x:c>
      <x:c r="G148" s="16" t="str">
        <x:v>HIGH</x:v>
      </x:c>
      <x:c r="H148" s="16" t="str">
        <x:v>Y</x:v>
      </x:c>
      <x:c r="I148" s="16" t="str">
        <x:v>Coder A worked example</x:v>
      </x:c>
    </x:row>
    <x:row r="149">
      <x:c r="A149" s="16" t="n">
        <x:v>148</x:v>
      </x:c>
      <x:c r="B149" s="16" t="str">
        <x:v>MODEL</x:v>
      </x:c>
      <x:c r="C149" s="16" t="str">
        <x:f>'Model_Coding_KT004'!A7</x:f>
        <x:v>PILOT_01_M06</x:v>
      </x:c>
      <x:c r="D149" s="16" t="str">
        <x:v>directed</x:v>
      </x:c>
      <x:c r="E149" s="16" t="str">
        <x:f>'Model_Coding_KT004'!O7</x:f>
        <x:v>Y</x:v>
      </x:c>
      <x:c r="F149" s="16" t="str">
        <x:f>'Model_Coding_KT004'!AT7</x:f>
        <x:v>Sec. 2.2 VAE; Sec. 2.1 NLL; Appendix B</x:v>
      </x:c>
      <x:c r="G149" s="16" t="str">
        <x:v>HIGH</x:v>
      </x:c>
      <x:c r="H149" s="16" t="str">
        <x:v>Y</x:v>
      </x:c>
      <x:c r="I149" s="16" t="str">
        <x:v>Coder A worked example</x:v>
      </x:c>
    </x:row>
    <x:row r="150">
      <x:c r="A150" s="16" t="n">
        <x:v>149</x:v>
      </x:c>
      <x:c r="B150" s="16" t="str">
        <x:v>MODEL</x:v>
      </x:c>
      <x:c r="C150" s="16" t="str">
        <x:f>'Model_Coding_KT004'!A7</x:f>
        <x:v>PILOT_01_M06</x:v>
      </x:c>
      <x:c r="D150" s="16" t="str">
        <x:v>weighted</x:v>
      </x:c>
      <x:c r="E150" s="16" t="str">
        <x:f>'Model_Coding_KT004'!P7</x:f>
        <x:v>UNCLEAR</x:v>
      </x:c>
      <x:c r="F150" s="16" t="str">
        <x:f>'Model_Coding_KT004'!AT7</x:f>
        <x:v>Sec. 2.2 VAE; Sec. 2.1 NLL; Appendix B</x:v>
      </x:c>
      <x:c r="G150" s="16" t="str">
        <x:v>HIGH</x:v>
      </x:c>
      <x:c r="H150" s="16" t="str">
        <x:v>Y</x:v>
      </x:c>
      <x:c r="I150" s="16" t="str">
        <x:v>Coder A worked example</x:v>
      </x:c>
    </x:row>
    <x:row r="151">
      <x:c r="A151" s="16" t="n">
        <x:v>150</x:v>
      </x:c>
      <x:c r="B151" s="16" t="str">
        <x:v>MODEL</x:v>
      </x:c>
      <x:c r="C151" s="16" t="str">
        <x:f>'Model_Coding_KT004'!A7</x:f>
        <x:v>PILOT_01_M06</x:v>
      </x:c>
      <x:c r="D151" s="16" t="str">
        <x:v>typed_edges</x:v>
      </x:c>
      <x:c r="E151" s="16" t="str">
        <x:f>'Model_Coding_KT004'!Q7</x:f>
        <x:v>Y</x:v>
      </x:c>
      <x:c r="F151" s="16" t="str">
        <x:f>'Model_Coding_KT004'!AT7</x:f>
        <x:v>Sec. 2.2 VAE; Sec. 2.1 NLL; Appendix B</x:v>
      </x:c>
      <x:c r="G151" s="16" t="str">
        <x:v>HIGH</x:v>
      </x:c>
      <x:c r="H151" s="16" t="str">
        <x:v>Y</x:v>
      </x:c>
      <x:c r="I151" s="16" t="str">
        <x:v>Coder A worked example</x:v>
      </x:c>
    </x:row>
    <x:row r="152">
      <x:c r="A152" s="16" t="n">
        <x:v>151</x:v>
      </x:c>
      <x:c r="B152" s="16" t="str">
        <x:v>MODEL</x:v>
      </x:c>
      <x:c r="C152" s="16" t="str">
        <x:f>'Model_Coding_KT004'!A7</x:f>
        <x:v>PILOT_01_M06</x:v>
      </x:c>
      <x:c r="D152" s="16" t="str">
        <x:v>dynamic</x:v>
      </x:c>
      <x:c r="E152" s="16" t="str">
        <x:f>'Model_Coding_KT004'!R7</x:f>
        <x:v>N</x:v>
      </x:c>
      <x:c r="F152" s="16" t="str">
        <x:f>'Model_Coding_KT004'!AT7</x:f>
        <x:v>Sec. 2.2 VAE; Sec. 2.1 NLL; Appendix B</x:v>
      </x:c>
      <x:c r="G152" s="16" t="str">
        <x:v>HIGH</x:v>
      </x:c>
      <x:c r="H152" s="16" t="str">
        <x:v>Y</x:v>
      </x:c>
      <x:c r="I152" s="16" t="str">
        <x:v>Coder A worked example</x:v>
      </x:c>
    </x:row>
    <x:row r="153">
      <x:c r="A153" s="16" t="n">
        <x:v>152</x:v>
      </x:c>
      <x:c r="B153" s="16" t="str">
        <x:v>MODEL</x:v>
      </x:c>
      <x:c r="C153" s="16" t="str">
        <x:f>'Model_Coding_KT004'!A7</x:f>
        <x:v>PILOT_01_M06</x:v>
      </x:c>
      <x:c r="D153" s="16" t="str">
        <x:v>dag_enforced</x:v>
      </x:c>
      <x:c r="E153" s="16" t="str">
        <x:f>'Model_Coding_KT004'!S7</x:f>
        <x:v>N</x:v>
      </x:c>
      <x:c r="F153" s="16" t="str">
        <x:f>'Model_Coding_KT004'!AT7</x:f>
        <x:v>Sec. 2.2 VAE; Sec. 2.1 NLL; Appendix B</x:v>
      </x:c>
      <x:c r="G153" s="16" t="str">
        <x:v>HIGH</x:v>
      </x:c>
      <x:c r="H153" s="16" t="str">
        <x:v>Y</x:v>
      </x:c>
      <x:c r="I153" s="16" t="str">
        <x:v>Coder A worked example</x:v>
      </x:c>
    </x:row>
    <x:row r="154">
      <x:c r="A154" s="16" t="n">
        <x:v>153</x:v>
      </x:c>
      <x:c r="B154" s="16" t="str">
        <x:v>MODEL</x:v>
      </x:c>
      <x:c r="C154" s="16" t="str">
        <x:f>'Model_Coding_KT004'!A7</x:f>
        <x:v>PILOT_01_M06</x:v>
      </x:c>
      <x:c r="D154" s="16" t="str">
        <x:v>edge_confidence_used</x:v>
      </x:c>
      <x:c r="E154" s="16" t="str">
        <x:f>'Model_Coding_KT004'!T7</x:f>
        <x:v>N</x:v>
      </x:c>
      <x:c r="F154" s="16" t="str">
        <x:f>'Model_Coding_KT004'!AT7</x:f>
        <x:v>Sec. 2.2 VAE; Sec. 2.1 NLL; Appendix B</x:v>
      </x:c>
      <x:c r="G154" s="16" t="str">
        <x:v>HIGH</x:v>
      </x:c>
      <x:c r="H154" s="16" t="str">
        <x:v>Y</x:v>
      </x:c>
      <x:c r="I154" s="16" t="str">
        <x:v>Coder A worked example</x:v>
      </x:c>
    </x:row>
    <x:row r="155">
      <x:c r="A155" s="16" t="n">
        <x:v>154</x:v>
      </x:c>
      <x:c r="B155" s="16" t="str">
        <x:v>MODEL</x:v>
      </x:c>
      <x:c r="C155" s="16" t="str">
        <x:f>'Model_Coding_KT004'!A7</x:f>
        <x:v>PILOT_01_M06</x:v>
      </x:c>
      <x:c r="D155" s="16" t="str">
        <x:v>gnn_encoder</x:v>
      </x:c>
      <x:c r="E155" s="16" t="str">
        <x:f>'Model_Coding_KT004'!U7</x:f>
        <x:v>OTHER</x:v>
      </x:c>
      <x:c r="F155" s="16" t="str">
        <x:f>'Model_Coding_KT004'!AT7</x:f>
        <x:v>Sec. 2.2 VAE; Sec. 2.1 NLL; Appendix B</x:v>
      </x:c>
      <x:c r="G155" s="16" t="str">
        <x:v>HIGH</x:v>
      </x:c>
      <x:c r="H155" s="16" t="str">
        <x:v>Y</x:v>
      </x:c>
      <x:c r="I155" s="16" t="str">
        <x:v>Coder A worked example</x:v>
      </x:c>
    </x:row>
    <x:row r="156">
      <x:c r="A156" s="16" t="n">
        <x:v>155</x:v>
      </x:c>
      <x:c r="B156" s="16" t="str">
        <x:v>MODEL</x:v>
      </x:c>
      <x:c r="C156" s="16" t="str">
        <x:f>'Model_Coding_KT004'!A7</x:f>
        <x:v>PILOT_01_M06</x:v>
      </x:c>
      <x:c r="D156" s="16" t="str">
        <x:v>temporal_backbone</x:v>
      </x:c>
      <x:c r="E156" s="16" t="str">
        <x:f>'Model_Coding_KT004'!Y7</x:f>
        <x:v>RNN_LSTM_GRU</x:v>
      </x:c>
      <x:c r="F156" s="16" t="str">
        <x:f>'Model_Coding_KT004'!AT7</x:f>
        <x:v>Sec. 2.2 VAE; Sec. 2.1 NLL; Appendix B</x:v>
      </x:c>
      <x:c r="G156" s="16" t="str">
        <x:v>HIGH</x:v>
      </x:c>
      <x:c r="H156" s="16" t="str">
        <x:v>Y</x:v>
      </x:c>
      <x:c r="I156" s="16" t="str">
        <x:v>Coder A worked example</x:v>
      </x:c>
    </x:row>
    <x:row r="157">
      <x:c r="A157" s="16" t="n">
        <x:v>156</x:v>
      </x:c>
      <x:c r="B157" s="16" t="str">
        <x:v>MODEL</x:v>
      </x:c>
      <x:c r="C157" s="16" t="str">
        <x:f>'Model_Coding_KT004'!A7</x:f>
        <x:v>PILOT_01_M06</x:v>
      </x:c>
      <x:c r="D157" s="16" t="str">
        <x:v>semantic_auxiliary_encoder</x:v>
      </x:c>
      <x:c r="E157" s="16" t="str">
        <x:f>'Model_Coding_KT004'!Z7</x:f>
        <x:v>NA</x:v>
      </x:c>
      <x:c r="F157" s="16" t="str">
        <x:f>'Model_Coding_KT004'!AT7</x:f>
        <x:v>Sec. 2.2 VAE; Sec. 2.1 NLL; Appendix B</x:v>
      </x:c>
      <x:c r="G157" s="16" t="str">
        <x:v>HIGH</x:v>
      </x:c>
      <x:c r="H157" s="16" t="str">
        <x:v>Y</x:v>
      </x:c>
      <x:c r="I157" s="16" t="str">
        <x:v>Coder A worked example</x:v>
      </x:c>
    </x:row>
    <x:row r="158">
      <x:c r="A158" s="16" t="n">
        <x:v>157</x:v>
      </x:c>
      <x:c r="B158" s="16" t="str">
        <x:v>MODEL</x:v>
      </x:c>
      <x:c r="C158" s="16" t="str">
        <x:f>'Model_Coding_KT004'!A7</x:f>
        <x:v>PILOT_01_M06</x:v>
      </x:c>
      <x:c r="D158" s="16" t="str">
        <x:v>fusion_type</x:v>
      </x:c>
      <x:c r="E158" s="16" t="str">
        <x:f>'Model_Coding_KT004'!AA7</x:f>
        <x:v>MESSAGE_PASSING_IN_PREDICTION_LOOP</x:v>
      </x:c>
      <x:c r="F158" s="16" t="str">
        <x:f>'Model_Coding_KT004'!AT7</x:f>
        <x:v>Sec. 2.2 VAE; Sec. 2.1 NLL; Appendix B</x:v>
      </x:c>
      <x:c r="G158" s="16" t="str">
        <x:v>HIGH</x:v>
      </x:c>
      <x:c r="H158" s="16" t="str">
        <x:v>Y</x:v>
      </x:c>
      <x:c r="I158" s="16" t="str">
        <x:v>Coder A worked example</x:v>
      </x:c>
    </x:row>
    <x:row r="159">
      <x:c r="A159" s="16" t="n">
        <x:v>158</x:v>
      </x:c>
      <x:c r="B159" s="16" t="str">
        <x:v>MODEL</x:v>
      </x:c>
      <x:c r="C159" s="16" t="str">
        <x:f>'Model_Coding_KT004'!A7</x:f>
        <x:v>PILOT_01_M06</x:v>
      </x:c>
      <x:c r="D159" s="16" t="str">
        <x:v>fusion_location</x:v>
      </x:c>
      <x:c r="E159" s="16" t="str">
        <x:f>'Model_Coding_KT004'!AB7</x:f>
        <x:v>HIDDEN_STATE</x:v>
      </x:c>
      <x:c r="F159" s="16" t="str">
        <x:f>'Model_Coding_KT004'!AT7</x:f>
        <x:v>Sec. 2.2 VAE; Sec. 2.1 NLL; Appendix B</x:v>
      </x:c>
      <x:c r="G159" s="16" t="str">
        <x:v>HIGH</x:v>
      </x:c>
      <x:c r="H159" s="16" t="str">
        <x:v>Y</x:v>
      </x:c>
      <x:c r="I159" s="16" t="str">
        <x:v>Coder A worked example</x:v>
      </x:c>
    </x:row>
    <x:row r="160">
      <x:c r="A160" s="16" t="n">
        <x:v>159</x:v>
      </x:c>
      <x:c r="B160" s="16" t="str">
        <x:v>MODEL</x:v>
      </x:c>
      <x:c r="C160" s="16" t="str">
        <x:f>'Model_Coding_KT004'!A7</x:f>
        <x:v>PILOT_01_M06</x:v>
      </x:c>
      <x:c r="D160" s="16" t="str">
        <x:v>ssl_family</x:v>
      </x:c>
      <x:c r="E160" s="16" t="str">
        <x:f>'Model_Coding_KT004'!AD7</x:f>
        <x:v>NONE</x:v>
      </x:c>
      <x:c r="F160" s="16" t="str">
        <x:f>'Model_Coding_KT004'!AT7</x:f>
        <x:v>Sec. 2.2 VAE; Sec. 2.1 NLL; Appendix B</x:v>
      </x:c>
      <x:c r="G160" s="16" t="str">
        <x:v>HIGH</x:v>
      </x:c>
      <x:c r="H160" s="16" t="str">
        <x:v>Y</x:v>
      </x:c>
      <x:c r="I160" s="16" t="str">
        <x:v>Coder A worked example</x:v>
      </x:c>
    </x:row>
    <x:row r="161">
      <x:c r="A161" s="16" t="n">
        <x:v>160</x:v>
      </x:c>
      <x:c r="B161" s="16" t="str">
        <x:v>MODEL</x:v>
      </x:c>
      <x:c r="C161" s="16" t="str">
        <x:f>'Model_Coding_KT004'!A7</x:f>
        <x:v>PILOT_01_M06</x:v>
      </x:c>
      <x:c r="D161" s="16" t="str">
        <x:v>non_ssl_pretraining</x:v>
      </x:c>
      <x:c r="E161" s="16" t="str">
        <x:f>'Model_Coding_KT004'!AE7</x:f>
        <x:v>N</x:v>
      </x:c>
      <x:c r="F161" s="16" t="str">
        <x:f>'Model_Coding_KT004'!AT7</x:f>
        <x:v>Sec. 2.2 VAE; Sec. 2.1 NLL; Appendix B</x:v>
      </x:c>
      <x:c r="G161" s="16" t="str">
        <x:v>HIGH</x:v>
      </x:c>
      <x:c r="H161" s="16" t="str">
        <x:v>Y</x:v>
      </x:c>
      <x:c r="I161" s="16" t="str">
        <x:v>Coder A worked example</x:v>
      </x:c>
    </x:row>
    <x:row r="162">
      <x:c r="A162" s="16" t="n">
        <x:v>161</x:v>
      </x:c>
      <x:c r="B162" s="16" t="str">
        <x:v>MODEL</x:v>
      </x:c>
      <x:c r="C162" s="16" t="str">
        <x:f>'Model_Coding_KT004'!A7</x:f>
        <x:v>PILOT_01_M06</x:v>
      </x:c>
      <x:c r="D162" s="16" t="str">
        <x:v>ssl_training_mode</x:v>
      </x:c>
      <x:c r="E162" s="16" t="str">
        <x:f>'Model_Coding_KT004'!AG7</x:f>
        <x:v>NA</x:v>
      </x:c>
      <x:c r="F162" s="16" t="str">
        <x:f>'Model_Coding_KT004'!AT7</x:f>
        <x:v>Sec. 2.2 VAE; Sec. 2.1 NLL; Appendix B</x:v>
      </x:c>
      <x:c r="G162" s="16" t="str">
        <x:v>HIGH</x:v>
      </x:c>
      <x:c r="H162" s="16" t="str">
        <x:v>Y</x:v>
      </x:c>
      <x:c r="I162" s="16" t="str">
        <x:v>Coder A worked example</x:v>
      </x:c>
    </x:row>
    <x:row r="163">
      <x:c r="A163" s="16" t="n">
        <x:v>162</x:v>
      </x:c>
      <x:c r="B163" s="16" t="str">
        <x:v>MODEL</x:v>
      </x:c>
      <x:c r="C163" s="16" t="str">
        <x:f>'Model_Coding_KT004'!A7</x:f>
        <x:v>PILOT_01_M06</x:v>
      </x:c>
      <x:c r="D163" s="16" t="str">
        <x:v>ssl_target_level</x:v>
      </x:c>
      <x:c r="E163" s="16" t="str">
        <x:f>'Model_Coding_KT004'!AH7</x:f>
        <x:v>NA</x:v>
      </x:c>
      <x:c r="F163" s="16" t="str">
        <x:f>'Model_Coding_KT004'!AT7</x:f>
        <x:v>Sec. 2.2 VAE; Sec. 2.1 NLL; Appendix B</x:v>
      </x:c>
      <x:c r="G163" s="16" t="str">
        <x:v>HIGH</x:v>
      </x:c>
      <x:c r="H163" s="16" t="str">
        <x:v>Y</x:v>
      </x:c>
      <x:c r="I163" s="16" t="str">
        <x:v>Coder A worked example</x:v>
      </x:c>
    </x:row>
    <x:row r="164">
      <x:c r="A164" s="16" t="n">
        <x:v>163</x:v>
      </x:c>
      <x:c r="B164" s="16" t="str">
        <x:v>MODEL</x:v>
      </x:c>
      <x:c r="C164" s="16" t="str">
        <x:f>'Model_Coding_KT004'!A7</x:f>
        <x:v>PILOT_01_M06</x:v>
      </x:c>
      <x:c r="D164" s="16" t="str">
        <x:v>augmentation_type</x:v>
      </x:c>
      <x:c r="E164" s="16" t="str">
        <x:f>'Model_Coding_KT004'!AM7</x:f>
        <x:v>NO_EXPLICIT_AUGMENTATION</x:v>
      </x:c>
      <x:c r="F164" s="16" t="str">
        <x:f>'Model_Coding_KT004'!AT7</x:f>
        <x:v>Sec. 2.2 VAE; Sec. 2.1 NLL; Appendix B</x:v>
      </x:c>
      <x:c r="G164" s="16" t="str">
        <x:v>HIGH</x:v>
      </x:c>
      <x:c r="H164" s="16" t="str">
        <x:v>Y</x:v>
      </x:c>
      <x:c r="I164" s="16" t="str">
        <x:v>Coder A worked example</x:v>
      </x:c>
    </x:row>
    <x:row r="165">
      <x:c r="A165" s="16" t="n">
        <x:v>164</x:v>
      </x:c>
      <x:c r="B165" s="16" t="str">
        <x:v>MODEL</x:v>
      </x:c>
      <x:c r="C165" s="16" t="str">
        <x:f>'Model_Coding_KT004'!A7</x:f>
        <x:v>PILOT_01_M06</x:v>
      </x:c>
      <x:c r="D165" s="16" t="str">
        <x:v>educational_structure_preservation</x:v>
      </x:c>
      <x:c r="E165" s="16" t="str">
        <x:f>'Model_Coding_KT004'!AN7</x:f>
        <x:v>NO_AUGMENTATION</x:v>
      </x:c>
      <x:c r="F165" s="16" t="str">
        <x:f>'Model_Coding_KT004'!AT7</x:f>
        <x:v>Sec. 2.2 VAE; Sec. 2.1 NLL; Appendix B</x:v>
      </x:c>
      <x:c r="G165" s="16" t="str">
        <x:v>HIGH</x:v>
      </x:c>
      <x:c r="H165" s="16" t="str">
        <x:v>Y</x:v>
      </x:c>
      <x:c r="I165" s="16" t="str">
        <x:v>Coder A worked example</x:v>
      </x:c>
    </x:row>
    <x:row r="166">
      <x:c r="A166" s="16" t="n">
        <x:v>165</x:v>
      </x:c>
      <x:c r="B166" s="16" t="str">
        <x:v>MODEL</x:v>
      </x:c>
      <x:c r="C166" s="16" t="str">
        <x:f>'Model_Coding_KT004'!A7</x:f>
        <x:v>PILOT_01_M06</x:v>
      </x:c>
      <x:c r="D166" s="16" t="str">
        <x:v>augmentation_validity_ablation</x:v>
      </x:c>
      <x:c r="E166" s="16" t="str">
        <x:f>'Model_Coding_KT004'!AP7</x:f>
        <x:v>NA</x:v>
      </x:c>
      <x:c r="F166" s="16" t="str">
        <x:f>'Model_Coding_KT004'!AT7</x:f>
        <x:v>Sec. 2.2 VAE; Sec. 2.1 NLL; Appendix B</x:v>
      </x:c>
      <x:c r="G166" s="16" t="str">
        <x:v>HIGH</x:v>
      </x:c>
      <x:c r="H166" s="16" t="str">
        <x:v>Y</x:v>
      </x:c>
      <x:c r="I166" s="16" t="str">
        <x:v>Coder A worked example</x:v>
      </x:c>
    </x:row>
    <x:row r="167">
      <x:c r="A167" s="16" t="n">
        <x:v>166</x:v>
      </x:c>
      <x:c r="B167" s="16" t="str">
        <x:v>EXPERIMENT</x:v>
      </x:c>
      <x:c r="C167" s="16" t="str">
        <x:f>'Experiment_Coding_KT004'!A2</x:f>
        <x:v>PILOT_01_E01</x:v>
      </x:c>
      <x:c r="D167" s="16" t="str">
        <x:v>dataset_name</x:v>
      </x:c>
      <x:c r="E167" s="16" t="str">
        <x:f>'Experiment_Coding_KT004'!D2</x:f>
        <x:v>ASSISTments</x:v>
      </x:c>
      <x:c r="F167" s="16" t="str">
        <x:f>'Experiment_Coding_KT004'!BR2</x:f>
        <x:v>Sec. 3 Datasets; Appendix A; Table 2; Table 1; Appendix B</x:v>
      </x:c>
      <x:c r="G167" s="16" t="str">
        <x:v>HIGH</x:v>
      </x:c>
      <x:c r="H167" s="16" t="str">
        <x:v>N</x:v>
      </x:c>
      <x:c r="I167" s="16" t="str">
        <x:v>Coder A worked example</x:v>
      </x:c>
    </x:row>
    <x:row r="168">
      <x:c r="A168" s="16" t="n">
        <x:v>167</x:v>
      </x:c>
      <x:c r="B168" s="16" t="str">
        <x:v>EXPERIMENT</x:v>
      </x:c>
      <x:c r="C168" s="16" t="str">
        <x:f>'Experiment_Coding_KT004'!A2</x:f>
        <x:v>PILOT_01_E01</x:v>
      </x:c>
      <x:c r="D168" s="16" t="str">
        <x:v>dataset_version</x:v>
      </x:c>
      <x:c r="E168" s="16" t="str">
        <x:f>'Experiment_Coding_KT004'!E2</x:f>
        <x:v>2009-2010 Skill Builder</x:v>
      </x:c>
      <x:c r="F168" s="16" t="str">
        <x:f>'Experiment_Coding_KT004'!BR2</x:f>
        <x:v>Sec. 3 Datasets; Appendix A; Table 2; Table 1; Appendix B</x:v>
      </x:c>
      <x:c r="G168" s="16" t="str">
        <x:v>HIGH</x:v>
      </x:c>
      <x:c r="H168" s="16" t="str">
        <x:v>N</x:v>
      </x:c>
      <x:c r="I168" s="16" t="str">
        <x:v>Coder A worked example</x:v>
      </x:c>
    </x:row>
    <x:row r="169">
      <x:c r="A169" s="16" t="n">
        <x:v>168</x:v>
      </x:c>
      <x:c r="B169" s="16" t="str">
        <x:v>EXPERIMENT</x:v>
      </x:c>
      <x:c r="C169" s="16" t="str">
        <x:f>'Experiment_Coding_KT004'!A2</x:f>
        <x:v>PILOT_01_E01</x:v>
      </x:c>
      <x:c r="D169" s="16" t="str">
        <x:v>n_learners_reported</x:v>
      </x:c>
      <x:c r="E169" s="16" t="n">
        <x:f>'Experiment_Coding_KT004'!G2</x:f>
        <x:v>1000</x:v>
      </x:c>
      <x:c r="F169" s="16" t="str">
        <x:f>'Experiment_Coding_KT004'!BR2</x:f>
        <x:v>Sec. 3 Datasets; Appendix A; Table 2; Table 1; Appendix B</x:v>
      </x:c>
      <x:c r="G169" s="16" t="str">
        <x:v>HIGH</x:v>
      </x:c>
      <x:c r="H169" s="16" t="str">
        <x:v>N</x:v>
      </x:c>
      <x:c r="I169" s="16" t="str">
        <x:v>Coder A worked example</x:v>
      </x:c>
    </x:row>
    <x:row r="170">
      <x:c r="A170" s="16" t="n">
        <x:v>169</x:v>
      </x:c>
      <x:c r="B170" s="16" t="str">
        <x:v>EXPERIMENT</x:v>
      </x:c>
      <x:c r="C170" s="16" t="str">
        <x:f>'Experiment_Coding_KT004'!A2</x:f>
        <x:v>PILOT_01_E01</x:v>
      </x:c>
      <x:c r="D170" s="16" t="str">
        <x:v>n_items_reported</x:v>
      </x:c>
      <x:c r="E170" s="16" t="str">
        <x:f>'Experiment_Coding_KT004'!H2</x:f>
        <x:v>NR</x:v>
      </x:c>
      <x:c r="F170" s="16" t="str">
        <x:f>'Experiment_Coding_KT004'!BR2</x:f>
        <x:v>Sec. 3 Datasets; Appendix A; Table 2; Table 1; Appendix B</x:v>
      </x:c>
      <x:c r="G170" s="16" t="str">
        <x:v>HIGH</x:v>
      </x:c>
      <x:c r="H170" s="16" t="str">
        <x:v>N</x:v>
      </x:c>
      <x:c r="I170" s="16" t="str">
        <x:v>Coder A worked example</x:v>
      </x:c>
    </x:row>
    <x:row r="171">
      <x:c r="A171" s="16" t="n">
        <x:v>170</x:v>
      </x:c>
      <x:c r="B171" s="16" t="str">
        <x:v>EXPERIMENT</x:v>
      </x:c>
      <x:c r="C171" s="16" t="str">
        <x:f>'Experiment_Coding_KT004'!A2</x:f>
        <x:v>PILOT_01_E01</x:v>
      </x:c>
      <x:c r="D171" s="16" t="str">
        <x:v>n_kcs_reported</x:v>
      </x:c>
      <x:c r="E171" s="16" t="n">
        <x:f>'Experiment_Coding_KT004'!I2</x:f>
        <x:v>101</x:v>
      </x:c>
      <x:c r="F171" s="16" t="str">
        <x:f>'Experiment_Coding_KT004'!BR2</x:f>
        <x:v>Sec. 3 Datasets; Appendix A; Table 2; Table 1; Appendix B</x:v>
      </x:c>
      <x:c r="G171" s="16" t="str">
        <x:v>HIGH</x:v>
      </x:c>
      <x:c r="H171" s="16" t="str">
        <x:v>N</x:v>
      </x:c>
      <x:c r="I171" s="16" t="str">
        <x:v>Coder A worked example</x:v>
      </x:c>
    </x:row>
    <x:row r="172">
      <x:c r="A172" s="16" t="n">
        <x:v>171</x:v>
      </x:c>
      <x:c r="B172" s="16" t="str">
        <x:v>EXPERIMENT</x:v>
      </x:c>
      <x:c r="C172" s="16" t="str">
        <x:f>'Experiment_Coding_KT004'!A2</x:f>
        <x:v>PILOT_01_E01</x:v>
      </x:c>
      <x:c r="D172" s="16" t="str">
        <x:v>n_interactions_reported</x:v>
      </x:c>
      <x:c r="E172" s="16" t="n">
        <x:f>'Experiment_Coding_KT004'!J2</x:f>
        <x:v>62955</x:v>
      </x:c>
      <x:c r="F172" s="16" t="str">
        <x:f>'Experiment_Coding_KT004'!BR2</x:f>
        <x:v>Sec. 3 Datasets; Appendix A; Table 2; Table 1; Appendix B</x:v>
      </x:c>
      <x:c r="G172" s="16" t="str">
        <x:v>HIGH</x:v>
      </x:c>
      <x:c r="H172" s="16" t="str">
        <x:v>N</x:v>
      </x:c>
      <x:c r="I172" s="16" t="str">
        <x:v>Coder A worked example</x:v>
      </x:c>
    </x:row>
    <x:row r="173">
      <x:c r="A173" s="16" t="n">
        <x:v>172</x:v>
      </x:c>
      <x:c r="B173" s="16" t="str">
        <x:v>EXPERIMENT</x:v>
      </x:c>
      <x:c r="C173" s="16" t="str">
        <x:f>'Experiment_Coding_KT004'!A2</x:f>
        <x:v>PILOT_01_E01</x:v>
      </x:c>
      <x:c r="D173" s="16" t="str">
        <x:v>multi_skill_present</x:v>
      </x:c>
      <x:c r="E173" s="16" t="str">
        <x:f>'Experiment_Coding_KT004'!K2</x:f>
        <x:v>UNCLEAR</x:v>
      </x:c>
      <x:c r="F173" s="16" t="str">
        <x:f>'Experiment_Coding_KT004'!BR2</x:f>
        <x:v>Sec. 3 Datasets; Appendix A; Table 2; Table 1; Appendix B</x:v>
      </x:c>
      <x:c r="G173" s="16" t="str">
        <x:v>HIGH</x:v>
      </x:c>
      <x:c r="H173" s="16" t="str">
        <x:v>Y</x:v>
      </x:c>
      <x:c r="I173" s="16" t="str">
        <x:v>Coder A worked example</x:v>
      </x:c>
    </x:row>
    <x:row r="174">
      <x:c r="A174" s="16" t="n">
        <x:v>173</x:v>
      </x:c>
      <x:c r="B174" s="16" t="str">
        <x:v>EXPERIMENT</x:v>
      </x:c>
      <x:c r="C174" s="16" t="str">
        <x:f>'Experiment_Coding_KT004'!A2</x:f>
        <x:v>PILOT_01_E01</x:v>
      </x:c>
      <x:c r="D174" s="16" t="str">
        <x:v>multi_skill_handling</x:v>
      </x:c>
      <x:c r="E174" s="16" t="str">
        <x:f>'Experiment_Coding_KT004'!L2</x:f>
        <x:v>Combine simultaneous answer logs into one; extract named skill tags</x:v>
      </x:c>
      <x:c r="F174" s="16" t="str">
        <x:f>'Experiment_Coding_KT004'!BR2</x:f>
        <x:v>Sec. 3 Datasets; Appendix A; Table 2; Table 1; Appendix B</x:v>
      </x:c>
      <x:c r="G174" s="16" t="str">
        <x:v>HIGH</x:v>
      </x:c>
      <x:c r="H174" s="16" t="str">
        <x:v>N</x:v>
      </x:c>
      <x:c r="I174" s="16" t="str">
        <x:v>Coder A worked example</x:v>
      </x:c>
    </x:row>
    <x:row r="175">
      <x:c r="A175" s="16" t="n">
        <x:v>174</x:v>
      </x:c>
      <x:c r="B175" s="16" t="str">
        <x:v>EXPERIMENT</x:v>
      </x:c>
      <x:c r="C175" s="16" t="str">
        <x:f>'Experiment_Coding_KT004'!A2</x:f>
        <x:v>PILOT_01_E01</x:v>
      </x:c>
      <x:c r="D175" s="16" t="str">
        <x:v>sequence_truncation</x:v>
      </x:c>
      <x:c r="E175" s="16" t="str">
        <x:f>'Experiment_Coding_KT004'!M2</x:f>
        <x:v>NR</x:v>
      </x:c>
      <x:c r="F175" s="16" t="str">
        <x:f>'Experiment_Coding_KT004'!BR2</x:f>
        <x:v>Sec. 3 Datasets; Appendix A; Table 2; Table 1; Appendix B</x:v>
      </x:c>
      <x:c r="G175" s="16" t="str">
        <x:v>HIGH</x:v>
      </x:c>
      <x:c r="H175" s="16" t="str">
        <x:v>N</x:v>
      </x:c>
      <x:c r="I175" s="16" t="str">
        <x:v>Coder A worked example</x:v>
      </x:c>
    </x:row>
    <x:row r="176">
      <x:c r="A176" s="16" t="n">
        <x:v>175</x:v>
      </x:c>
      <x:c r="B176" s="16" t="str">
        <x:v>EXPERIMENT</x:v>
      </x:c>
      <x:c r="C176" s="16" t="str">
        <x:f>'Experiment_Coding_KT004'!A2</x:f>
        <x:v>PILOT_01_E01</x:v>
      </x:c>
      <x:c r="D176" s="16" t="str">
        <x:v>min_sequence_filter</x:v>
      </x:c>
      <x:c r="E176" s="16" t="str">
        <x:f>'Experiment_Coding_KT004'!N2</x:f>
        <x:v>NR</x:v>
      </x:c>
      <x:c r="F176" s="16" t="str">
        <x:f>'Experiment_Coding_KT004'!BR2</x:f>
        <x:v>Sec. 3 Datasets; Appendix A; Table 2; Table 1; Appendix B</x:v>
      </x:c>
      <x:c r="G176" s="16" t="str">
        <x:v>HIGH</x:v>
      </x:c>
      <x:c r="H176" s="16" t="str">
        <x:v>N</x:v>
      </x:c>
      <x:c r="I176" s="16" t="str">
        <x:v>Coder A worked example</x:v>
      </x:c>
    </x:row>
    <x:row r="177">
      <x:c r="A177" s="16" t="n">
        <x:v>176</x:v>
      </x:c>
      <x:c r="B177" s="16" t="str">
        <x:v>EXPERIMENT</x:v>
      </x:c>
      <x:c r="C177" s="16" t="str">
        <x:f>'Experiment_Coding_KT004'!A2</x:f>
        <x:v>PILOT_01_E01</x:v>
      </x:c>
      <x:c r="D177" s="16" t="str">
        <x:v>timestamp_used</x:v>
      </x:c>
      <x:c r="E177" s="16" t="str">
        <x:f>'Experiment_Coding_KT004'!O2</x:f>
        <x:v>UNCLEAR</x:v>
      </x:c>
      <x:c r="F177" s="16" t="str">
        <x:f>'Experiment_Coding_KT004'!BR2</x:f>
        <x:v>Sec. 3 Datasets; Appendix A; Table 2; Table 1; Appendix B</x:v>
      </x:c>
      <x:c r="G177" s="16" t="str">
        <x:v>HIGH</x:v>
      </x:c>
      <x:c r="H177" s="16" t="str">
        <x:v>Y</x:v>
      </x:c>
      <x:c r="I177" s="16" t="str">
        <x:v>Coder A worked example</x:v>
      </x:c>
    </x:row>
    <x:row r="178">
      <x:c r="A178" s="16" t="n">
        <x:v>177</x:v>
      </x:c>
      <x:c r="B178" s="16" t="str">
        <x:v>EXPERIMENT</x:v>
      </x:c>
      <x:c r="C178" s="16" t="str">
        <x:f>'Experiment_Coding_KT004'!A2</x:f>
        <x:v>PILOT_01_E01</x:v>
      </x:c>
      <x:c r="D178" s="16" t="str">
        <x:v>preprocessing_code_available</x:v>
      </x:c>
      <x:c r="E178" s="16" t="str">
        <x:f>'Experiment_Coding_KT004'!P2</x:f>
        <x:v>NR</x:v>
      </x:c>
      <x:c r="F178" s="16" t="str">
        <x:f>'Experiment_Coding_KT004'!BR2</x:f>
        <x:v>Sec. 3 Datasets; Appendix A; Table 2; Table 1; Appendix B</x:v>
      </x:c>
      <x:c r="G178" s="16" t="str">
        <x:v>HIGH</x:v>
      </x:c>
      <x:c r="H178" s="16" t="str">
        <x:v>Y</x:v>
      </x:c>
      <x:c r="I178" s="16" t="str">
        <x:v>Coder A worked example</x:v>
      </x:c>
    </x:row>
    <x:row r="179">
      <x:c r="A179" s="16" t="n">
        <x:v>178</x:v>
      </x:c>
      <x:c r="B179" s="16" t="str">
        <x:v>EXPERIMENT</x:v>
      </x:c>
      <x:c r="C179" s="16" t="str">
        <x:f>'Experiment_Coding_KT004'!A2</x:f>
        <x:v>PILOT_01_E01</x:v>
      </x:c>
      <x:c r="D179" s="16" t="str">
        <x:v>split_type</x:v>
      </x:c>
      <x:c r="E179" s="16" t="str">
        <x:f>'Experiment_Coding_KT004'!Q2</x:f>
        <x:v>LEARNER_BASED</x:v>
      </x:c>
      <x:c r="F179" s="16" t="str">
        <x:f>'Experiment_Coding_KT004'!BR2</x:f>
        <x:v>Sec. 3 Datasets; Appendix A; Table 2; Table 1; Appendix B</x:v>
      </x:c>
      <x:c r="G179" s="16" t="str">
        <x:v>HIGH</x:v>
      </x:c>
      <x:c r="H179" s="16" t="str">
        <x:v>Y</x:v>
      </x:c>
      <x:c r="I179" s="16" t="str">
        <x:v>Coder A worked example</x:v>
      </x:c>
    </x:row>
    <x:row r="180">
      <x:c r="A180" s="16" t="n">
        <x:v>179</x:v>
      </x:c>
      <x:c r="B180" s="16" t="str">
        <x:v>EXPERIMENT</x:v>
      </x:c>
      <x:c r="C180" s="16" t="str">
        <x:f>'Experiment_Coding_KT004'!A2</x:f>
        <x:v>PILOT_01_E01</x:v>
      </x:c>
      <x:c r="D180" s="16" t="str">
        <x:v>split_unit_original</x:v>
      </x:c>
      <x:c r="E180" s="16" t="str">
        <x:f>'Experiment_Coding_KT004'!R2</x:f>
        <x:v>students</x:v>
      </x:c>
      <x:c r="F180" s="16" t="str">
        <x:f>'Experiment_Coding_KT004'!BR2</x:f>
        <x:v>Sec. 3 Datasets; Appendix A; Table 2; Table 1; Appendix B</x:v>
      </x:c>
      <x:c r="G180" s="16" t="str">
        <x:v>HIGH</x:v>
      </x:c>
      <x:c r="H180" s="16" t="str">
        <x:v>N</x:v>
      </x:c>
      <x:c r="I180" s="16" t="str">
        <x:v>Coder A worked example</x:v>
      </x:c>
    </x:row>
    <x:row r="181">
      <x:c r="A181" s="16" t="n">
        <x:v>180</x:v>
      </x:c>
      <x:c r="B181" s="16" t="str">
        <x:v>EXPERIMENT</x:v>
      </x:c>
      <x:c r="C181" s="16" t="str">
        <x:f>'Experiment_Coding_KT004'!A2</x:f>
        <x:v>PILOT_01_E01</x:v>
      </x:c>
      <x:c r="D181" s="16" t="str">
        <x:v>train_fraction</x:v>
      </x:c>
      <x:c r="E181" s="16" t="n">
        <x:f>'Experiment_Coding_KT004'!S2</x:f>
        <x:v>0.8</x:v>
      </x:c>
      <x:c r="F181" s="16" t="str">
        <x:f>'Experiment_Coding_KT004'!BR2</x:f>
        <x:v>Sec. 3 Datasets; Appendix A; Table 2; Table 1; Appendix B</x:v>
      </x:c>
      <x:c r="G181" s="16" t="str">
        <x:v>HIGH</x:v>
      </x:c>
      <x:c r="H181" s="16" t="str">
        <x:v>N</x:v>
      </x:c>
      <x:c r="I181" s="16" t="str">
        <x:v>Coder A worked example</x:v>
      </x:c>
    </x:row>
    <x:row r="182">
      <x:c r="A182" s="16" t="n">
        <x:v>181</x:v>
      </x:c>
      <x:c r="B182" s="16" t="str">
        <x:v>EXPERIMENT</x:v>
      </x:c>
      <x:c r="C182" s="16" t="str">
        <x:f>'Experiment_Coding_KT004'!A2</x:f>
        <x:v>PILOT_01_E01</x:v>
      </x:c>
      <x:c r="D182" s="16" t="str">
        <x:v>validation_fraction</x:v>
      </x:c>
      <x:c r="E182" s="16" t="n">
        <x:f>'Experiment_Coding_KT004'!T2</x:f>
        <x:v>0.1</x:v>
      </x:c>
      <x:c r="F182" s="16" t="str">
        <x:f>'Experiment_Coding_KT004'!BR2</x:f>
        <x:v>Sec. 3 Datasets; Appendix A; Table 2; Table 1; Appendix B</x:v>
      </x:c>
      <x:c r="G182" s="16" t="str">
        <x:v>HIGH</x:v>
      </x:c>
      <x:c r="H182" s="16" t="str">
        <x:v>N</x:v>
      </x:c>
      <x:c r="I182" s="16" t="str">
        <x:v>Coder A worked example</x:v>
      </x:c>
    </x:row>
    <x:row r="183">
      <x:c r="A183" s="16" t="n">
        <x:v>182</x:v>
      </x:c>
      <x:c r="B183" s="16" t="str">
        <x:v>EXPERIMENT</x:v>
      </x:c>
      <x:c r="C183" s="16" t="str">
        <x:f>'Experiment_Coding_KT004'!A2</x:f>
        <x:v>PILOT_01_E01</x:v>
      </x:c>
      <x:c r="D183" s="16" t="str">
        <x:v>test_fraction</x:v>
      </x:c>
      <x:c r="E183" s="16" t="n">
        <x:f>'Experiment_Coding_KT004'!U2</x:f>
        <x:v>0.1</x:v>
      </x:c>
      <x:c r="F183" s="16" t="str">
        <x:f>'Experiment_Coding_KT004'!BR2</x:f>
        <x:v>Sec. 3 Datasets; Appendix A; Table 2; Table 1; Appendix B</x:v>
      </x:c>
      <x:c r="G183" s="16" t="str">
        <x:v>HIGH</x:v>
      </x:c>
      <x:c r="H183" s="16" t="str">
        <x:v>N</x:v>
      </x:c>
      <x:c r="I183" s="16" t="str">
        <x:v>Coder A worked example</x:v>
      </x:c>
    </x:row>
    <x:row r="184">
      <x:c r="A184" s="16" t="n">
        <x:v>183</x:v>
      </x:c>
      <x:c r="B184" s="16" t="str">
        <x:v>EXPERIMENT</x:v>
      </x:c>
      <x:c r="C184" s="16" t="str">
        <x:f>'Experiment_Coding_KT004'!A2</x:f>
        <x:v>PILOT_01_E01</x:v>
      </x:c>
      <x:c r="D184" s="16" t="str">
        <x:v>validation_set_separate</x:v>
      </x:c>
      <x:c r="E184" s="16" t="str">
        <x:f>'Experiment_Coding_KT004'!V2</x:f>
        <x:v>Y</x:v>
      </x:c>
      <x:c r="F184" s="16" t="str">
        <x:f>'Experiment_Coding_KT004'!BR2</x:f>
        <x:v>Sec. 3 Datasets; Appendix A; Table 2; Table 1; Appendix B</x:v>
      </x:c>
      <x:c r="G184" s="16" t="str">
        <x:v>HIGH</x:v>
      </x:c>
      <x:c r="H184" s="16" t="str">
        <x:v>Y</x:v>
      </x:c>
      <x:c r="I184" s="16" t="str">
        <x:v>Coder A worked example</x:v>
      </x:c>
    </x:row>
    <x:row r="185">
      <x:c r="A185" s="16" t="n">
        <x:v>184</x:v>
      </x:c>
      <x:c r="B185" s="16" t="str">
        <x:v>EXPERIMENT</x:v>
      </x:c>
      <x:c r="C185" s="16" t="str">
        <x:f>'Experiment_Coding_KT004'!A2</x:f>
        <x:v>PILOT_01_E01</x:v>
      </x:c>
      <x:c r="D185" s="16" t="str">
        <x:v>early_stopping_validation_only</x:v>
      </x:c>
      <x:c r="E185" s="16" t="str">
        <x:f>'Experiment_Coding_KT004'!W2</x:f>
        <x:v>UNCLEAR</x:v>
      </x:c>
      <x:c r="F185" s="16" t="str">
        <x:f>'Experiment_Coding_KT004'!BR2</x:f>
        <x:v>Sec. 3 Datasets; Appendix A; Table 2; Table 1; Appendix B</x:v>
      </x:c>
      <x:c r="G185" s="16" t="str">
        <x:v>HIGH</x:v>
      </x:c>
      <x:c r="H185" s="16" t="str">
        <x:v>Y</x:v>
      </x:c>
      <x:c r="I185" s="16" t="str">
        <x:v>Coder A worked example</x:v>
      </x:c>
    </x:row>
    <x:row r="186">
      <x:c r="A186" s="16" t="n">
        <x:v>185</x:v>
      </x:c>
      <x:c r="B186" s="16" t="str">
        <x:v>EXPERIMENT</x:v>
      </x:c>
      <x:c r="C186" s="16" t="str">
        <x:f>'Experiment_Coding_KT004'!A2</x:f>
        <x:v>PILOT_01_E01</x:v>
      </x:c>
      <x:c r="D186" s="16" t="str">
        <x:v>graph_train_only</x:v>
      </x:c>
      <x:c r="E186" s="16" t="str">
        <x:f>'Experiment_Coding_KT004'!X2</x:f>
        <x:v>NA</x:v>
      </x:c>
      <x:c r="F186" s="16" t="str">
        <x:f>'Experiment_Coding_KT004'!BR2</x:f>
        <x:v>Sec. 3 Datasets; Appendix A; Table 2; Table 1; Appendix B</x:v>
      </x:c>
      <x:c r="G186" s="16" t="str">
        <x:v>HIGH</x:v>
      </x:c>
      <x:c r="H186" s="16" t="str">
        <x:v>Y</x:v>
      </x:c>
      <x:c r="I186" s="16" t="str">
        <x:v>Coder A worked example</x:v>
      </x:c>
    </x:row>
    <x:row r="187">
      <x:c r="A187" s="16" t="n">
        <x:v>186</x:v>
      </x:c>
      <x:c r="B187" s="16" t="str">
        <x:v>EXPERIMENT</x:v>
      </x:c>
      <x:c r="C187" s="16" t="str">
        <x:f>'Experiment_Coding_KT004'!A2</x:f>
        <x:v>PILOT_01_E01</x:v>
      </x:c>
      <x:c r="D187" s="16" t="str">
        <x:v>normalization_train_only</x:v>
      </x:c>
      <x:c r="E187" s="16" t="str">
        <x:f>'Experiment_Coding_KT004'!Y2</x:f>
        <x:v>NR</x:v>
      </x:c>
      <x:c r="F187" s="16" t="str">
        <x:f>'Experiment_Coding_KT004'!BR2</x:f>
        <x:v>Sec. 3 Datasets; Appendix A; Table 2; Table 1; Appendix B</x:v>
      </x:c>
      <x:c r="G187" s="16" t="str">
        <x:v>HIGH</x:v>
      </x:c>
      <x:c r="H187" s="16" t="str">
        <x:v>Y</x:v>
      </x:c>
      <x:c r="I187" s="16" t="str">
        <x:v>Coder A worked example</x:v>
      </x:c>
    </x:row>
    <x:row r="188">
      <x:c r="A188" s="16" t="n">
        <x:v>187</x:v>
      </x:c>
      <x:c r="B188" s="16" t="str">
        <x:v>EXPERIMENT</x:v>
      </x:c>
      <x:c r="C188" s="16" t="str">
        <x:f>'Experiment_Coding_KT004'!A2</x:f>
        <x:v>PILOT_01_E01</x:v>
      </x:c>
      <x:c r="D188" s="16" t="str">
        <x:v>sparse_strata_train_only</x:v>
      </x:c>
      <x:c r="E188" s="16" t="str">
        <x:f>'Experiment_Coding_KT004'!Z2</x:f>
        <x:v>NA</x:v>
      </x:c>
      <x:c r="F188" s="16" t="str">
        <x:f>'Experiment_Coding_KT004'!BR2</x:f>
        <x:v>Sec. 3 Datasets; Appendix A; Table 2; Table 1; Appendix B</x:v>
      </x:c>
      <x:c r="G188" s="16" t="str">
        <x:v>HIGH</x:v>
      </x:c>
      <x:c r="H188" s="16" t="str">
        <x:v>Y</x:v>
      </x:c>
      <x:c r="I188" s="16" t="str">
        <x:v>Coder A worked example</x:v>
      </x:c>
    </x:row>
    <x:row r="189">
      <x:c r="A189" s="16" t="n">
        <x:v>188</x:v>
      </x:c>
      <x:c r="B189" s="16" t="str">
        <x:v>EXPERIMENT</x:v>
      </x:c>
      <x:c r="C189" s="16" t="str">
        <x:f>'Experiment_Coding_KT004'!A2</x:f>
        <x:v>PILOT_01_E01</x:v>
      </x:c>
      <x:c r="D189" s="16" t="str">
        <x:v>temporal_alignment_audited</x:v>
      </x:c>
      <x:c r="E189" s="16" t="str">
        <x:f>'Experiment_Coding_KT004'!AA2</x:f>
        <x:v>NR</x:v>
      </x:c>
      <x:c r="F189" s="16" t="str">
        <x:f>'Experiment_Coding_KT004'!BR2</x:f>
        <x:v>Sec. 3 Datasets; Appendix A; Table 2; Table 1; Appendix B</x:v>
      </x:c>
      <x:c r="G189" s="16" t="str">
        <x:v>HIGH</x:v>
      </x:c>
      <x:c r="H189" s="16" t="str">
        <x:v>Y</x:v>
      </x:c>
      <x:c r="I189" s="16" t="str">
        <x:v>Coder A worked example</x:v>
      </x:c>
    </x:row>
    <x:row r="190">
      <x:c r="A190" s="16" t="n">
        <x:v>189</x:v>
      </x:c>
      <x:c r="B190" s="16" t="str">
        <x:v>EXPERIMENT</x:v>
      </x:c>
      <x:c r="C190" s="16" t="str">
        <x:f>'Experiment_Coding_KT004'!A2</x:f>
        <x:v>PILOT_01_E01</x:v>
      </x:c>
      <x:c r="D190" s="16" t="str">
        <x:v>duplicate_entity_leakage_checked</x:v>
      </x:c>
      <x:c r="E190" s="16" t="str">
        <x:f>'Experiment_Coding_KT004'!AB2</x:f>
        <x:v>NR</x:v>
      </x:c>
      <x:c r="F190" s="16" t="str">
        <x:f>'Experiment_Coding_KT004'!BR2</x:f>
        <x:v>Sec. 3 Datasets; Appendix A; Table 2; Table 1; Appendix B</x:v>
      </x:c>
      <x:c r="G190" s="16" t="str">
        <x:v>HIGH</x:v>
      </x:c>
      <x:c r="H190" s="16" t="str">
        <x:v>Y</x:v>
      </x:c>
      <x:c r="I190" s="16" t="str">
        <x:v>Coder A worked example</x:v>
      </x:c>
    </x:row>
    <x:row r="191">
      <x:c r="A191" s="16" t="n">
        <x:v>190</x:v>
      </x:c>
      <x:c r="B191" s="16" t="str">
        <x:v>EXPERIMENT</x:v>
      </x:c>
      <x:c r="C191" s="16" t="str">
        <x:f>'Experiment_Coding_KT004'!A2</x:f>
        <x:v>PILOT_01_E01</x:v>
      </x:c>
      <x:c r="D191" s="16" t="str">
        <x:v>sparsity_construct</x:v>
      </x:c>
      <x:c r="E191" s="16" t="str">
        <x:f>'Experiment_Coding_KT004'!AC2</x:f>
        <x:v>NO_EXPLICIT_FOCUS</x:v>
      </x:c>
      <x:c r="F191" s="16" t="str">
        <x:f>'Experiment_Coding_KT004'!BR2</x:f>
        <x:v>Sec. 3 Datasets; Appendix A; Table 2; Table 1; Appendix B</x:v>
      </x:c>
      <x:c r="G191" s="16" t="str">
        <x:v>HIGH</x:v>
      </x:c>
      <x:c r="H191" s="16" t="str">
        <x:v>Y</x:v>
      </x:c>
      <x:c r="I191" s="16" t="str">
        <x:v>Coder A worked example</x:v>
      </x:c>
    </x:row>
    <x:row r="192">
      <x:c r="A192" s="16" t="n">
        <x:v>191</x:v>
      </x:c>
      <x:c r="B192" s="16" t="str">
        <x:v>EXPERIMENT</x:v>
      </x:c>
      <x:c r="C192" s="16" t="str">
        <x:f>'Experiment_Coding_KT004'!A2</x:f>
        <x:v>PILOT_01_E01</x:v>
      </x:c>
      <x:c r="D192" s="16" t="str">
        <x:v>sparse_definition_original</x:v>
      </x:c>
      <x:c r="E192" s="16" t="str">
        <x:f>'Experiment_Coding_KT004'!AD2</x:f>
        <x:v>NA</x:v>
      </x:c>
      <x:c r="F192" s="16" t="str">
        <x:f>'Experiment_Coding_KT004'!BR2</x:f>
        <x:v>Sec. 3 Datasets; Appendix A; Table 2; Table 1; Appendix B</x:v>
      </x:c>
      <x:c r="G192" s="16" t="str">
        <x:v>HIGH</x:v>
      </x:c>
      <x:c r="H192" s="16" t="str">
        <x:v>N</x:v>
      </x:c>
      <x:c r="I192" s="16" t="str">
        <x:v>Coder A worked example</x:v>
      </x:c>
    </x:row>
    <x:row r="193">
      <x:c r="A193" s="16" t="n">
        <x:v>192</x:v>
      </x:c>
      <x:c r="B193" s="16" t="str">
        <x:v>EXPERIMENT</x:v>
      </x:c>
      <x:c r="C193" s="16" t="str">
        <x:f>'Experiment_Coding_KT004'!A2</x:f>
        <x:v>PILOT_01_E01</x:v>
      </x:c>
      <x:c r="D193" s="16" t="str">
        <x:v>sparse_threshold_original</x:v>
      </x:c>
      <x:c r="E193" s="16" t="str">
        <x:f>'Experiment_Coding_KT004'!AE2</x:f>
        <x:v>NA</x:v>
      </x:c>
      <x:c r="F193" s="16" t="str">
        <x:f>'Experiment_Coding_KT004'!BR2</x:f>
        <x:v>Sec. 3 Datasets; Appendix A; Table 2; Table 1; Appendix B</x:v>
      </x:c>
      <x:c r="G193" s="16" t="str">
        <x:v>HIGH</x:v>
      </x:c>
      <x:c r="H193" s="16" t="str">
        <x:v>N</x:v>
      </x:c>
      <x:c r="I193" s="16" t="str">
        <x:v>Coder A worked example</x:v>
      </x:c>
    </x:row>
    <x:row r="194">
      <x:c r="A194" s="16" t="n">
        <x:v>193</x:v>
      </x:c>
      <x:c r="B194" s="16" t="str">
        <x:v>EXPERIMENT</x:v>
      </x:c>
      <x:c r="C194" s="16" t="str">
        <x:f>'Experiment_Coding_KT004'!A2</x:f>
        <x:v>PILOT_01_E01</x:v>
      </x:c>
      <x:c r="D194" s="16" t="str">
        <x:v>threshold_source</x:v>
      </x:c>
      <x:c r="E194" s="16" t="str">
        <x:f>'Experiment_Coding_KT004'!AF2</x:f>
        <x:v>NA</x:v>
      </x:c>
      <x:c r="F194" s="16" t="str">
        <x:f>'Experiment_Coding_KT004'!BR2</x:f>
        <x:v>Sec. 3 Datasets; Appendix A; Table 2; Table 1; Appendix B</x:v>
      </x:c>
      <x:c r="G194" s="16" t="str">
        <x:v>HIGH</x:v>
      </x:c>
      <x:c r="H194" s="16" t="str">
        <x:v>Y</x:v>
      </x:c>
      <x:c r="I194" s="16" t="str">
        <x:v>Coder A worked example</x:v>
      </x:c>
    </x:row>
    <x:row r="195">
      <x:c r="A195" s="16" t="n">
        <x:v>194</x:v>
      </x:c>
      <x:c r="B195" s="16" t="str">
        <x:v>EXPERIMENT</x:v>
      </x:c>
      <x:c r="C195" s="16" t="str">
        <x:f>'Experiment_Coding_KT004'!A2</x:f>
        <x:v>PILOT_01_E01</x:v>
      </x:c>
      <x:c r="D195" s="16" t="str">
        <x:v>frequency_computed_on</x:v>
      </x:c>
      <x:c r="E195" s="16" t="str">
        <x:f>'Experiment_Coding_KT004'!AG2</x:f>
        <x:v>NA</x:v>
      </x:c>
      <x:c r="F195" s="16" t="str">
        <x:f>'Experiment_Coding_KT004'!BR2</x:f>
        <x:v>Sec. 3 Datasets; Appendix A; Table 2; Table 1; Appendix B</x:v>
      </x:c>
      <x:c r="G195" s="16" t="str">
        <x:v>HIGH</x:v>
      </x:c>
      <x:c r="H195" s="16" t="str">
        <x:v>Y</x:v>
      </x:c>
      <x:c r="I195" s="16" t="str">
        <x:v>Coder A worked example</x:v>
      </x:c>
    </x:row>
    <x:row r="196">
      <x:c r="A196" s="16" t="n">
        <x:v>195</x:v>
      </x:c>
      <x:c r="B196" s="16" t="str">
        <x:v>EXPERIMENT</x:v>
      </x:c>
      <x:c r="C196" s="16" t="str">
        <x:f>'Experiment_Coding_KT004'!A2</x:f>
        <x:v>PILOT_01_E01</x:v>
      </x:c>
      <x:c r="D196" s="16" t="str">
        <x:v>strict_zero_train_verified</x:v>
      </x:c>
      <x:c r="E196" s="16" t="str">
        <x:f>'Experiment_Coding_KT004'!AH2</x:f>
        <x:v>NA</x:v>
      </x:c>
      <x:c r="F196" s="16" t="str">
        <x:f>'Experiment_Coding_KT004'!BR2</x:f>
        <x:v>Sec. 3 Datasets; Appendix A; Table 2; Table 1; Appendix B</x:v>
      </x:c>
      <x:c r="G196" s="16" t="str">
        <x:v>HIGH</x:v>
      </x:c>
      <x:c r="H196" s="16" t="str">
        <x:v>Y</x:v>
      </x:c>
      <x:c r="I196" s="16" t="str">
        <x:v>Coder A worked example</x:v>
      </x:c>
    </x:row>
    <x:row r="197">
      <x:c r="A197" s="16" t="n">
        <x:v>196</x:v>
      </x:c>
      <x:c r="B197" s="16" t="str">
        <x:v>EXPERIMENT</x:v>
      </x:c>
      <x:c r="C197" s="16" t="str">
        <x:f>'Experiment_Coding_KT004'!A2</x:f>
        <x:v>PILOT_01_E01</x:v>
      </x:c>
      <x:c r="D197" s="16" t="str">
        <x:v>external_info_for_unseen_kc</x:v>
      </x:c>
      <x:c r="E197" s="16" t="str">
        <x:f>'Experiment_Coding_KT004'!AI2</x:f>
        <x:v>NA</x:v>
      </x:c>
      <x:c r="F197" s="16" t="str">
        <x:f>'Experiment_Coding_KT004'!BR2</x:f>
        <x:v>Sec. 3 Datasets; Appendix A; Table 2; Table 1; Appendix B</x:v>
      </x:c>
      <x:c r="G197" s="16" t="str">
        <x:v>HIGH</x:v>
      </x:c>
      <x:c r="H197" s="16" t="str">
        <x:v>Y</x:v>
      </x:c>
      <x:c r="I197" s="16" t="str">
        <x:v>Coder A worked example</x:v>
      </x:c>
    </x:row>
    <x:row r="198">
      <x:c r="A198" s="16" t="n">
        <x:v>197</x:v>
      </x:c>
      <x:c r="B198" s="16" t="str">
        <x:v>EXPERIMENT</x:v>
      </x:c>
      <x:c r="C198" s="16" t="str">
        <x:f>'Experiment_Coding_KT004'!A2</x:f>
        <x:v>PILOT_01_E01</x:v>
      </x:c>
      <x:c r="D198" s="16" t="str">
        <x:v>support_kcs</x:v>
      </x:c>
      <x:c r="E198" s="16" t="str">
        <x:f>'Experiment_Coding_KT004'!AJ2</x:f>
        <x:v>NA</x:v>
      </x:c>
      <x:c r="F198" s="16" t="str">
        <x:f>'Experiment_Coding_KT004'!BR2</x:f>
        <x:v>Sec. 3 Datasets; Appendix A; Table 2; Table 1; Appendix B</x:v>
      </x:c>
      <x:c r="G198" s="16" t="str">
        <x:v>HIGH</x:v>
      </x:c>
      <x:c r="H198" s="16" t="str">
        <x:v>N</x:v>
      </x:c>
      <x:c r="I198" s="16" t="str">
        <x:v>Coder A worked example</x:v>
      </x:c>
    </x:row>
    <x:row r="199">
      <x:c r="A199" s="16" t="n">
        <x:v>198</x:v>
      </x:c>
      <x:c r="B199" s="16" t="str">
        <x:v>EXPERIMENT</x:v>
      </x:c>
      <x:c r="C199" s="16" t="str">
        <x:f>'Experiment_Coding_KT004'!A2</x:f>
        <x:v>PILOT_01_E01</x:v>
      </x:c>
      <x:c r="D199" s="16" t="str">
        <x:v>support_learners</x:v>
      </x:c>
      <x:c r="E199" s="16" t="str">
        <x:f>'Experiment_Coding_KT004'!AK2</x:f>
        <x:v>NA</x:v>
      </x:c>
      <x:c r="F199" s="16" t="str">
        <x:f>'Experiment_Coding_KT004'!BR2</x:f>
        <x:v>Sec. 3 Datasets; Appendix A; Table 2; Table 1; Appendix B</x:v>
      </x:c>
      <x:c r="G199" s="16" t="str">
        <x:v>HIGH</x:v>
      </x:c>
      <x:c r="H199" s="16" t="str">
        <x:v>N</x:v>
      </x:c>
      <x:c r="I199" s="16" t="str">
        <x:v>Coder A worked example</x:v>
      </x:c>
    </x:row>
    <x:row r="200">
      <x:c r="A200" s="16" t="n">
        <x:v>199</x:v>
      </x:c>
      <x:c r="B200" s="16" t="str">
        <x:v>EXPERIMENT</x:v>
      </x:c>
      <x:c r="C200" s="16" t="str">
        <x:f>'Experiment_Coding_KT004'!A2</x:f>
        <x:v>PILOT_01_E01</x:v>
      </x:c>
      <x:c r="D200" s="16" t="str">
        <x:v>support_items</x:v>
      </x:c>
      <x:c r="E200" s="16" t="str">
        <x:f>'Experiment_Coding_KT004'!AL2</x:f>
        <x:v>NA</x:v>
      </x:c>
      <x:c r="F200" s="16" t="str">
        <x:f>'Experiment_Coding_KT004'!BR2</x:f>
        <x:v>Sec. 3 Datasets; Appendix A; Table 2; Table 1; Appendix B</x:v>
      </x:c>
      <x:c r="G200" s="16" t="str">
        <x:v>HIGH</x:v>
      </x:c>
      <x:c r="H200" s="16" t="str">
        <x:v>N</x:v>
      </x:c>
      <x:c r="I200" s="16" t="str">
        <x:v>Coder A worked example</x:v>
      </x:c>
    </x:row>
    <x:row r="201">
      <x:c r="A201" s="16" t="n">
        <x:v>200</x:v>
      </x:c>
      <x:c r="B201" s="16" t="str">
        <x:v>EXPERIMENT</x:v>
      </x:c>
      <x:c r="C201" s="16" t="str">
        <x:f>'Experiment_Coding_KT004'!A2</x:f>
        <x:v>PILOT_01_E01</x:v>
      </x:c>
      <x:c r="D201" s="16" t="str">
        <x:v>support_test_interactions</x:v>
      </x:c>
      <x:c r="E201" s="16" t="str">
        <x:f>'Experiment_Coding_KT004'!AM2</x:f>
        <x:v>NA</x:v>
      </x:c>
      <x:c r="F201" s="16" t="str">
        <x:f>'Experiment_Coding_KT004'!BR2</x:f>
        <x:v>Sec. 3 Datasets; Appendix A; Table 2; Table 1; Appendix B</x:v>
      </x:c>
      <x:c r="G201" s="16" t="str">
        <x:v>HIGH</x:v>
      </x:c>
      <x:c r="H201" s="16" t="str">
        <x:v>N</x:v>
      </x:c>
      <x:c r="I201" s="16" t="str">
        <x:v>Coder A worked example</x:v>
      </x:c>
    </x:row>
    <x:row r="202">
      <x:c r="A202" s="16" t="n">
        <x:v>201</x:v>
      </x:c>
      <x:c r="B202" s="16" t="str">
        <x:v>EXPERIMENT</x:v>
      </x:c>
      <x:c r="C202" s="16" t="str">
        <x:f>'Experiment_Coding_KT004'!A2</x:f>
        <x:v>PILOT_01_E01</x:v>
      </x:c>
      <x:c r="D202" s="16" t="str">
        <x:v>positive_count</x:v>
      </x:c>
      <x:c r="E202" s="16" t="str">
        <x:f>'Experiment_Coding_KT004'!AN2</x:f>
        <x:v>NA</x:v>
      </x:c>
      <x:c r="F202" s="16" t="str">
        <x:f>'Experiment_Coding_KT004'!BR2</x:f>
        <x:v>Sec. 3 Datasets; Appendix A; Table 2; Table 1; Appendix B</x:v>
      </x:c>
      <x:c r="G202" s="16" t="str">
        <x:v>HIGH</x:v>
      </x:c>
      <x:c r="H202" s="16" t="str">
        <x:v>N</x:v>
      </x:c>
      <x:c r="I202" s="16" t="str">
        <x:v>Coder A worked example</x:v>
      </x:c>
    </x:row>
    <x:row r="203">
      <x:c r="A203" s="16" t="n">
        <x:v>202</x:v>
      </x:c>
      <x:c r="B203" s="16" t="str">
        <x:v>EXPERIMENT</x:v>
      </x:c>
      <x:c r="C203" s="16" t="str">
        <x:f>'Experiment_Coding_KT004'!A2</x:f>
        <x:v>PILOT_01_E01</x:v>
      </x:c>
      <x:c r="D203" s="16" t="str">
        <x:v>negative_count</x:v>
      </x:c>
      <x:c r="E203" s="16" t="str">
        <x:f>'Experiment_Coding_KT004'!AO2</x:f>
        <x:v>NA</x:v>
      </x:c>
      <x:c r="F203" s="16" t="str">
        <x:f>'Experiment_Coding_KT004'!BR2</x:f>
        <x:v>Sec. 3 Datasets; Appendix A; Table 2; Table 1; Appendix B</x:v>
      </x:c>
      <x:c r="G203" s="16" t="str">
        <x:v>HIGH</x:v>
      </x:c>
      <x:c r="H203" s="16" t="str">
        <x:v>N</x:v>
      </x:c>
      <x:c r="I203" s="16" t="str">
        <x:v>Coder A worked example</x:v>
      </x:c>
    </x:row>
    <x:row r="204">
      <x:c r="A204" s="16" t="n">
        <x:v>203</x:v>
      </x:c>
      <x:c r="B204" s="16" t="str">
        <x:v>EXPERIMENT</x:v>
      </x:c>
      <x:c r="C204" s="16" t="str">
        <x:f>'Experiment_Coding_KT004'!A2</x:f>
        <x:v>PILOT_01_E01</x:v>
      </x:c>
      <x:c r="D204" s="16" t="str">
        <x:v>metric_name_original</x:v>
      </x:c>
      <x:c r="E204" s="16" t="str">
        <x:f>'Experiment_Coding_KT004'!AP2</x:f>
        <x:v>AUC</x:v>
      </x:c>
      <x:c r="F204" s="16" t="str">
        <x:f>'Experiment_Coding_KT004'!BR2</x:f>
        <x:v>Sec. 3 Datasets; Appendix A; Table 2; Table 1; Appendix B</x:v>
      </x:c>
      <x:c r="G204" s="16" t="str">
        <x:v>HIGH</x:v>
      </x:c>
      <x:c r="H204" s="16" t="str">
        <x:v>N</x:v>
      </x:c>
      <x:c r="I204" s="16" t="str">
        <x:v>Coder A worked example</x:v>
      </x:c>
    </x:row>
    <x:row r="205">
      <x:c r="A205" s="16" t="n">
        <x:v>204</x:v>
      </x:c>
      <x:c r="B205" s="16" t="str">
        <x:v>EXPERIMENT</x:v>
      </x:c>
      <x:c r="C205" s="16" t="str">
        <x:f>'Experiment_Coding_KT004'!A2</x:f>
        <x:v>PILOT_01_E01</x:v>
      </x:c>
      <x:c r="D205" s="16" t="str">
        <x:v>metric_value_original</x:v>
      </x:c>
      <x:c r="E205" s="16" t="n">
        <x:f>'Experiment_Coding_KT004'!AQ2</x:f>
        <x:v>0.722</x:v>
      </x:c>
      <x:c r="F205" s="16" t="str">
        <x:f>'Experiment_Coding_KT004'!BR2</x:f>
        <x:v>Sec. 3 Datasets; Appendix A; Table 2; Table 1; Appendix B</x:v>
      </x:c>
      <x:c r="G205" s="16" t="str">
        <x:v>HIGH</x:v>
      </x:c>
      <x:c r="H205" s="16" t="str">
        <x:v>N</x:v>
      </x:c>
      <x:c r="I205" s="16" t="str">
        <x:v>Coder A worked example</x:v>
      </x:c>
    </x:row>
    <x:row r="206">
      <x:c r="A206" s="16" t="n">
        <x:v>205</x:v>
      </x:c>
      <x:c r="B206" s="16" t="str">
        <x:v>EXPERIMENT</x:v>
      </x:c>
      <x:c r="C206" s="16" t="str">
        <x:f>'Experiment_Coding_KT004'!A2</x:f>
        <x:v>PILOT_01_E01</x:v>
      </x:c>
      <x:c r="D206" s="16" t="str">
        <x:v>metric_scope</x:v>
      </x:c>
      <x:c r="E206" s="16" t="str">
        <x:f>'Experiment_Coding_KT004'!AR2</x:f>
        <x:v>OVERALL</x:v>
      </x:c>
      <x:c r="F206" s="16" t="str">
        <x:f>'Experiment_Coding_KT004'!BR2</x:f>
        <x:v>Sec. 3 Datasets; Appendix A; Table 2; Table 1; Appendix B</x:v>
      </x:c>
      <x:c r="G206" s="16" t="str">
        <x:v>HIGH</x:v>
      </x:c>
      <x:c r="H206" s="16" t="str">
        <x:v>Y</x:v>
      </x:c>
      <x:c r="I206" s="16" t="str">
        <x:v>Coder A worked example</x:v>
      </x:c>
    </x:row>
    <x:row r="207">
      <x:c r="A207" s="16" t="n">
        <x:v>206</x:v>
      </x:c>
      <x:c r="B207" s="16" t="str">
        <x:v>EXPERIMENT</x:v>
      </x:c>
      <x:c r="C207" s="16" t="str">
        <x:f>'Experiment_Coding_KT004'!A2</x:f>
        <x:v>PILOT_01_E01</x:v>
      </x:c>
      <x:c r="D207" s="16" t="str">
        <x:v>n_seeds</x:v>
      </x:c>
      <x:c r="E207" s="16" t="str">
        <x:f>'Experiment_Coding_KT004'!AS2</x:f>
        <x:v>NR</x:v>
      </x:c>
      <x:c r="F207" s="16" t="str">
        <x:f>'Experiment_Coding_KT004'!BR2</x:f>
        <x:v>Sec. 3 Datasets; Appendix A; Table 2; Table 1; Appendix B</x:v>
      </x:c>
      <x:c r="G207" s="16" t="str">
        <x:v>HIGH</x:v>
      </x:c>
      <x:c r="H207" s="16" t="str">
        <x:v>N</x:v>
      </x:c>
      <x:c r="I207" s="16" t="str">
        <x:v>Coder A worked example</x:v>
      </x:c>
    </x:row>
    <x:row r="208">
      <x:c r="A208" s="16" t="n">
        <x:v>207</x:v>
      </x:c>
      <x:c r="B208" s="16" t="str">
        <x:v>EXPERIMENT</x:v>
      </x:c>
      <x:c r="C208" s="16" t="str">
        <x:f>'Experiment_Coding_KT004'!A2</x:f>
        <x:v>PILOT_01_E01</x:v>
      </x:c>
      <x:c r="D208" s="16" t="str">
        <x:v>seed_values_reported</x:v>
      </x:c>
      <x:c r="E208" s="16" t="str">
        <x:f>'Experiment_Coding_KT004'!AT2</x:f>
        <x:v>NR</x:v>
      </x:c>
      <x:c r="F208" s="16" t="str">
        <x:f>'Experiment_Coding_KT004'!BR2</x:f>
        <x:v>Sec. 3 Datasets; Appendix A; Table 2; Table 1; Appendix B</x:v>
      </x:c>
      <x:c r="G208" s="16" t="str">
        <x:v>HIGH</x:v>
      </x:c>
      <x:c r="H208" s="16" t="str">
        <x:v>N</x:v>
      </x:c>
      <x:c r="I208" s="16" t="str">
        <x:v>Coder A worked example</x:v>
      </x:c>
    </x:row>
    <x:row r="209">
      <x:c r="A209" s="16" t="n">
        <x:v>208</x:v>
      </x:c>
      <x:c r="B209" s="16" t="str">
        <x:v>EXPERIMENT</x:v>
      </x:c>
      <x:c r="C209" s="16" t="str">
        <x:f>'Experiment_Coding_KT004'!A2</x:f>
        <x:v>PILOT_01_E01</x:v>
      </x:c>
      <x:c r="D209" s="16" t="str">
        <x:v>mean_std_reported</x:v>
      </x:c>
      <x:c r="E209" s="16" t="str">
        <x:f>'Experiment_Coding_KT004'!AU2</x:f>
        <x:v>N</x:v>
      </x:c>
      <x:c r="F209" s="16" t="str">
        <x:f>'Experiment_Coding_KT004'!BR2</x:f>
        <x:v>Sec. 3 Datasets; Appendix A; Table 2; Table 1; Appendix B</x:v>
      </x:c>
      <x:c r="G209" s="16" t="str">
        <x:v>HIGH</x:v>
      </x:c>
      <x:c r="H209" s="16" t="str">
        <x:v>Y</x:v>
      </x:c>
      <x:c r="I209" s="16" t="str">
        <x:v>Coder A worked example</x:v>
      </x:c>
    </x:row>
    <x:row r="210">
      <x:c r="A210" s="16" t="n">
        <x:v>209</x:v>
      </x:c>
      <x:c r="B210" s="16" t="str">
        <x:v>EXPERIMENT</x:v>
      </x:c>
      <x:c r="C210" s="16" t="str">
        <x:f>'Experiment_Coding_KT004'!A2</x:f>
        <x:v>PILOT_01_E01</x:v>
      </x:c>
      <x:c r="D210" s="16" t="str">
        <x:v>confidence_interval</x:v>
      </x:c>
      <x:c r="E210" s="16" t="str">
        <x:f>'Experiment_Coding_KT004'!AV2</x:f>
        <x:v>NR</x:v>
      </x:c>
      <x:c r="F210" s="16" t="str">
        <x:f>'Experiment_Coding_KT004'!BR2</x:f>
        <x:v>Sec. 3 Datasets; Appendix A; Table 2; Table 1; Appendix B</x:v>
      </x:c>
      <x:c r="G210" s="16" t="str">
        <x:v>HIGH</x:v>
      </x:c>
      <x:c r="H210" s="16" t="str">
        <x:v>N</x:v>
      </x:c>
      <x:c r="I210" s="16" t="str">
        <x:v>Coder A worked example</x:v>
      </x:c>
    </x:row>
    <x:row r="211">
      <x:c r="A211" s="16" t="n">
        <x:v>210</x:v>
      </x:c>
      <x:c r="B211" s="16" t="str">
        <x:v>EXPERIMENT</x:v>
      </x:c>
      <x:c r="C211" s="16" t="str">
        <x:f>'Experiment_Coding_KT004'!A2</x:f>
        <x:v>PILOT_01_E01</x:v>
      </x:c>
      <x:c r="D211" s="16" t="str">
        <x:v>bootstrap_unit</x:v>
      </x:c>
      <x:c r="E211" s="16" t="str">
        <x:f>'Experiment_Coding_KT004'!AW2</x:f>
        <x:v>NA</x:v>
      </x:c>
      <x:c r="F211" s="16" t="str">
        <x:f>'Experiment_Coding_KT004'!BR2</x:f>
        <x:v>Sec. 3 Datasets; Appendix A; Table 2; Table 1; Appendix B</x:v>
      </x:c>
      <x:c r="G211" s="16" t="str">
        <x:v>HIGH</x:v>
      </x:c>
      <x:c r="H211" s="16" t="str">
        <x:v>Y</x:v>
      </x:c>
      <x:c r="I211" s="16" t="str">
        <x:v>Coder A worked example</x:v>
      </x:c>
    </x:row>
    <x:row r="212">
      <x:c r="A212" s="16" t="n">
        <x:v>211</x:v>
      </x:c>
      <x:c r="B212" s="16" t="str">
        <x:v>EXPERIMENT</x:v>
      </x:c>
      <x:c r="C212" s="16" t="str">
        <x:f>'Experiment_Coding_KT004'!A2</x:f>
        <x:v>PILOT_01_E01</x:v>
      </x:c>
      <x:c r="D212" s="16" t="str">
        <x:v>statistical_test</x:v>
      </x:c>
      <x:c r="E212" s="16" t="str">
        <x:f>'Experiment_Coding_KT004'!AX2</x:f>
        <x:v>NR</x:v>
      </x:c>
      <x:c r="F212" s="16" t="str">
        <x:f>'Experiment_Coding_KT004'!BR2</x:f>
        <x:v>Sec. 3 Datasets; Appendix A; Table 2; Table 1; Appendix B</x:v>
      </x:c>
      <x:c r="G212" s="16" t="str">
        <x:v>HIGH</x:v>
      </x:c>
      <x:c r="H212" s="16" t="str">
        <x:v>N</x:v>
      </x:c>
      <x:c r="I212" s="16" t="str">
        <x:v>Coder A worked example</x:v>
      </x:c>
    </x:row>
    <x:row r="213">
      <x:c r="A213" s="16" t="n">
        <x:v>212</x:v>
      </x:c>
      <x:c r="B213" s="16" t="str">
        <x:v>EXPERIMENT</x:v>
      </x:c>
      <x:c r="C213" s="16" t="str">
        <x:f>'Experiment_Coding_KT004'!A2</x:f>
        <x:v>PILOT_01_E01</x:v>
      </x:c>
      <x:c r="D213" s="16" t="str">
        <x:v>multiple_comparison_correction</x:v>
      </x:c>
      <x:c r="E213" s="16" t="str">
        <x:f>'Experiment_Coding_KT004'!AY2</x:f>
        <x:v>NR</x:v>
      </x:c>
      <x:c r="F213" s="16" t="str">
        <x:f>'Experiment_Coding_KT004'!BR2</x:f>
        <x:v>Sec. 3 Datasets; Appendix A; Table 2; Table 1; Appendix B</x:v>
      </x:c>
      <x:c r="G213" s="16" t="str">
        <x:v>HIGH</x:v>
      </x:c>
      <x:c r="H213" s="16" t="str">
        <x:v>N</x:v>
      </x:c>
      <x:c r="I213" s="16" t="str">
        <x:v>Coder A worked example</x:v>
      </x:c>
    </x:row>
    <x:row r="214">
      <x:c r="A214" s="16" t="n">
        <x:v>213</x:v>
      </x:c>
      <x:c r="B214" s="16" t="str">
        <x:v>EXPERIMENT</x:v>
      </x:c>
      <x:c r="C214" s="16" t="str">
        <x:f>'Experiment_Coding_KT004'!A2</x:f>
        <x:v>PILOT_01_E01</x:v>
      </x:c>
      <x:c r="D214" s="16" t="str">
        <x:v>effect_size</x:v>
      </x:c>
      <x:c r="E214" s="16" t="str">
        <x:f>'Experiment_Coding_KT004'!AZ2</x:f>
        <x:v>NR</x:v>
      </x:c>
      <x:c r="F214" s="16" t="str">
        <x:f>'Experiment_Coding_KT004'!BR2</x:f>
        <x:v>Sec. 3 Datasets; Appendix A; Table 2; Table 1; Appendix B</x:v>
      </x:c>
      <x:c r="G214" s="16" t="str">
        <x:v>HIGH</x:v>
      </x:c>
      <x:c r="H214" s="16" t="str">
        <x:v>N</x:v>
      </x:c>
      <x:c r="I214" s="16" t="str">
        <x:v>Coder A worked example</x:v>
      </x:c>
    </x:row>
    <x:row r="215">
      <x:c r="A215" s="16" t="n">
        <x:v>214</x:v>
      </x:c>
      <x:c r="B215" s="16" t="str">
        <x:v>EXPERIMENT</x:v>
      </x:c>
      <x:c r="C215" s="16" t="str">
        <x:f>'Experiment_Coding_KT004'!A2</x:f>
        <x:v>PILOT_01_E01</x:v>
      </x:c>
      <x:c r="D215" s="16" t="str">
        <x:v>paired_design</x:v>
      </x:c>
      <x:c r="E215" s="16" t="str">
        <x:f>'Experiment_Coding_KT004'!BA2</x:f>
        <x:v>NR</x:v>
      </x:c>
      <x:c r="F215" s="16" t="str">
        <x:f>'Experiment_Coding_KT004'!BR2</x:f>
        <x:v>Sec. 3 Datasets; Appendix A; Table 2; Table 1; Appendix B</x:v>
      </x:c>
      <x:c r="G215" s="16" t="str">
        <x:v>HIGH</x:v>
      </x:c>
      <x:c r="H215" s="16" t="str">
        <x:v>Y</x:v>
      </x:c>
      <x:c r="I215" s="16" t="str">
        <x:v>Coder A worked example</x:v>
      </x:c>
    </x:row>
    <x:row r="216">
      <x:c r="A216" s="16" t="n">
        <x:v>215</x:v>
      </x:c>
      <x:c r="B216" s="16" t="str">
        <x:v>EXPERIMENT</x:v>
      </x:c>
      <x:c r="C216" s="16" t="str">
        <x:f>'Experiment_Coding_KT004'!A2</x:f>
        <x:v>PILOT_01_E01</x:v>
      </x:c>
      <x:c r="D216" s="16" t="str">
        <x:v>significance_threshold</x:v>
      </x:c>
      <x:c r="E216" s="16" t="str">
        <x:f>'Experiment_Coding_KT004'!BB2</x:f>
        <x:v>NR</x:v>
      </x:c>
      <x:c r="F216" s="16" t="str">
        <x:f>'Experiment_Coding_KT004'!BR2</x:f>
        <x:v>Sec. 3 Datasets; Appendix A; Table 2; Table 1; Appendix B</x:v>
      </x:c>
      <x:c r="G216" s="16" t="str">
        <x:v>HIGH</x:v>
      </x:c>
      <x:c r="H216" s="16" t="str">
        <x:v>N</x:v>
      </x:c>
      <x:c r="I216" s="16" t="str">
        <x:v>Coder A worked example</x:v>
      </x:c>
    </x:row>
    <x:row r="217">
      <x:c r="A217" s="16" t="n">
        <x:v>216</x:v>
      </x:c>
      <x:c r="B217" s="16" t="str">
        <x:v>EXPERIMENT</x:v>
      </x:c>
      <x:c r="C217" s="16" t="str">
        <x:f>'Experiment_Coding_KT004'!A2</x:f>
        <x:v>PILOT_01_E01</x:v>
      </x:c>
      <x:c r="D217" s="16" t="str">
        <x:v>parameter_count</x:v>
      </x:c>
      <x:c r="E217" s="16" t="str">
        <x:f>'Experiment_Coding_KT004'!BC2</x:f>
        <x:v>NR</x:v>
      </x:c>
      <x:c r="F217" s="16" t="str">
        <x:f>'Experiment_Coding_KT004'!BR2</x:f>
        <x:v>Sec. 3 Datasets; Appendix A; Table 2; Table 1; Appendix B</x:v>
      </x:c>
      <x:c r="G217" s="16" t="str">
        <x:v>HIGH</x:v>
      </x:c>
      <x:c r="H217" s="16" t="str">
        <x:v>N</x:v>
      </x:c>
      <x:c r="I217" s="16" t="str">
        <x:v>Coder A worked example</x:v>
      </x:c>
    </x:row>
    <x:row r="218">
      <x:c r="A218" s="16" t="n">
        <x:v>217</x:v>
      </x:c>
      <x:c r="B218" s="16" t="str">
        <x:v>EXPERIMENT</x:v>
      </x:c>
      <x:c r="C218" s="16" t="str">
        <x:f>'Experiment_Coding_KT004'!A2</x:f>
        <x:v>PILOT_01_E01</x:v>
      </x:c>
      <x:c r="D218" s="16" t="str">
        <x:v>train_time</x:v>
      </x:c>
      <x:c r="E218" s="16" t="str">
        <x:f>'Experiment_Coding_KT004'!BD2</x:f>
        <x:v>NR</x:v>
      </x:c>
      <x:c r="F218" s="16" t="str">
        <x:f>'Experiment_Coding_KT004'!BR2</x:f>
        <x:v>Sec. 3 Datasets; Appendix A; Table 2; Table 1; Appendix B</x:v>
      </x:c>
      <x:c r="G218" s="16" t="str">
        <x:v>HIGH</x:v>
      </x:c>
      <x:c r="H218" s="16" t="str">
        <x:v>N</x:v>
      </x:c>
      <x:c r="I218" s="16" t="str">
        <x:v>Coder A worked example</x:v>
      </x:c>
    </x:row>
    <x:row r="219">
      <x:c r="A219" s="16" t="n">
        <x:v>218</x:v>
      </x:c>
      <x:c r="B219" s="16" t="str">
        <x:v>EXPERIMENT</x:v>
      </x:c>
      <x:c r="C219" s="16" t="str">
        <x:f>'Experiment_Coding_KT004'!A2</x:f>
        <x:v>PILOT_01_E01</x:v>
      </x:c>
      <x:c r="D219" s="16" t="str">
        <x:v>time_per_epoch</x:v>
      </x:c>
      <x:c r="E219" s="16" t="str">
        <x:f>'Experiment_Coding_KT004'!BE2</x:f>
        <x:v>NR</x:v>
      </x:c>
      <x:c r="F219" s="16" t="str">
        <x:f>'Experiment_Coding_KT004'!BR2</x:f>
        <x:v>Sec. 3 Datasets; Appendix A; Table 2; Table 1; Appendix B</x:v>
      </x:c>
      <x:c r="G219" s="16" t="str">
        <x:v>HIGH</x:v>
      </x:c>
      <x:c r="H219" s="16" t="str">
        <x:v>N</x:v>
      </x:c>
      <x:c r="I219" s="16" t="str">
        <x:v>Coder A worked example</x:v>
      </x:c>
    </x:row>
    <x:row r="220">
      <x:c r="A220" s="16" t="n">
        <x:v>219</x:v>
      </x:c>
      <x:c r="B220" s="16" t="str">
        <x:v>EXPERIMENT</x:v>
      </x:c>
      <x:c r="C220" s="16" t="str">
        <x:f>'Experiment_Coding_KT004'!A2</x:f>
        <x:v>PILOT_01_E01</x:v>
      </x:c>
      <x:c r="D220" s="16" t="str">
        <x:v>inference_latency</x:v>
      </x:c>
      <x:c r="E220" s="16" t="str">
        <x:f>'Experiment_Coding_KT004'!BF2</x:f>
        <x:v>NR</x:v>
      </x:c>
      <x:c r="F220" s="16" t="str">
        <x:f>'Experiment_Coding_KT004'!BR2</x:f>
        <x:v>Sec. 3 Datasets; Appendix A; Table 2; Table 1; Appendix B</x:v>
      </x:c>
      <x:c r="G220" s="16" t="str">
        <x:v>HIGH</x:v>
      </x:c>
      <x:c r="H220" s="16" t="str">
        <x:v>N</x:v>
      </x:c>
      <x:c r="I220" s="16" t="str">
        <x:v>Coder A worked example</x:v>
      </x:c>
    </x:row>
    <x:row r="221">
      <x:c r="A221" s="16" t="n">
        <x:v>220</x:v>
      </x:c>
      <x:c r="B221" s="16" t="str">
        <x:v>EXPERIMENT</x:v>
      </x:c>
      <x:c r="C221" s="16" t="str">
        <x:f>'Experiment_Coding_KT004'!A2</x:f>
        <x:v>PILOT_01_E01</x:v>
      </x:c>
      <x:c r="D221" s="16" t="str">
        <x:v>throughput</x:v>
      </x:c>
      <x:c r="E221" s="16" t="str">
        <x:f>'Experiment_Coding_KT004'!BG2</x:f>
        <x:v>NR</x:v>
      </x:c>
      <x:c r="F221" s="16" t="str">
        <x:f>'Experiment_Coding_KT004'!BR2</x:f>
        <x:v>Sec. 3 Datasets; Appendix A; Table 2; Table 1; Appendix B</x:v>
      </x:c>
      <x:c r="G221" s="16" t="str">
        <x:v>HIGH</x:v>
      </x:c>
      <x:c r="H221" s="16" t="str">
        <x:v>N</x:v>
      </x:c>
      <x:c r="I221" s="16" t="str">
        <x:v>Coder A worked example</x:v>
      </x:c>
    </x:row>
    <x:row r="222">
      <x:c r="A222" s="16" t="n">
        <x:v>221</x:v>
      </x:c>
      <x:c r="B222" s="16" t="str">
        <x:v>EXPERIMENT</x:v>
      </x:c>
      <x:c r="C222" s="16" t="str">
        <x:f>'Experiment_Coding_KT004'!A2</x:f>
        <x:v>PILOT_01_E01</x:v>
      </x:c>
      <x:c r="D222" s="16" t="str">
        <x:v>cpu_ram</x:v>
      </x:c>
      <x:c r="E222" s="16" t="str">
        <x:f>'Experiment_Coding_KT004'!BH2</x:f>
        <x:v>NR</x:v>
      </x:c>
      <x:c r="F222" s="16" t="str">
        <x:f>'Experiment_Coding_KT004'!BR2</x:f>
        <x:v>Sec. 3 Datasets; Appendix A; Table 2; Table 1; Appendix B</x:v>
      </x:c>
      <x:c r="G222" s="16" t="str">
        <x:v>HIGH</x:v>
      </x:c>
      <x:c r="H222" s="16" t="str">
        <x:v>N</x:v>
      </x:c>
      <x:c r="I222" s="16" t="str">
        <x:v>Coder A worked example</x:v>
      </x:c>
    </x:row>
    <x:row r="223">
      <x:c r="A223" s="16" t="n">
        <x:v>222</x:v>
      </x:c>
      <x:c r="B223" s="16" t="str">
        <x:v>EXPERIMENT</x:v>
      </x:c>
      <x:c r="C223" s="16" t="str">
        <x:f>'Experiment_Coding_KT004'!A2</x:f>
        <x:v>PILOT_01_E01</x:v>
      </x:c>
      <x:c r="D223" s="16" t="str">
        <x:v>gpu_vram</x:v>
      </x:c>
      <x:c r="E223" s="16" t="str">
        <x:f>'Experiment_Coding_KT004'!BI2</x:f>
        <x:v>NR</x:v>
      </x:c>
      <x:c r="F223" s="16" t="str">
        <x:f>'Experiment_Coding_KT004'!BR2</x:f>
        <x:v>Sec. 3 Datasets; Appendix A; Table 2; Table 1; Appendix B</x:v>
      </x:c>
      <x:c r="G223" s="16" t="str">
        <x:v>HIGH</x:v>
      </x:c>
      <x:c r="H223" s="16" t="str">
        <x:v>N</x:v>
      </x:c>
      <x:c r="I223" s="16" t="str">
        <x:v>Coder A worked example</x:v>
      </x:c>
    </x:row>
    <x:row r="224">
      <x:c r="A224" s="16" t="n">
        <x:v>223</x:v>
      </x:c>
      <x:c r="B224" s="16" t="str">
        <x:v>EXPERIMENT</x:v>
      </x:c>
      <x:c r="C224" s="16" t="str">
        <x:f>'Experiment_Coding_KT004'!A2</x:f>
        <x:v>PILOT_01_E01</x:v>
      </x:c>
      <x:c r="D224" s="16" t="str">
        <x:v>hardware</x:v>
      </x:c>
      <x:c r="E224" s="16" t="str">
        <x:f>'Experiment_Coding_KT004'!BJ2</x:f>
        <x:v>NR</x:v>
      </x:c>
      <x:c r="F224" s="16" t="str">
        <x:f>'Experiment_Coding_KT004'!BR2</x:f>
        <x:v>Sec. 3 Datasets; Appendix A; Table 2; Table 1; Appendix B</x:v>
      </x:c>
      <x:c r="G224" s="16" t="str">
        <x:v>HIGH</x:v>
      </x:c>
      <x:c r="H224" s="16" t="str">
        <x:v>N</x:v>
      </x:c>
      <x:c r="I224" s="16" t="str">
        <x:v>Coder A worked example</x:v>
      </x:c>
    </x:row>
    <x:row r="225">
      <x:c r="A225" s="16" t="n">
        <x:v>224</x:v>
      </x:c>
      <x:c r="B225" s="16" t="str">
        <x:v>EXPERIMENT</x:v>
      </x:c>
      <x:c r="C225" s="16" t="str">
        <x:f>'Experiment_Coding_KT004'!A2</x:f>
        <x:v>PILOT_01_E01</x:v>
      </x:c>
      <x:c r="D225" s="16" t="str">
        <x:v>graph_construction_time</x:v>
      </x:c>
      <x:c r="E225" s="16" t="str">
        <x:f>'Experiment_Coding_KT004'!BK2</x:f>
        <x:v>NR</x:v>
      </x:c>
      <x:c r="F225" s="16" t="str">
        <x:f>'Experiment_Coding_KT004'!BR2</x:f>
        <x:v>Sec. 3 Datasets; Appendix A; Table 2; Table 1; Appendix B</x:v>
      </x:c>
      <x:c r="G225" s="16" t="str">
        <x:v>HIGH</x:v>
      </x:c>
      <x:c r="H225" s="16" t="str">
        <x:v>N</x:v>
      </x:c>
      <x:c r="I225" s="16" t="str">
        <x:v>Coder A worked example</x:v>
      </x:c>
    </x:row>
    <x:row r="226">
      <x:c r="A226" s="16" t="n">
        <x:v>225</x:v>
      </x:c>
      <x:c r="B226" s="16" t="str">
        <x:v>EXPERIMENT</x:v>
      </x:c>
      <x:c r="C226" s="16" t="str">
        <x:f>'Experiment_Coding_KT004'!A2</x:f>
        <x:v>PILOT_01_E01</x:v>
      </x:c>
      <x:c r="D226" s="16" t="str">
        <x:v>complexity_formula</x:v>
      </x:c>
      <x:c r="E226" s="16" t="str">
        <x:f>'Experiment_Coding_KT004'!BL2</x:f>
        <x:v>NR</x:v>
      </x:c>
      <x:c r="F226" s="16" t="str">
        <x:f>'Experiment_Coding_KT004'!BR2</x:f>
        <x:v>Sec. 3 Datasets; Appendix A; Table 2; Table 1; Appendix B</x:v>
      </x:c>
      <x:c r="G226" s="16" t="str">
        <x:v>HIGH</x:v>
      </x:c>
      <x:c r="H226" s="16" t="str">
        <x:v>N</x:v>
      </x:c>
      <x:c r="I226" s="16" t="str">
        <x:v>Coder A worked example</x:v>
      </x:c>
    </x:row>
    <x:row r="227">
      <x:c r="A227" s="16" t="n">
        <x:v>226</x:v>
      </x:c>
      <x:c r="B227" s="16" t="str">
        <x:v>EXPERIMENT</x:v>
      </x:c>
      <x:c r="C227" s="16" t="str">
        <x:f>'Experiment_Coding_KT004'!A2</x:f>
        <x:v>PILOT_01_E01</x:v>
      </x:c>
      <x:c r="D227" s="16" t="str">
        <x:v>scale_up_experiment</x:v>
      </x:c>
      <x:c r="E227" s="16" t="str">
        <x:f>'Experiment_Coding_KT004'!BM2</x:f>
        <x:v>N</x:v>
      </x:c>
      <x:c r="F227" s="16" t="str">
        <x:f>'Experiment_Coding_KT004'!BR2</x:f>
        <x:v>Sec. 3 Datasets; Appendix A; Table 2; Table 1; Appendix B</x:v>
      </x:c>
      <x:c r="G227" s="16" t="str">
        <x:v>HIGH</x:v>
      </x:c>
      <x:c r="H227" s="16" t="str">
        <x:v>Y</x:v>
      </x:c>
      <x:c r="I227" s="16" t="str">
        <x:v>Coder A worked example</x:v>
      </x:c>
    </x:row>
    <x:row r="228">
      <x:c r="A228" s="16" t="n">
        <x:v>227</x:v>
      </x:c>
      <x:c r="B228" s="16" t="str">
        <x:v>EXPERIMENT</x:v>
      </x:c>
      <x:c r="C228" s="16" t="str">
        <x:f>'Experiment_Coding_KT004'!A2</x:f>
        <x:v>PILOT_01_E01</x:v>
      </x:c>
      <x:c r="D228" s="16" t="str">
        <x:v>oom_timeout_reported</x:v>
      </x:c>
      <x:c r="E228" s="16" t="str">
        <x:f>'Experiment_Coding_KT004'!BN2</x:f>
        <x:v>NR</x:v>
      </x:c>
      <x:c r="F228" s="16" t="str">
        <x:f>'Experiment_Coding_KT004'!BR2</x:f>
        <x:v>Sec. 3 Datasets; Appendix A; Table 2; Table 1; Appendix B</x:v>
      </x:c>
      <x:c r="G228" s="16" t="str">
        <x:v>HIGH</x:v>
      </x:c>
      <x:c r="H228" s="16" t="str">
        <x:v>Y</x:v>
      </x:c>
      <x:c r="I228" s="16" t="str">
        <x:v>Coder A worked example</x:v>
      </x:c>
    </x:row>
    <x:row r="229">
      <x:c r="A229" s="16" t="n">
        <x:v>228</x:v>
      </x:c>
      <x:c r="B229" s="16" t="str">
        <x:v>EXPERIMENT</x:v>
      </x:c>
      <x:c r="C229" s="16" t="str">
        <x:f>'Experiment_Coding_KT004'!A3</x:f>
        <x:v>PILOT_01_E02</x:v>
      </x:c>
      <x:c r="D229" s="16" t="str">
        <x:v>dataset_name</x:v>
      </x:c>
      <x:c r="E229" s="16" t="str">
        <x:f>'Experiment_Coding_KT004'!D3</x:f>
        <x:v>KDDCup</x:v>
      </x:c>
      <x:c r="F229" s="16" t="str">
        <x:f>'Experiment_Coding_KT004'!BR3</x:f>
        <x:v>Sec. 3 Datasets; Appendix A; Table 2; Table 1; Appendix B</x:v>
      </x:c>
      <x:c r="G229" s="16" t="str">
        <x:v>HIGH</x:v>
      </x:c>
      <x:c r="H229" s="16" t="str">
        <x:v>N</x:v>
      </x:c>
      <x:c r="I229" s="16" t="str">
        <x:v>Coder A worked example</x:v>
      </x:c>
    </x:row>
    <x:row r="230">
      <x:c r="A230" s="16" t="n">
        <x:v>229</x:v>
      </x:c>
      <x:c r="B230" s="16" t="str">
        <x:v>EXPERIMENT</x:v>
      </x:c>
      <x:c r="C230" s="16" t="str">
        <x:f>'Experiment_Coding_KT004'!A3</x:f>
        <x:v>PILOT_01_E02</x:v>
      </x:c>
      <x:c r="D230" s="16" t="str">
        <x:v>dataset_version</x:v>
      </x:c>
      <x:c r="E230" s="16" t="str">
        <x:f>'Experiment_Coding_KT004'!E3</x:f>
        <x:v>Bridge to Algebra 2006-2007</x:v>
      </x:c>
      <x:c r="F230" s="16" t="str">
        <x:f>'Experiment_Coding_KT004'!BR3</x:f>
        <x:v>Sec. 3 Datasets; Appendix A; Table 2; Table 1; Appendix B</x:v>
      </x:c>
      <x:c r="G230" s="16" t="str">
        <x:v>HIGH</x:v>
      </x:c>
      <x:c r="H230" s="16" t="str">
        <x:v>N</x:v>
      </x:c>
      <x:c r="I230" s="16" t="str">
        <x:v>Coder A worked example</x:v>
      </x:c>
    </x:row>
    <x:row r="231">
      <x:c r="A231" s="16" t="n">
        <x:v>230</x:v>
      </x:c>
      <x:c r="B231" s="16" t="str">
        <x:v>EXPERIMENT</x:v>
      </x:c>
      <x:c r="C231" s="16" t="str">
        <x:f>'Experiment_Coding_KT004'!A3</x:f>
        <x:v>PILOT_01_E02</x:v>
      </x:c>
      <x:c r="D231" s="16" t="str">
        <x:v>n_learners_reported</x:v>
      </x:c>
      <x:c r="E231" s="16" t="n">
        <x:f>'Experiment_Coding_KT004'!G3</x:f>
        <x:v>1000</x:v>
      </x:c>
      <x:c r="F231" s="16" t="str">
        <x:f>'Experiment_Coding_KT004'!BR3</x:f>
        <x:v>Sec. 3 Datasets; Appendix A; Table 2; Table 1; Appendix B</x:v>
      </x:c>
      <x:c r="G231" s="16" t="str">
        <x:v>HIGH</x:v>
      </x:c>
      <x:c r="H231" s="16" t="str">
        <x:v>N</x:v>
      </x:c>
      <x:c r="I231" s="16" t="str">
        <x:v>Coder A worked example</x:v>
      </x:c>
    </x:row>
    <x:row r="232">
      <x:c r="A232" s="16" t="n">
        <x:v>231</x:v>
      </x:c>
      <x:c r="B232" s="16" t="str">
        <x:v>EXPERIMENT</x:v>
      </x:c>
      <x:c r="C232" s="16" t="str">
        <x:f>'Experiment_Coding_KT004'!A3</x:f>
        <x:v>PILOT_01_E02</x:v>
      </x:c>
      <x:c r="D232" s="16" t="str">
        <x:v>n_items_reported</x:v>
      </x:c>
      <x:c r="E232" s="16" t="str">
        <x:f>'Experiment_Coding_KT004'!H3</x:f>
        <x:v>NR</x:v>
      </x:c>
      <x:c r="F232" s="16" t="str">
        <x:f>'Experiment_Coding_KT004'!BR3</x:f>
        <x:v>Sec. 3 Datasets; Appendix A; Table 2; Table 1; Appendix B</x:v>
      </x:c>
      <x:c r="G232" s="16" t="str">
        <x:v>HIGH</x:v>
      </x:c>
      <x:c r="H232" s="16" t="str">
        <x:v>N</x:v>
      </x:c>
      <x:c r="I232" s="16" t="str">
        <x:v>Coder A worked example</x:v>
      </x:c>
    </x:row>
    <x:row r="233">
      <x:c r="A233" s="16" t="n">
        <x:v>232</x:v>
      </x:c>
      <x:c r="B233" s="16" t="str">
        <x:v>EXPERIMENT</x:v>
      </x:c>
      <x:c r="C233" s="16" t="str">
        <x:f>'Experiment_Coding_KT004'!A3</x:f>
        <x:v>PILOT_01_E02</x:v>
      </x:c>
      <x:c r="D233" s="16" t="str">
        <x:v>n_kcs_reported</x:v>
      </x:c>
      <x:c r="E233" s="16" t="n">
        <x:f>'Experiment_Coding_KT004'!I3</x:f>
        <x:v>211</x:v>
      </x:c>
      <x:c r="F233" s="16" t="str">
        <x:f>'Experiment_Coding_KT004'!BR3</x:f>
        <x:v>Sec. 3 Datasets; Appendix A; Table 2; Table 1; Appendix B</x:v>
      </x:c>
      <x:c r="G233" s="16" t="str">
        <x:v>HIGH</x:v>
      </x:c>
      <x:c r="H233" s="16" t="str">
        <x:v>N</x:v>
      </x:c>
      <x:c r="I233" s="16" t="str">
        <x:v>Coder A worked example</x:v>
      </x:c>
    </x:row>
    <x:row r="234">
      <x:c r="A234" s="16" t="n">
        <x:v>233</x:v>
      </x:c>
      <x:c r="B234" s="16" t="str">
        <x:v>EXPERIMENT</x:v>
      </x:c>
      <x:c r="C234" s="16" t="str">
        <x:f>'Experiment_Coding_KT004'!A3</x:f>
        <x:v>PILOT_01_E02</x:v>
      </x:c>
      <x:c r="D234" s="16" t="str">
        <x:v>n_interactions_reported</x:v>
      </x:c>
      <x:c r="E234" s="16" t="n">
        <x:f>'Experiment_Coding_KT004'!J3</x:f>
        <x:v>98200</x:v>
      </x:c>
      <x:c r="F234" s="16" t="str">
        <x:f>'Experiment_Coding_KT004'!BR3</x:f>
        <x:v>Sec. 3 Datasets; Appendix A; Table 2; Table 1; Appendix B</x:v>
      </x:c>
      <x:c r="G234" s="16" t="str">
        <x:v>HIGH</x:v>
      </x:c>
      <x:c r="H234" s="16" t="str">
        <x:v>N</x:v>
      </x:c>
      <x:c r="I234" s="16" t="str">
        <x:v>Coder A worked example</x:v>
      </x:c>
    </x:row>
    <x:row r="235">
      <x:c r="A235" s="16" t="n">
        <x:v>234</x:v>
      </x:c>
      <x:c r="B235" s="16" t="str">
        <x:v>EXPERIMENT</x:v>
      </x:c>
      <x:c r="C235" s="16" t="str">
        <x:f>'Experiment_Coding_KT004'!A3</x:f>
        <x:v>PILOT_01_E02</x:v>
      </x:c>
      <x:c r="D235" s="16" t="str">
        <x:v>multi_skill_present</x:v>
      </x:c>
      <x:c r="E235" s="16" t="str">
        <x:f>'Experiment_Coding_KT004'!K3</x:f>
        <x:v>UNCLEAR</x:v>
      </x:c>
      <x:c r="F235" s="16" t="str">
        <x:f>'Experiment_Coding_KT004'!BR3</x:f>
        <x:v>Sec. 3 Datasets; Appendix A; Table 2; Table 1; Appendix B</x:v>
      </x:c>
      <x:c r="G235" s="16" t="str">
        <x:v>HIGH</x:v>
      </x:c>
      <x:c r="H235" s="16" t="str">
        <x:v>Y</x:v>
      </x:c>
      <x:c r="I235" s="16" t="str">
        <x:v>Coder A worked example</x:v>
      </x:c>
    </x:row>
    <x:row r="236">
      <x:c r="A236" s="16" t="n">
        <x:v>235</x:v>
      </x:c>
      <x:c r="B236" s="16" t="str">
        <x:v>EXPERIMENT</x:v>
      </x:c>
      <x:c r="C236" s="16" t="str">
        <x:f>'Experiment_Coding_KT004'!A3</x:f>
        <x:v>PILOT_01_E02</x:v>
      </x:c>
      <x:c r="D236" s="16" t="str">
        <x:v>multi_skill_handling</x:v>
      </x:c>
      <x:c r="E236" s="16" t="str">
        <x:f>'Experiment_Coding_KT004'!L3</x:f>
        <x:v>Combine simultaneous answer logs into one; extract named skill tags</x:v>
      </x:c>
      <x:c r="F236" s="16" t="str">
        <x:f>'Experiment_Coding_KT004'!BR3</x:f>
        <x:v>Sec. 3 Datasets; Appendix A; Table 2; Table 1; Appendix B</x:v>
      </x:c>
      <x:c r="G236" s="16" t="str">
        <x:v>HIGH</x:v>
      </x:c>
      <x:c r="H236" s="16" t="str">
        <x:v>N</x:v>
      </x:c>
      <x:c r="I236" s="16" t="str">
        <x:v>Coder A worked example</x:v>
      </x:c>
    </x:row>
    <x:row r="237">
      <x:c r="A237" s="16" t="n">
        <x:v>236</x:v>
      </x:c>
      <x:c r="B237" s="16" t="str">
        <x:v>EXPERIMENT</x:v>
      </x:c>
      <x:c r="C237" s="16" t="str">
        <x:f>'Experiment_Coding_KT004'!A3</x:f>
        <x:v>PILOT_01_E02</x:v>
      </x:c>
      <x:c r="D237" s="16" t="str">
        <x:v>sequence_truncation</x:v>
      </x:c>
      <x:c r="E237" s="16" t="str">
        <x:f>'Experiment_Coding_KT004'!M3</x:f>
        <x:v>NR</x:v>
      </x:c>
      <x:c r="F237" s="16" t="str">
        <x:f>'Experiment_Coding_KT004'!BR3</x:f>
        <x:v>Sec. 3 Datasets; Appendix A; Table 2; Table 1; Appendix B</x:v>
      </x:c>
      <x:c r="G237" s="16" t="str">
        <x:v>HIGH</x:v>
      </x:c>
      <x:c r="H237" s="16" t="str">
        <x:v>N</x:v>
      </x:c>
      <x:c r="I237" s="16" t="str">
        <x:v>Coder A worked example</x:v>
      </x:c>
    </x:row>
    <x:row r="238">
      <x:c r="A238" s="16" t="n">
        <x:v>237</x:v>
      </x:c>
      <x:c r="B238" s="16" t="str">
        <x:v>EXPERIMENT</x:v>
      </x:c>
      <x:c r="C238" s="16" t="str">
        <x:f>'Experiment_Coding_KT004'!A3</x:f>
        <x:v>PILOT_01_E02</x:v>
      </x:c>
      <x:c r="D238" s="16" t="str">
        <x:v>min_sequence_filter</x:v>
      </x:c>
      <x:c r="E238" s="16" t="str">
        <x:f>'Experiment_Coding_KT004'!N3</x:f>
        <x:v>NR</x:v>
      </x:c>
      <x:c r="F238" s="16" t="str">
        <x:f>'Experiment_Coding_KT004'!BR3</x:f>
        <x:v>Sec. 3 Datasets; Appendix A; Table 2; Table 1; Appendix B</x:v>
      </x:c>
      <x:c r="G238" s="16" t="str">
        <x:v>HIGH</x:v>
      </x:c>
      <x:c r="H238" s="16" t="str">
        <x:v>N</x:v>
      </x:c>
      <x:c r="I238" s="16" t="str">
        <x:v>Coder A worked example</x:v>
      </x:c>
    </x:row>
    <x:row r="239">
      <x:c r="A239" s="16" t="n">
        <x:v>238</x:v>
      </x:c>
      <x:c r="B239" s="16" t="str">
        <x:v>EXPERIMENT</x:v>
      </x:c>
      <x:c r="C239" s="16" t="str">
        <x:f>'Experiment_Coding_KT004'!A3</x:f>
        <x:v>PILOT_01_E02</x:v>
      </x:c>
      <x:c r="D239" s="16" t="str">
        <x:v>timestamp_used</x:v>
      </x:c>
      <x:c r="E239" s="16" t="str">
        <x:f>'Experiment_Coding_KT004'!O3</x:f>
        <x:v>UNCLEAR</x:v>
      </x:c>
      <x:c r="F239" s="16" t="str">
        <x:f>'Experiment_Coding_KT004'!BR3</x:f>
        <x:v>Sec. 3 Datasets; Appendix A; Table 2; Table 1; Appendix B</x:v>
      </x:c>
      <x:c r="G239" s="16" t="str">
        <x:v>HIGH</x:v>
      </x:c>
      <x:c r="H239" s="16" t="str">
        <x:v>Y</x:v>
      </x:c>
      <x:c r="I239" s="16" t="str">
        <x:v>Coder A worked example</x:v>
      </x:c>
    </x:row>
    <x:row r="240">
      <x:c r="A240" s="16" t="n">
        <x:v>239</x:v>
      </x:c>
      <x:c r="B240" s="16" t="str">
        <x:v>EXPERIMENT</x:v>
      </x:c>
      <x:c r="C240" s="16" t="str">
        <x:f>'Experiment_Coding_KT004'!A3</x:f>
        <x:v>PILOT_01_E02</x:v>
      </x:c>
      <x:c r="D240" s="16" t="str">
        <x:v>preprocessing_code_available</x:v>
      </x:c>
      <x:c r="E240" s="16" t="str">
        <x:f>'Experiment_Coding_KT004'!P3</x:f>
        <x:v>NR</x:v>
      </x:c>
      <x:c r="F240" s="16" t="str">
        <x:f>'Experiment_Coding_KT004'!BR3</x:f>
        <x:v>Sec. 3 Datasets; Appendix A; Table 2; Table 1; Appendix B</x:v>
      </x:c>
      <x:c r="G240" s="16" t="str">
        <x:v>HIGH</x:v>
      </x:c>
      <x:c r="H240" s="16" t="str">
        <x:v>Y</x:v>
      </x:c>
      <x:c r="I240" s="16" t="str">
        <x:v>Coder A worked example</x:v>
      </x:c>
    </x:row>
    <x:row r="241">
      <x:c r="A241" s="16" t="n">
        <x:v>240</x:v>
      </x:c>
      <x:c r="B241" s="16" t="str">
        <x:v>EXPERIMENT</x:v>
      </x:c>
      <x:c r="C241" s="16" t="str">
        <x:f>'Experiment_Coding_KT004'!A3</x:f>
        <x:v>PILOT_01_E02</x:v>
      </x:c>
      <x:c r="D241" s="16" t="str">
        <x:v>split_type</x:v>
      </x:c>
      <x:c r="E241" s="16" t="str">
        <x:f>'Experiment_Coding_KT004'!Q3</x:f>
        <x:v>LEARNER_BASED</x:v>
      </x:c>
      <x:c r="F241" s="16" t="str">
        <x:f>'Experiment_Coding_KT004'!BR3</x:f>
        <x:v>Sec. 3 Datasets; Appendix A; Table 2; Table 1; Appendix B</x:v>
      </x:c>
      <x:c r="G241" s="16" t="str">
        <x:v>HIGH</x:v>
      </x:c>
      <x:c r="H241" s="16" t="str">
        <x:v>Y</x:v>
      </x:c>
      <x:c r="I241" s="16" t="str">
        <x:v>Coder A worked example</x:v>
      </x:c>
    </x:row>
    <x:row r="242">
      <x:c r="A242" s="16" t="n">
        <x:v>241</x:v>
      </x:c>
      <x:c r="B242" s="16" t="str">
        <x:v>EXPERIMENT</x:v>
      </x:c>
      <x:c r="C242" s="16" t="str">
        <x:f>'Experiment_Coding_KT004'!A3</x:f>
        <x:v>PILOT_01_E02</x:v>
      </x:c>
      <x:c r="D242" s="16" t="str">
        <x:v>split_unit_original</x:v>
      </x:c>
      <x:c r="E242" s="16" t="str">
        <x:f>'Experiment_Coding_KT004'!R3</x:f>
        <x:v>students</x:v>
      </x:c>
      <x:c r="F242" s="16" t="str">
        <x:f>'Experiment_Coding_KT004'!BR3</x:f>
        <x:v>Sec. 3 Datasets; Appendix A; Table 2; Table 1; Appendix B</x:v>
      </x:c>
      <x:c r="G242" s="16" t="str">
        <x:v>HIGH</x:v>
      </x:c>
      <x:c r="H242" s="16" t="str">
        <x:v>N</x:v>
      </x:c>
      <x:c r="I242" s="16" t="str">
        <x:v>Coder A worked example</x:v>
      </x:c>
    </x:row>
    <x:row r="243">
      <x:c r="A243" s="16" t="n">
        <x:v>242</x:v>
      </x:c>
      <x:c r="B243" s="16" t="str">
        <x:v>EXPERIMENT</x:v>
      </x:c>
      <x:c r="C243" s="16" t="str">
        <x:f>'Experiment_Coding_KT004'!A3</x:f>
        <x:v>PILOT_01_E02</x:v>
      </x:c>
      <x:c r="D243" s="16" t="str">
        <x:v>train_fraction</x:v>
      </x:c>
      <x:c r="E243" s="16" t="n">
        <x:f>'Experiment_Coding_KT004'!S3</x:f>
        <x:v>0.8</x:v>
      </x:c>
      <x:c r="F243" s="16" t="str">
        <x:f>'Experiment_Coding_KT004'!BR3</x:f>
        <x:v>Sec. 3 Datasets; Appendix A; Table 2; Table 1; Appendix B</x:v>
      </x:c>
      <x:c r="G243" s="16" t="str">
        <x:v>HIGH</x:v>
      </x:c>
      <x:c r="H243" s="16" t="str">
        <x:v>N</x:v>
      </x:c>
      <x:c r="I243" s="16" t="str">
        <x:v>Coder A worked example</x:v>
      </x:c>
    </x:row>
    <x:row r="244">
      <x:c r="A244" s="16" t="n">
        <x:v>243</x:v>
      </x:c>
      <x:c r="B244" s="16" t="str">
        <x:v>EXPERIMENT</x:v>
      </x:c>
      <x:c r="C244" s="16" t="str">
        <x:f>'Experiment_Coding_KT004'!A3</x:f>
        <x:v>PILOT_01_E02</x:v>
      </x:c>
      <x:c r="D244" s="16" t="str">
        <x:v>validation_fraction</x:v>
      </x:c>
      <x:c r="E244" s="16" t="n">
        <x:f>'Experiment_Coding_KT004'!T3</x:f>
        <x:v>0.1</x:v>
      </x:c>
      <x:c r="F244" s="16" t="str">
        <x:f>'Experiment_Coding_KT004'!BR3</x:f>
        <x:v>Sec. 3 Datasets; Appendix A; Table 2; Table 1; Appendix B</x:v>
      </x:c>
      <x:c r="G244" s="16" t="str">
        <x:v>HIGH</x:v>
      </x:c>
      <x:c r="H244" s="16" t="str">
        <x:v>N</x:v>
      </x:c>
      <x:c r="I244" s="16" t="str">
        <x:v>Coder A worked example</x:v>
      </x:c>
    </x:row>
    <x:row r="245">
      <x:c r="A245" s="16" t="n">
        <x:v>244</x:v>
      </x:c>
      <x:c r="B245" s="16" t="str">
        <x:v>EXPERIMENT</x:v>
      </x:c>
      <x:c r="C245" s="16" t="str">
        <x:f>'Experiment_Coding_KT004'!A3</x:f>
        <x:v>PILOT_01_E02</x:v>
      </x:c>
      <x:c r="D245" s="16" t="str">
        <x:v>test_fraction</x:v>
      </x:c>
      <x:c r="E245" s="16" t="n">
        <x:f>'Experiment_Coding_KT004'!U3</x:f>
        <x:v>0.1</x:v>
      </x:c>
      <x:c r="F245" s="16" t="str">
        <x:f>'Experiment_Coding_KT004'!BR3</x:f>
        <x:v>Sec. 3 Datasets; Appendix A; Table 2; Table 1; Appendix B</x:v>
      </x:c>
      <x:c r="G245" s="16" t="str">
        <x:v>HIGH</x:v>
      </x:c>
      <x:c r="H245" s="16" t="str">
        <x:v>N</x:v>
      </x:c>
      <x:c r="I245" s="16" t="str">
        <x:v>Coder A worked example</x:v>
      </x:c>
    </x:row>
    <x:row r="246">
      <x:c r="A246" s="16" t="n">
        <x:v>245</x:v>
      </x:c>
      <x:c r="B246" s="16" t="str">
        <x:v>EXPERIMENT</x:v>
      </x:c>
      <x:c r="C246" s="16" t="str">
        <x:f>'Experiment_Coding_KT004'!A3</x:f>
        <x:v>PILOT_01_E02</x:v>
      </x:c>
      <x:c r="D246" s="16" t="str">
        <x:v>validation_set_separate</x:v>
      </x:c>
      <x:c r="E246" s="16" t="str">
        <x:f>'Experiment_Coding_KT004'!V3</x:f>
        <x:v>Y</x:v>
      </x:c>
      <x:c r="F246" s="16" t="str">
        <x:f>'Experiment_Coding_KT004'!BR3</x:f>
        <x:v>Sec. 3 Datasets; Appendix A; Table 2; Table 1; Appendix B</x:v>
      </x:c>
      <x:c r="G246" s="16" t="str">
        <x:v>HIGH</x:v>
      </x:c>
      <x:c r="H246" s="16" t="str">
        <x:v>Y</x:v>
      </x:c>
      <x:c r="I246" s="16" t="str">
        <x:v>Coder A worked example</x:v>
      </x:c>
    </x:row>
    <x:row r="247">
      <x:c r="A247" s="16" t="n">
        <x:v>246</x:v>
      </x:c>
      <x:c r="B247" s="16" t="str">
        <x:v>EXPERIMENT</x:v>
      </x:c>
      <x:c r="C247" s="16" t="str">
        <x:f>'Experiment_Coding_KT004'!A3</x:f>
        <x:v>PILOT_01_E02</x:v>
      </x:c>
      <x:c r="D247" s="16" t="str">
        <x:v>early_stopping_validation_only</x:v>
      </x:c>
      <x:c r="E247" s="16" t="str">
        <x:f>'Experiment_Coding_KT004'!W3</x:f>
        <x:v>UNCLEAR</x:v>
      </x:c>
      <x:c r="F247" s="16" t="str">
        <x:f>'Experiment_Coding_KT004'!BR3</x:f>
        <x:v>Sec. 3 Datasets; Appendix A; Table 2; Table 1; Appendix B</x:v>
      </x:c>
      <x:c r="G247" s="16" t="str">
        <x:v>HIGH</x:v>
      </x:c>
      <x:c r="H247" s="16" t="str">
        <x:v>Y</x:v>
      </x:c>
      <x:c r="I247" s="16" t="str">
        <x:v>Coder A worked example</x:v>
      </x:c>
    </x:row>
    <x:row r="248">
      <x:c r="A248" s="16" t="n">
        <x:v>247</x:v>
      </x:c>
      <x:c r="B248" s="16" t="str">
        <x:v>EXPERIMENT</x:v>
      </x:c>
      <x:c r="C248" s="16" t="str">
        <x:f>'Experiment_Coding_KT004'!A3</x:f>
        <x:v>PILOT_01_E02</x:v>
      </x:c>
      <x:c r="D248" s="16" t="str">
        <x:v>graph_train_only</x:v>
      </x:c>
      <x:c r="E248" s="16" t="str">
        <x:f>'Experiment_Coding_KT004'!X3</x:f>
        <x:v>NA</x:v>
      </x:c>
      <x:c r="F248" s="16" t="str">
        <x:f>'Experiment_Coding_KT004'!BR3</x:f>
        <x:v>Sec. 3 Datasets; Appendix A; Table 2; Table 1; Appendix B</x:v>
      </x:c>
      <x:c r="G248" s="16" t="str">
        <x:v>HIGH</x:v>
      </x:c>
      <x:c r="H248" s="16" t="str">
        <x:v>Y</x:v>
      </x:c>
      <x:c r="I248" s="16" t="str">
        <x:v>Coder A worked example</x:v>
      </x:c>
    </x:row>
    <x:row r="249">
      <x:c r="A249" s="16" t="n">
        <x:v>248</x:v>
      </x:c>
      <x:c r="B249" s="16" t="str">
        <x:v>EXPERIMENT</x:v>
      </x:c>
      <x:c r="C249" s="16" t="str">
        <x:f>'Experiment_Coding_KT004'!A3</x:f>
        <x:v>PILOT_01_E02</x:v>
      </x:c>
      <x:c r="D249" s="16" t="str">
        <x:v>normalization_train_only</x:v>
      </x:c>
      <x:c r="E249" s="16" t="str">
        <x:f>'Experiment_Coding_KT004'!Y3</x:f>
        <x:v>NR</x:v>
      </x:c>
      <x:c r="F249" s="16" t="str">
        <x:f>'Experiment_Coding_KT004'!BR3</x:f>
        <x:v>Sec. 3 Datasets; Appendix A; Table 2; Table 1; Appendix B</x:v>
      </x:c>
      <x:c r="G249" s="16" t="str">
        <x:v>HIGH</x:v>
      </x:c>
      <x:c r="H249" s="16" t="str">
        <x:v>Y</x:v>
      </x:c>
      <x:c r="I249" s="16" t="str">
        <x:v>Coder A worked example</x:v>
      </x:c>
    </x:row>
    <x:row r="250">
      <x:c r="A250" s="16" t="n">
        <x:v>249</x:v>
      </x:c>
      <x:c r="B250" s="16" t="str">
        <x:v>EXPERIMENT</x:v>
      </x:c>
      <x:c r="C250" s="16" t="str">
        <x:f>'Experiment_Coding_KT004'!A3</x:f>
        <x:v>PILOT_01_E02</x:v>
      </x:c>
      <x:c r="D250" s="16" t="str">
        <x:v>sparse_strata_train_only</x:v>
      </x:c>
      <x:c r="E250" s="16" t="str">
        <x:f>'Experiment_Coding_KT004'!Z3</x:f>
        <x:v>NA</x:v>
      </x:c>
      <x:c r="F250" s="16" t="str">
        <x:f>'Experiment_Coding_KT004'!BR3</x:f>
        <x:v>Sec. 3 Datasets; Appendix A; Table 2; Table 1; Appendix B</x:v>
      </x:c>
      <x:c r="G250" s="16" t="str">
        <x:v>HIGH</x:v>
      </x:c>
      <x:c r="H250" s="16" t="str">
        <x:v>Y</x:v>
      </x:c>
      <x:c r="I250" s="16" t="str">
        <x:v>Coder A worked example</x:v>
      </x:c>
    </x:row>
    <x:row r="251">
      <x:c r="A251" s="16" t="n">
        <x:v>250</x:v>
      </x:c>
      <x:c r="B251" s="16" t="str">
        <x:v>EXPERIMENT</x:v>
      </x:c>
      <x:c r="C251" s="16" t="str">
        <x:f>'Experiment_Coding_KT004'!A3</x:f>
        <x:v>PILOT_01_E02</x:v>
      </x:c>
      <x:c r="D251" s="16" t="str">
        <x:v>temporal_alignment_audited</x:v>
      </x:c>
      <x:c r="E251" s="16" t="str">
        <x:f>'Experiment_Coding_KT004'!AA3</x:f>
        <x:v>NR</x:v>
      </x:c>
      <x:c r="F251" s="16" t="str">
        <x:f>'Experiment_Coding_KT004'!BR3</x:f>
        <x:v>Sec. 3 Datasets; Appendix A; Table 2; Table 1; Appendix B</x:v>
      </x:c>
      <x:c r="G251" s="16" t="str">
        <x:v>HIGH</x:v>
      </x:c>
      <x:c r="H251" s="16" t="str">
        <x:v>Y</x:v>
      </x:c>
      <x:c r="I251" s="16" t="str">
        <x:v>Coder A worked example</x:v>
      </x:c>
    </x:row>
    <x:row r="252">
      <x:c r="A252" s="16" t="n">
        <x:v>251</x:v>
      </x:c>
      <x:c r="B252" s="16" t="str">
        <x:v>EXPERIMENT</x:v>
      </x:c>
      <x:c r="C252" s="16" t="str">
        <x:f>'Experiment_Coding_KT004'!A3</x:f>
        <x:v>PILOT_01_E02</x:v>
      </x:c>
      <x:c r="D252" s="16" t="str">
        <x:v>duplicate_entity_leakage_checked</x:v>
      </x:c>
      <x:c r="E252" s="16" t="str">
        <x:f>'Experiment_Coding_KT004'!AB3</x:f>
        <x:v>NR</x:v>
      </x:c>
      <x:c r="F252" s="16" t="str">
        <x:f>'Experiment_Coding_KT004'!BR3</x:f>
        <x:v>Sec. 3 Datasets; Appendix A; Table 2; Table 1; Appendix B</x:v>
      </x:c>
      <x:c r="G252" s="16" t="str">
        <x:v>HIGH</x:v>
      </x:c>
      <x:c r="H252" s="16" t="str">
        <x:v>Y</x:v>
      </x:c>
      <x:c r="I252" s="16" t="str">
        <x:v>Coder A worked example</x:v>
      </x:c>
    </x:row>
    <x:row r="253">
      <x:c r="A253" s="16" t="n">
        <x:v>252</x:v>
      </x:c>
      <x:c r="B253" s="16" t="str">
        <x:v>EXPERIMENT</x:v>
      </x:c>
      <x:c r="C253" s="16" t="str">
        <x:f>'Experiment_Coding_KT004'!A3</x:f>
        <x:v>PILOT_01_E02</x:v>
      </x:c>
      <x:c r="D253" s="16" t="str">
        <x:v>sparsity_construct</x:v>
      </x:c>
      <x:c r="E253" s="16" t="str">
        <x:f>'Experiment_Coding_KT004'!AC3</x:f>
        <x:v>NO_EXPLICIT_FOCUS</x:v>
      </x:c>
      <x:c r="F253" s="16" t="str">
        <x:f>'Experiment_Coding_KT004'!BR3</x:f>
        <x:v>Sec. 3 Datasets; Appendix A; Table 2; Table 1; Appendix B</x:v>
      </x:c>
      <x:c r="G253" s="16" t="str">
        <x:v>HIGH</x:v>
      </x:c>
      <x:c r="H253" s="16" t="str">
        <x:v>Y</x:v>
      </x:c>
      <x:c r="I253" s="16" t="str">
        <x:v>Coder A worked example</x:v>
      </x:c>
    </x:row>
    <x:row r="254">
      <x:c r="A254" s="16" t="n">
        <x:v>253</x:v>
      </x:c>
      <x:c r="B254" s="16" t="str">
        <x:v>EXPERIMENT</x:v>
      </x:c>
      <x:c r="C254" s="16" t="str">
        <x:f>'Experiment_Coding_KT004'!A3</x:f>
        <x:v>PILOT_01_E02</x:v>
      </x:c>
      <x:c r="D254" s="16" t="str">
        <x:v>sparse_definition_original</x:v>
      </x:c>
      <x:c r="E254" s="16" t="str">
        <x:f>'Experiment_Coding_KT004'!AD3</x:f>
        <x:v>NA</x:v>
      </x:c>
      <x:c r="F254" s="16" t="str">
        <x:f>'Experiment_Coding_KT004'!BR3</x:f>
        <x:v>Sec. 3 Datasets; Appendix A; Table 2; Table 1; Appendix B</x:v>
      </x:c>
      <x:c r="G254" s="16" t="str">
        <x:v>HIGH</x:v>
      </x:c>
      <x:c r="H254" s="16" t="str">
        <x:v>N</x:v>
      </x:c>
      <x:c r="I254" s="16" t="str">
        <x:v>Coder A worked example</x:v>
      </x:c>
    </x:row>
    <x:row r="255">
      <x:c r="A255" s="16" t="n">
        <x:v>254</x:v>
      </x:c>
      <x:c r="B255" s="16" t="str">
        <x:v>EXPERIMENT</x:v>
      </x:c>
      <x:c r="C255" s="16" t="str">
        <x:f>'Experiment_Coding_KT004'!A3</x:f>
        <x:v>PILOT_01_E02</x:v>
      </x:c>
      <x:c r="D255" s="16" t="str">
        <x:v>sparse_threshold_original</x:v>
      </x:c>
      <x:c r="E255" s="16" t="str">
        <x:f>'Experiment_Coding_KT004'!AE3</x:f>
        <x:v>NA</x:v>
      </x:c>
      <x:c r="F255" s="16" t="str">
        <x:f>'Experiment_Coding_KT004'!BR3</x:f>
        <x:v>Sec. 3 Datasets; Appendix A; Table 2; Table 1; Appendix B</x:v>
      </x:c>
      <x:c r="G255" s="16" t="str">
        <x:v>HIGH</x:v>
      </x:c>
      <x:c r="H255" s="16" t="str">
        <x:v>N</x:v>
      </x:c>
      <x:c r="I255" s="16" t="str">
        <x:v>Coder A worked example</x:v>
      </x:c>
    </x:row>
    <x:row r="256">
      <x:c r="A256" s="16" t="n">
        <x:v>255</x:v>
      </x:c>
      <x:c r="B256" s="16" t="str">
        <x:v>EXPERIMENT</x:v>
      </x:c>
      <x:c r="C256" s="16" t="str">
        <x:f>'Experiment_Coding_KT004'!A3</x:f>
        <x:v>PILOT_01_E02</x:v>
      </x:c>
      <x:c r="D256" s="16" t="str">
        <x:v>threshold_source</x:v>
      </x:c>
      <x:c r="E256" s="16" t="str">
        <x:f>'Experiment_Coding_KT004'!AF3</x:f>
        <x:v>NA</x:v>
      </x:c>
      <x:c r="F256" s="16" t="str">
        <x:f>'Experiment_Coding_KT004'!BR3</x:f>
        <x:v>Sec. 3 Datasets; Appendix A; Table 2; Table 1; Appendix B</x:v>
      </x:c>
      <x:c r="G256" s="16" t="str">
        <x:v>HIGH</x:v>
      </x:c>
      <x:c r="H256" s="16" t="str">
        <x:v>Y</x:v>
      </x:c>
      <x:c r="I256" s="16" t="str">
        <x:v>Coder A worked example</x:v>
      </x:c>
    </x:row>
    <x:row r="257">
      <x:c r="A257" s="16" t="n">
        <x:v>256</x:v>
      </x:c>
      <x:c r="B257" s="16" t="str">
        <x:v>EXPERIMENT</x:v>
      </x:c>
      <x:c r="C257" s="16" t="str">
        <x:f>'Experiment_Coding_KT004'!A3</x:f>
        <x:v>PILOT_01_E02</x:v>
      </x:c>
      <x:c r="D257" s="16" t="str">
        <x:v>frequency_computed_on</x:v>
      </x:c>
      <x:c r="E257" s="16" t="str">
        <x:f>'Experiment_Coding_KT004'!AG3</x:f>
        <x:v>NA</x:v>
      </x:c>
      <x:c r="F257" s="16" t="str">
        <x:f>'Experiment_Coding_KT004'!BR3</x:f>
        <x:v>Sec. 3 Datasets; Appendix A; Table 2; Table 1; Appendix B</x:v>
      </x:c>
      <x:c r="G257" s="16" t="str">
        <x:v>HIGH</x:v>
      </x:c>
      <x:c r="H257" s="16" t="str">
        <x:v>Y</x:v>
      </x:c>
      <x:c r="I257" s="16" t="str">
        <x:v>Coder A worked example</x:v>
      </x:c>
    </x:row>
    <x:row r="258">
      <x:c r="A258" s="16" t="n">
        <x:v>257</x:v>
      </x:c>
      <x:c r="B258" s="16" t="str">
        <x:v>EXPERIMENT</x:v>
      </x:c>
      <x:c r="C258" s="16" t="str">
        <x:f>'Experiment_Coding_KT004'!A3</x:f>
        <x:v>PILOT_01_E02</x:v>
      </x:c>
      <x:c r="D258" s="16" t="str">
        <x:v>strict_zero_train_verified</x:v>
      </x:c>
      <x:c r="E258" s="16" t="str">
        <x:f>'Experiment_Coding_KT004'!AH3</x:f>
        <x:v>NA</x:v>
      </x:c>
      <x:c r="F258" s="16" t="str">
        <x:f>'Experiment_Coding_KT004'!BR3</x:f>
        <x:v>Sec. 3 Datasets; Appendix A; Table 2; Table 1; Appendix B</x:v>
      </x:c>
      <x:c r="G258" s="16" t="str">
        <x:v>HIGH</x:v>
      </x:c>
      <x:c r="H258" s="16" t="str">
        <x:v>Y</x:v>
      </x:c>
      <x:c r="I258" s="16" t="str">
        <x:v>Coder A worked example</x:v>
      </x:c>
    </x:row>
    <x:row r="259">
      <x:c r="A259" s="16" t="n">
        <x:v>258</x:v>
      </x:c>
      <x:c r="B259" s="16" t="str">
        <x:v>EXPERIMENT</x:v>
      </x:c>
      <x:c r="C259" s="16" t="str">
        <x:f>'Experiment_Coding_KT004'!A3</x:f>
        <x:v>PILOT_01_E02</x:v>
      </x:c>
      <x:c r="D259" s="16" t="str">
        <x:v>external_info_for_unseen_kc</x:v>
      </x:c>
      <x:c r="E259" s="16" t="str">
        <x:f>'Experiment_Coding_KT004'!AI3</x:f>
        <x:v>NA</x:v>
      </x:c>
      <x:c r="F259" s="16" t="str">
        <x:f>'Experiment_Coding_KT004'!BR3</x:f>
        <x:v>Sec. 3 Datasets; Appendix A; Table 2; Table 1; Appendix B</x:v>
      </x:c>
      <x:c r="G259" s="16" t="str">
        <x:v>HIGH</x:v>
      </x:c>
      <x:c r="H259" s="16" t="str">
        <x:v>Y</x:v>
      </x:c>
      <x:c r="I259" s="16" t="str">
        <x:v>Coder A worked example</x:v>
      </x:c>
    </x:row>
    <x:row r="260">
      <x:c r="A260" s="16" t="n">
        <x:v>259</x:v>
      </x:c>
      <x:c r="B260" s="16" t="str">
        <x:v>EXPERIMENT</x:v>
      </x:c>
      <x:c r="C260" s="16" t="str">
        <x:f>'Experiment_Coding_KT004'!A3</x:f>
        <x:v>PILOT_01_E02</x:v>
      </x:c>
      <x:c r="D260" s="16" t="str">
        <x:v>support_kcs</x:v>
      </x:c>
      <x:c r="E260" s="16" t="str">
        <x:f>'Experiment_Coding_KT004'!AJ3</x:f>
        <x:v>NA</x:v>
      </x:c>
      <x:c r="F260" s="16" t="str">
        <x:f>'Experiment_Coding_KT004'!BR3</x:f>
        <x:v>Sec. 3 Datasets; Appendix A; Table 2; Table 1; Appendix B</x:v>
      </x:c>
      <x:c r="G260" s="16" t="str">
        <x:v>HIGH</x:v>
      </x:c>
      <x:c r="H260" s="16" t="str">
        <x:v>N</x:v>
      </x:c>
      <x:c r="I260" s="16" t="str">
        <x:v>Coder A worked example</x:v>
      </x:c>
    </x:row>
    <x:row r="261">
      <x:c r="A261" s="16" t="n">
        <x:v>260</x:v>
      </x:c>
      <x:c r="B261" s="16" t="str">
        <x:v>EXPERIMENT</x:v>
      </x:c>
      <x:c r="C261" s="16" t="str">
        <x:f>'Experiment_Coding_KT004'!A3</x:f>
        <x:v>PILOT_01_E02</x:v>
      </x:c>
      <x:c r="D261" s="16" t="str">
        <x:v>support_learners</x:v>
      </x:c>
      <x:c r="E261" s="16" t="str">
        <x:f>'Experiment_Coding_KT004'!AK3</x:f>
        <x:v>NA</x:v>
      </x:c>
      <x:c r="F261" s="16" t="str">
        <x:f>'Experiment_Coding_KT004'!BR3</x:f>
        <x:v>Sec. 3 Datasets; Appendix A; Table 2; Table 1; Appendix B</x:v>
      </x:c>
      <x:c r="G261" s="16" t="str">
        <x:v>HIGH</x:v>
      </x:c>
      <x:c r="H261" s="16" t="str">
        <x:v>N</x:v>
      </x:c>
      <x:c r="I261" s="16" t="str">
        <x:v>Coder A worked example</x:v>
      </x:c>
    </x:row>
    <x:row r="262">
      <x:c r="A262" s="16" t="n">
        <x:v>261</x:v>
      </x:c>
      <x:c r="B262" s="16" t="str">
        <x:v>EXPERIMENT</x:v>
      </x:c>
      <x:c r="C262" s="16" t="str">
        <x:f>'Experiment_Coding_KT004'!A3</x:f>
        <x:v>PILOT_01_E02</x:v>
      </x:c>
      <x:c r="D262" s="16" t="str">
        <x:v>support_items</x:v>
      </x:c>
      <x:c r="E262" s="16" t="str">
        <x:f>'Experiment_Coding_KT004'!AL3</x:f>
        <x:v>NA</x:v>
      </x:c>
      <x:c r="F262" s="16" t="str">
        <x:f>'Experiment_Coding_KT004'!BR3</x:f>
        <x:v>Sec. 3 Datasets; Appendix A; Table 2; Table 1; Appendix B</x:v>
      </x:c>
      <x:c r="G262" s="16" t="str">
        <x:v>HIGH</x:v>
      </x:c>
      <x:c r="H262" s="16" t="str">
        <x:v>N</x:v>
      </x:c>
      <x:c r="I262" s="16" t="str">
        <x:v>Coder A worked example</x:v>
      </x:c>
    </x:row>
    <x:row r="263">
      <x:c r="A263" s="16" t="n">
        <x:v>262</x:v>
      </x:c>
      <x:c r="B263" s="16" t="str">
        <x:v>EXPERIMENT</x:v>
      </x:c>
      <x:c r="C263" s="16" t="str">
        <x:f>'Experiment_Coding_KT004'!A3</x:f>
        <x:v>PILOT_01_E02</x:v>
      </x:c>
      <x:c r="D263" s="16" t="str">
        <x:v>support_test_interactions</x:v>
      </x:c>
      <x:c r="E263" s="16" t="str">
        <x:f>'Experiment_Coding_KT004'!AM3</x:f>
        <x:v>NA</x:v>
      </x:c>
      <x:c r="F263" s="16" t="str">
        <x:f>'Experiment_Coding_KT004'!BR3</x:f>
        <x:v>Sec. 3 Datasets; Appendix A; Table 2; Table 1; Appendix B</x:v>
      </x:c>
      <x:c r="G263" s="16" t="str">
        <x:v>HIGH</x:v>
      </x:c>
      <x:c r="H263" s="16" t="str">
        <x:v>N</x:v>
      </x:c>
      <x:c r="I263" s="16" t="str">
        <x:v>Coder A worked example</x:v>
      </x:c>
    </x:row>
    <x:row r="264">
      <x:c r="A264" s="16" t="n">
        <x:v>263</x:v>
      </x:c>
      <x:c r="B264" s="16" t="str">
        <x:v>EXPERIMENT</x:v>
      </x:c>
      <x:c r="C264" s="16" t="str">
        <x:f>'Experiment_Coding_KT004'!A3</x:f>
        <x:v>PILOT_01_E02</x:v>
      </x:c>
      <x:c r="D264" s="16" t="str">
        <x:v>positive_count</x:v>
      </x:c>
      <x:c r="E264" s="16" t="str">
        <x:f>'Experiment_Coding_KT004'!AN3</x:f>
        <x:v>NA</x:v>
      </x:c>
      <x:c r="F264" s="16" t="str">
        <x:f>'Experiment_Coding_KT004'!BR3</x:f>
        <x:v>Sec. 3 Datasets; Appendix A; Table 2; Table 1; Appendix B</x:v>
      </x:c>
      <x:c r="G264" s="16" t="str">
        <x:v>HIGH</x:v>
      </x:c>
      <x:c r="H264" s="16" t="str">
        <x:v>N</x:v>
      </x:c>
      <x:c r="I264" s="16" t="str">
        <x:v>Coder A worked example</x:v>
      </x:c>
    </x:row>
    <x:row r="265">
      <x:c r="A265" s="16" t="n">
        <x:v>264</x:v>
      </x:c>
      <x:c r="B265" s="16" t="str">
        <x:v>EXPERIMENT</x:v>
      </x:c>
      <x:c r="C265" s="16" t="str">
        <x:f>'Experiment_Coding_KT004'!A3</x:f>
        <x:v>PILOT_01_E02</x:v>
      </x:c>
      <x:c r="D265" s="16" t="str">
        <x:v>negative_count</x:v>
      </x:c>
      <x:c r="E265" s="16" t="str">
        <x:f>'Experiment_Coding_KT004'!AO3</x:f>
        <x:v>NA</x:v>
      </x:c>
      <x:c r="F265" s="16" t="str">
        <x:f>'Experiment_Coding_KT004'!BR3</x:f>
        <x:v>Sec. 3 Datasets; Appendix A; Table 2; Table 1; Appendix B</x:v>
      </x:c>
      <x:c r="G265" s="16" t="str">
        <x:v>HIGH</x:v>
      </x:c>
      <x:c r="H265" s="16" t="str">
        <x:v>N</x:v>
      </x:c>
      <x:c r="I265" s="16" t="str">
        <x:v>Coder A worked example</x:v>
      </x:c>
    </x:row>
    <x:row r="266">
      <x:c r="A266" s="16" t="n">
        <x:v>265</x:v>
      </x:c>
      <x:c r="B266" s="16" t="str">
        <x:v>EXPERIMENT</x:v>
      </x:c>
      <x:c r="C266" s="16" t="str">
        <x:f>'Experiment_Coding_KT004'!A3</x:f>
        <x:v>PILOT_01_E02</x:v>
      </x:c>
      <x:c r="D266" s="16" t="str">
        <x:v>metric_name_original</x:v>
      </x:c>
      <x:c r="E266" s="16" t="str">
        <x:f>'Experiment_Coding_KT004'!AP3</x:f>
        <x:v>AUC</x:v>
      </x:c>
      <x:c r="F266" s="16" t="str">
        <x:f>'Experiment_Coding_KT004'!BR3</x:f>
        <x:v>Sec. 3 Datasets; Appendix A; Table 2; Table 1; Appendix B</x:v>
      </x:c>
      <x:c r="G266" s="16" t="str">
        <x:v>HIGH</x:v>
      </x:c>
      <x:c r="H266" s="16" t="str">
        <x:v>N</x:v>
      </x:c>
      <x:c r="I266" s="16" t="str">
        <x:v>Coder A worked example</x:v>
      </x:c>
    </x:row>
    <x:row r="267">
      <x:c r="A267" s="16" t="n">
        <x:v>266</x:v>
      </x:c>
      <x:c r="B267" s="16" t="str">
        <x:v>EXPERIMENT</x:v>
      </x:c>
      <x:c r="C267" s="16" t="str">
        <x:f>'Experiment_Coding_KT004'!A3</x:f>
        <x:v>PILOT_01_E02</x:v>
      </x:c>
      <x:c r="D267" s="16" t="str">
        <x:v>metric_value_original</x:v>
      </x:c>
      <x:c r="E267" s="16" t="n">
        <x:f>'Experiment_Coding_KT004'!AQ3</x:f>
        <x:v>0.762</x:v>
      </x:c>
      <x:c r="F267" s="16" t="str">
        <x:f>'Experiment_Coding_KT004'!BR3</x:f>
        <x:v>Sec. 3 Datasets; Appendix A; Table 2; Table 1; Appendix B</x:v>
      </x:c>
      <x:c r="G267" s="16" t="str">
        <x:v>HIGH</x:v>
      </x:c>
      <x:c r="H267" s="16" t="str">
        <x:v>N</x:v>
      </x:c>
      <x:c r="I267" s="16" t="str">
        <x:v>Coder A worked example</x:v>
      </x:c>
    </x:row>
    <x:row r="268">
      <x:c r="A268" s="16" t="n">
        <x:v>267</x:v>
      </x:c>
      <x:c r="B268" s="16" t="str">
        <x:v>EXPERIMENT</x:v>
      </x:c>
      <x:c r="C268" s="16" t="str">
        <x:f>'Experiment_Coding_KT004'!A3</x:f>
        <x:v>PILOT_01_E02</x:v>
      </x:c>
      <x:c r="D268" s="16" t="str">
        <x:v>metric_scope</x:v>
      </x:c>
      <x:c r="E268" s="16" t="str">
        <x:f>'Experiment_Coding_KT004'!AR3</x:f>
        <x:v>OVERALL</x:v>
      </x:c>
      <x:c r="F268" s="16" t="str">
        <x:f>'Experiment_Coding_KT004'!BR3</x:f>
        <x:v>Sec. 3 Datasets; Appendix A; Table 2; Table 1; Appendix B</x:v>
      </x:c>
      <x:c r="G268" s="16" t="str">
        <x:v>HIGH</x:v>
      </x:c>
      <x:c r="H268" s="16" t="str">
        <x:v>Y</x:v>
      </x:c>
      <x:c r="I268" s="16" t="str">
        <x:v>Coder A worked example</x:v>
      </x:c>
    </x:row>
    <x:row r="269">
      <x:c r="A269" s="16" t="n">
        <x:v>268</x:v>
      </x:c>
      <x:c r="B269" s="16" t="str">
        <x:v>EXPERIMENT</x:v>
      </x:c>
      <x:c r="C269" s="16" t="str">
        <x:f>'Experiment_Coding_KT004'!A3</x:f>
        <x:v>PILOT_01_E02</x:v>
      </x:c>
      <x:c r="D269" s="16" t="str">
        <x:v>n_seeds</x:v>
      </x:c>
      <x:c r="E269" s="16" t="str">
        <x:f>'Experiment_Coding_KT004'!AS3</x:f>
        <x:v>NR</x:v>
      </x:c>
      <x:c r="F269" s="16" t="str">
        <x:f>'Experiment_Coding_KT004'!BR3</x:f>
        <x:v>Sec. 3 Datasets; Appendix A; Table 2; Table 1; Appendix B</x:v>
      </x:c>
      <x:c r="G269" s="16" t="str">
        <x:v>HIGH</x:v>
      </x:c>
      <x:c r="H269" s="16" t="str">
        <x:v>N</x:v>
      </x:c>
      <x:c r="I269" s="16" t="str">
        <x:v>Coder A worked example</x:v>
      </x:c>
    </x:row>
    <x:row r="270">
      <x:c r="A270" s="16" t="n">
        <x:v>269</x:v>
      </x:c>
      <x:c r="B270" s="16" t="str">
        <x:v>EXPERIMENT</x:v>
      </x:c>
      <x:c r="C270" s="16" t="str">
        <x:f>'Experiment_Coding_KT004'!A3</x:f>
        <x:v>PILOT_01_E02</x:v>
      </x:c>
      <x:c r="D270" s="16" t="str">
        <x:v>seed_values_reported</x:v>
      </x:c>
      <x:c r="E270" s="16" t="str">
        <x:f>'Experiment_Coding_KT004'!AT3</x:f>
        <x:v>NR</x:v>
      </x:c>
      <x:c r="F270" s="16" t="str">
        <x:f>'Experiment_Coding_KT004'!BR3</x:f>
        <x:v>Sec. 3 Datasets; Appendix A; Table 2; Table 1; Appendix B</x:v>
      </x:c>
      <x:c r="G270" s="16" t="str">
        <x:v>HIGH</x:v>
      </x:c>
      <x:c r="H270" s="16" t="str">
        <x:v>N</x:v>
      </x:c>
      <x:c r="I270" s="16" t="str">
        <x:v>Coder A worked example</x:v>
      </x:c>
    </x:row>
    <x:row r="271">
      <x:c r="A271" s="16" t="n">
        <x:v>270</x:v>
      </x:c>
      <x:c r="B271" s="16" t="str">
        <x:v>EXPERIMENT</x:v>
      </x:c>
      <x:c r="C271" s="16" t="str">
        <x:f>'Experiment_Coding_KT004'!A3</x:f>
        <x:v>PILOT_01_E02</x:v>
      </x:c>
      <x:c r="D271" s="16" t="str">
        <x:v>mean_std_reported</x:v>
      </x:c>
      <x:c r="E271" s="16" t="str">
        <x:f>'Experiment_Coding_KT004'!AU3</x:f>
        <x:v>N</x:v>
      </x:c>
      <x:c r="F271" s="16" t="str">
        <x:f>'Experiment_Coding_KT004'!BR3</x:f>
        <x:v>Sec. 3 Datasets; Appendix A; Table 2; Table 1; Appendix B</x:v>
      </x:c>
      <x:c r="G271" s="16" t="str">
        <x:v>HIGH</x:v>
      </x:c>
      <x:c r="H271" s="16" t="str">
        <x:v>Y</x:v>
      </x:c>
      <x:c r="I271" s="16" t="str">
        <x:v>Coder A worked example</x:v>
      </x:c>
    </x:row>
    <x:row r="272">
      <x:c r="A272" s="16" t="n">
        <x:v>271</x:v>
      </x:c>
      <x:c r="B272" s="16" t="str">
        <x:v>EXPERIMENT</x:v>
      </x:c>
      <x:c r="C272" s="16" t="str">
        <x:f>'Experiment_Coding_KT004'!A3</x:f>
        <x:v>PILOT_01_E02</x:v>
      </x:c>
      <x:c r="D272" s="16" t="str">
        <x:v>confidence_interval</x:v>
      </x:c>
      <x:c r="E272" s="16" t="str">
        <x:f>'Experiment_Coding_KT004'!AV3</x:f>
        <x:v>NR</x:v>
      </x:c>
      <x:c r="F272" s="16" t="str">
        <x:f>'Experiment_Coding_KT004'!BR3</x:f>
        <x:v>Sec. 3 Datasets; Appendix A; Table 2; Table 1; Appendix B</x:v>
      </x:c>
      <x:c r="G272" s="16" t="str">
        <x:v>HIGH</x:v>
      </x:c>
      <x:c r="H272" s="16" t="str">
        <x:v>N</x:v>
      </x:c>
      <x:c r="I272" s="16" t="str">
        <x:v>Coder A worked example</x:v>
      </x:c>
    </x:row>
    <x:row r="273">
      <x:c r="A273" s="16" t="n">
        <x:v>272</x:v>
      </x:c>
      <x:c r="B273" s="16" t="str">
        <x:v>EXPERIMENT</x:v>
      </x:c>
      <x:c r="C273" s="16" t="str">
        <x:f>'Experiment_Coding_KT004'!A3</x:f>
        <x:v>PILOT_01_E02</x:v>
      </x:c>
      <x:c r="D273" s="16" t="str">
        <x:v>bootstrap_unit</x:v>
      </x:c>
      <x:c r="E273" s="16" t="str">
        <x:f>'Experiment_Coding_KT004'!AW3</x:f>
        <x:v>NA</x:v>
      </x:c>
      <x:c r="F273" s="16" t="str">
        <x:f>'Experiment_Coding_KT004'!BR3</x:f>
        <x:v>Sec. 3 Datasets; Appendix A; Table 2; Table 1; Appendix B</x:v>
      </x:c>
      <x:c r="G273" s="16" t="str">
        <x:v>HIGH</x:v>
      </x:c>
      <x:c r="H273" s="16" t="str">
        <x:v>Y</x:v>
      </x:c>
      <x:c r="I273" s="16" t="str">
        <x:v>Coder A worked example</x:v>
      </x:c>
    </x:row>
    <x:row r="274">
      <x:c r="A274" s="16" t="n">
        <x:v>273</x:v>
      </x:c>
      <x:c r="B274" s="16" t="str">
        <x:v>EXPERIMENT</x:v>
      </x:c>
      <x:c r="C274" s="16" t="str">
        <x:f>'Experiment_Coding_KT004'!A3</x:f>
        <x:v>PILOT_01_E02</x:v>
      </x:c>
      <x:c r="D274" s="16" t="str">
        <x:v>statistical_test</x:v>
      </x:c>
      <x:c r="E274" s="16" t="str">
        <x:f>'Experiment_Coding_KT004'!AX3</x:f>
        <x:v>NR</x:v>
      </x:c>
      <x:c r="F274" s="16" t="str">
        <x:f>'Experiment_Coding_KT004'!BR3</x:f>
        <x:v>Sec. 3 Datasets; Appendix A; Table 2; Table 1; Appendix B</x:v>
      </x:c>
      <x:c r="G274" s="16" t="str">
        <x:v>HIGH</x:v>
      </x:c>
      <x:c r="H274" s="16" t="str">
        <x:v>N</x:v>
      </x:c>
      <x:c r="I274" s="16" t="str">
        <x:v>Coder A worked example</x:v>
      </x:c>
    </x:row>
    <x:row r="275">
      <x:c r="A275" s="16" t="n">
        <x:v>274</x:v>
      </x:c>
      <x:c r="B275" s="16" t="str">
        <x:v>EXPERIMENT</x:v>
      </x:c>
      <x:c r="C275" s="16" t="str">
        <x:f>'Experiment_Coding_KT004'!A3</x:f>
        <x:v>PILOT_01_E02</x:v>
      </x:c>
      <x:c r="D275" s="16" t="str">
        <x:v>multiple_comparison_correction</x:v>
      </x:c>
      <x:c r="E275" s="16" t="str">
        <x:f>'Experiment_Coding_KT004'!AY3</x:f>
        <x:v>NR</x:v>
      </x:c>
      <x:c r="F275" s="16" t="str">
        <x:f>'Experiment_Coding_KT004'!BR3</x:f>
        <x:v>Sec. 3 Datasets; Appendix A; Table 2; Table 1; Appendix B</x:v>
      </x:c>
      <x:c r="G275" s="16" t="str">
        <x:v>HIGH</x:v>
      </x:c>
      <x:c r="H275" s="16" t="str">
        <x:v>N</x:v>
      </x:c>
      <x:c r="I275" s="16" t="str">
        <x:v>Coder A worked example</x:v>
      </x:c>
    </x:row>
    <x:row r="276">
      <x:c r="A276" s="16" t="n">
        <x:v>275</x:v>
      </x:c>
      <x:c r="B276" s="16" t="str">
        <x:v>EXPERIMENT</x:v>
      </x:c>
      <x:c r="C276" s="16" t="str">
        <x:f>'Experiment_Coding_KT004'!A3</x:f>
        <x:v>PILOT_01_E02</x:v>
      </x:c>
      <x:c r="D276" s="16" t="str">
        <x:v>effect_size</x:v>
      </x:c>
      <x:c r="E276" s="16" t="str">
        <x:f>'Experiment_Coding_KT004'!AZ3</x:f>
        <x:v>NR</x:v>
      </x:c>
      <x:c r="F276" s="16" t="str">
        <x:f>'Experiment_Coding_KT004'!BR3</x:f>
        <x:v>Sec. 3 Datasets; Appendix A; Table 2; Table 1; Appendix B</x:v>
      </x:c>
      <x:c r="G276" s="16" t="str">
        <x:v>HIGH</x:v>
      </x:c>
      <x:c r="H276" s="16" t="str">
        <x:v>N</x:v>
      </x:c>
      <x:c r="I276" s="16" t="str">
        <x:v>Coder A worked example</x:v>
      </x:c>
    </x:row>
    <x:row r="277">
      <x:c r="A277" s="16" t="n">
        <x:v>276</x:v>
      </x:c>
      <x:c r="B277" s="16" t="str">
        <x:v>EXPERIMENT</x:v>
      </x:c>
      <x:c r="C277" s="16" t="str">
        <x:f>'Experiment_Coding_KT004'!A3</x:f>
        <x:v>PILOT_01_E02</x:v>
      </x:c>
      <x:c r="D277" s="16" t="str">
        <x:v>paired_design</x:v>
      </x:c>
      <x:c r="E277" s="16" t="str">
        <x:f>'Experiment_Coding_KT004'!BA3</x:f>
        <x:v>NR</x:v>
      </x:c>
      <x:c r="F277" s="16" t="str">
        <x:f>'Experiment_Coding_KT004'!BR3</x:f>
        <x:v>Sec. 3 Datasets; Appendix A; Table 2; Table 1; Appendix B</x:v>
      </x:c>
      <x:c r="G277" s="16" t="str">
        <x:v>HIGH</x:v>
      </x:c>
      <x:c r="H277" s="16" t="str">
        <x:v>Y</x:v>
      </x:c>
      <x:c r="I277" s="16" t="str">
        <x:v>Coder A worked example</x:v>
      </x:c>
    </x:row>
    <x:row r="278">
      <x:c r="A278" s="16" t="n">
        <x:v>277</x:v>
      </x:c>
      <x:c r="B278" s="16" t="str">
        <x:v>EXPERIMENT</x:v>
      </x:c>
      <x:c r="C278" s="16" t="str">
        <x:f>'Experiment_Coding_KT004'!A3</x:f>
        <x:v>PILOT_01_E02</x:v>
      </x:c>
      <x:c r="D278" s="16" t="str">
        <x:v>significance_threshold</x:v>
      </x:c>
      <x:c r="E278" s="16" t="str">
        <x:f>'Experiment_Coding_KT004'!BB3</x:f>
        <x:v>NR</x:v>
      </x:c>
      <x:c r="F278" s="16" t="str">
        <x:f>'Experiment_Coding_KT004'!BR3</x:f>
        <x:v>Sec. 3 Datasets; Appendix A; Table 2; Table 1; Appendix B</x:v>
      </x:c>
      <x:c r="G278" s="16" t="str">
        <x:v>HIGH</x:v>
      </x:c>
      <x:c r="H278" s="16" t="str">
        <x:v>N</x:v>
      </x:c>
      <x:c r="I278" s="16" t="str">
        <x:v>Coder A worked example</x:v>
      </x:c>
    </x:row>
    <x:row r="279">
      <x:c r="A279" s="16" t="n">
        <x:v>278</x:v>
      </x:c>
      <x:c r="B279" s="16" t="str">
        <x:v>EXPERIMENT</x:v>
      </x:c>
      <x:c r="C279" s="16" t="str">
        <x:f>'Experiment_Coding_KT004'!A3</x:f>
        <x:v>PILOT_01_E02</x:v>
      </x:c>
      <x:c r="D279" s="16" t="str">
        <x:v>parameter_count</x:v>
      </x:c>
      <x:c r="E279" s="16" t="str">
        <x:f>'Experiment_Coding_KT004'!BC3</x:f>
        <x:v>NR</x:v>
      </x:c>
      <x:c r="F279" s="16" t="str">
        <x:f>'Experiment_Coding_KT004'!BR3</x:f>
        <x:v>Sec. 3 Datasets; Appendix A; Table 2; Table 1; Appendix B</x:v>
      </x:c>
      <x:c r="G279" s="16" t="str">
        <x:v>HIGH</x:v>
      </x:c>
      <x:c r="H279" s="16" t="str">
        <x:v>N</x:v>
      </x:c>
      <x:c r="I279" s="16" t="str">
        <x:v>Coder A worked example</x:v>
      </x:c>
    </x:row>
    <x:row r="280">
      <x:c r="A280" s="16" t="n">
        <x:v>279</x:v>
      </x:c>
      <x:c r="B280" s="16" t="str">
        <x:v>EXPERIMENT</x:v>
      </x:c>
      <x:c r="C280" s="16" t="str">
        <x:f>'Experiment_Coding_KT004'!A3</x:f>
        <x:v>PILOT_01_E02</x:v>
      </x:c>
      <x:c r="D280" s="16" t="str">
        <x:v>train_time</x:v>
      </x:c>
      <x:c r="E280" s="16" t="str">
        <x:f>'Experiment_Coding_KT004'!BD3</x:f>
        <x:v>NR</x:v>
      </x:c>
      <x:c r="F280" s="16" t="str">
        <x:f>'Experiment_Coding_KT004'!BR3</x:f>
        <x:v>Sec. 3 Datasets; Appendix A; Table 2; Table 1; Appendix B</x:v>
      </x:c>
      <x:c r="G280" s="16" t="str">
        <x:v>HIGH</x:v>
      </x:c>
      <x:c r="H280" s="16" t="str">
        <x:v>N</x:v>
      </x:c>
      <x:c r="I280" s="16" t="str">
        <x:v>Coder A worked example</x:v>
      </x:c>
    </x:row>
    <x:row r="281">
      <x:c r="A281" s="16" t="n">
        <x:v>280</x:v>
      </x:c>
      <x:c r="B281" s="16" t="str">
        <x:v>EXPERIMENT</x:v>
      </x:c>
      <x:c r="C281" s="16" t="str">
        <x:f>'Experiment_Coding_KT004'!A3</x:f>
        <x:v>PILOT_01_E02</x:v>
      </x:c>
      <x:c r="D281" s="16" t="str">
        <x:v>time_per_epoch</x:v>
      </x:c>
      <x:c r="E281" s="16" t="str">
        <x:f>'Experiment_Coding_KT004'!BE3</x:f>
        <x:v>NR</x:v>
      </x:c>
      <x:c r="F281" s="16" t="str">
        <x:f>'Experiment_Coding_KT004'!BR3</x:f>
        <x:v>Sec. 3 Datasets; Appendix A; Table 2; Table 1; Appendix B</x:v>
      </x:c>
      <x:c r="G281" s="16" t="str">
        <x:v>HIGH</x:v>
      </x:c>
      <x:c r="H281" s="16" t="str">
        <x:v>N</x:v>
      </x:c>
      <x:c r="I281" s="16" t="str">
        <x:v>Coder A worked example</x:v>
      </x:c>
    </x:row>
    <x:row r="282">
      <x:c r="A282" s="16" t="n">
        <x:v>281</x:v>
      </x:c>
      <x:c r="B282" s="16" t="str">
        <x:v>EXPERIMENT</x:v>
      </x:c>
      <x:c r="C282" s="16" t="str">
        <x:f>'Experiment_Coding_KT004'!A3</x:f>
        <x:v>PILOT_01_E02</x:v>
      </x:c>
      <x:c r="D282" s="16" t="str">
        <x:v>inference_latency</x:v>
      </x:c>
      <x:c r="E282" s="16" t="str">
        <x:f>'Experiment_Coding_KT004'!BF3</x:f>
        <x:v>NR</x:v>
      </x:c>
      <x:c r="F282" s="16" t="str">
        <x:f>'Experiment_Coding_KT004'!BR3</x:f>
        <x:v>Sec. 3 Datasets; Appendix A; Table 2; Table 1; Appendix B</x:v>
      </x:c>
      <x:c r="G282" s="16" t="str">
        <x:v>HIGH</x:v>
      </x:c>
      <x:c r="H282" s="16" t="str">
        <x:v>N</x:v>
      </x:c>
      <x:c r="I282" s="16" t="str">
        <x:v>Coder A worked example</x:v>
      </x:c>
    </x:row>
    <x:row r="283">
      <x:c r="A283" s="16" t="n">
        <x:v>282</x:v>
      </x:c>
      <x:c r="B283" s="16" t="str">
        <x:v>EXPERIMENT</x:v>
      </x:c>
      <x:c r="C283" s="16" t="str">
        <x:f>'Experiment_Coding_KT004'!A3</x:f>
        <x:v>PILOT_01_E02</x:v>
      </x:c>
      <x:c r="D283" s="16" t="str">
        <x:v>throughput</x:v>
      </x:c>
      <x:c r="E283" s="16" t="str">
        <x:f>'Experiment_Coding_KT004'!BG3</x:f>
        <x:v>NR</x:v>
      </x:c>
      <x:c r="F283" s="16" t="str">
        <x:f>'Experiment_Coding_KT004'!BR3</x:f>
        <x:v>Sec. 3 Datasets; Appendix A; Table 2; Table 1; Appendix B</x:v>
      </x:c>
      <x:c r="G283" s="16" t="str">
        <x:v>HIGH</x:v>
      </x:c>
      <x:c r="H283" s="16" t="str">
        <x:v>N</x:v>
      </x:c>
      <x:c r="I283" s="16" t="str">
        <x:v>Coder A worked example</x:v>
      </x:c>
    </x:row>
    <x:row r="284">
      <x:c r="A284" s="16" t="n">
        <x:v>283</x:v>
      </x:c>
      <x:c r="B284" s="16" t="str">
        <x:v>EXPERIMENT</x:v>
      </x:c>
      <x:c r="C284" s="16" t="str">
        <x:f>'Experiment_Coding_KT004'!A3</x:f>
        <x:v>PILOT_01_E02</x:v>
      </x:c>
      <x:c r="D284" s="16" t="str">
        <x:v>cpu_ram</x:v>
      </x:c>
      <x:c r="E284" s="16" t="str">
        <x:f>'Experiment_Coding_KT004'!BH3</x:f>
        <x:v>NR</x:v>
      </x:c>
      <x:c r="F284" s="16" t="str">
        <x:f>'Experiment_Coding_KT004'!BR3</x:f>
        <x:v>Sec. 3 Datasets; Appendix A; Table 2; Table 1; Appendix B</x:v>
      </x:c>
      <x:c r="G284" s="16" t="str">
        <x:v>HIGH</x:v>
      </x:c>
      <x:c r="H284" s="16" t="str">
        <x:v>N</x:v>
      </x:c>
      <x:c r="I284" s="16" t="str">
        <x:v>Coder A worked example</x:v>
      </x:c>
    </x:row>
    <x:row r="285">
      <x:c r="A285" s="16" t="n">
        <x:v>284</x:v>
      </x:c>
      <x:c r="B285" s="16" t="str">
        <x:v>EXPERIMENT</x:v>
      </x:c>
      <x:c r="C285" s="16" t="str">
        <x:f>'Experiment_Coding_KT004'!A3</x:f>
        <x:v>PILOT_01_E02</x:v>
      </x:c>
      <x:c r="D285" s="16" t="str">
        <x:v>gpu_vram</x:v>
      </x:c>
      <x:c r="E285" s="16" t="str">
        <x:f>'Experiment_Coding_KT004'!BI3</x:f>
        <x:v>NR</x:v>
      </x:c>
      <x:c r="F285" s="16" t="str">
        <x:f>'Experiment_Coding_KT004'!BR3</x:f>
        <x:v>Sec. 3 Datasets; Appendix A; Table 2; Table 1; Appendix B</x:v>
      </x:c>
      <x:c r="G285" s="16" t="str">
        <x:v>HIGH</x:v>
      </x:c>
      <x:c r="H285" s="16" t="str">
        <x:v>N</x:v>
      </x:c>
      <x:c r="I285" s="16" t="str">
        <x:v>Coder A worked example</x:v>
      </x:c>
    </x:row>
    <x:row r="286">
      <x:c r="A286" s="16" t="n">
        <x:v>285</x:v>
      </x:c>
      <x:c r="B286" s="16" t="str">
        <x:v>EXPERIMENT</x:v>
      </x:c>
      <x:c r="C286" s="16" t="str">
        <x:f>'Experiment_Coding_KT004'!A3</x:f>
        <x:v>PILOT_01_E02</x:v>
      </x:c>
      <x:c r="D286" s="16" t="str">
        <x:v>hardware</x:v>
      </x:c>
      <x:c r="E286" s="16" t="str">
        <x:f>'Experiment_Coding_KT004'!BJ3</x:f>
        <x:v>NR</x:v>
      </x:c>
      <x:c r="F286" s="16" t="str">
        <x:f>'Experiment_Coding_KT004'!BR3</x:f>
        <x:v>Sec. 3 Datasets; Appendix A; Table 2; Table 1; Appendix B</x:v>
      </x:c>
      <x:c r="G286" s="16" t="str">
        <x:v>HIGH</x:v>
      </x:c>
      <x:c r="H286" s="16" t="str">
        <x:v>N</x:v>
      </x:c>
      <x:c r="I286" s="16" t="str">
        <x:v>Coder A worked example</x:v>
      </x:c>
    </x:row>
    <x:row r="287">
      <x:c r="A287" s="16" t="n">
        <x:v>286</x:v>
      </x:c>
      <x:c r="B287" s="16" t="str">
        <x:v>EXPERIMENT</x:v>
      </x:c>
      <x:c r="C287" s="16" t="str">
        <x:f>'Experiment_Coding_KT004'!A3</x:f>
        <x:v>PILOT_01_E02</x:v>
      </x:c>
      <x:c r="D287" s="16" t="str">
        <x:v>graph_construction_time</x:v>
      </x:c>
      <x:c r="E287" s="16" t="str">
        <x:f>'Experiment_Coding_KT004'!BK3</x:f>
        <x:v>NR</x:v>
      </x:c>
      <x:c r="F287" s="16" t="str">
        <x:f>'Experiment_Coding_KT004'!BR3</x:f>
        <x:v>Sec. 3 Datasets; Appendix A; Table 2; Table 1; Appendix B</x:v>
      </x:c>
      <x:c r="G287" s="16" t="str">
        <x:v>HIGH</x:v>
      </x:c>
      <x:c r="H287" s="16" t="str">
        <x:v>N</x:v>
      </x:c>
      <x:c r="I287" s="16" t="str">
        <x:v>Coder A worked example</x:v>
      </x:c>
    </x:row>
    <x:row r="288">
      <x:c r="A288" s="16" t="n">
        <x:v>287</x:v>
      </x:c>
      <x:c r="B288" s="16" t="str">
        <x:v>EXPERIMENT</x:v>
      </x:c>
      <x:c r="C288" s="16" t="str">
        <x:f>'Experiment_Coding_KT004'!A3</x:f>
        <x:v>PILOT_01_E02</x:v>
      </x:c>
      <x:c r="D288" s="16" t="str">
        <x:v>complexity_formula</x:v>
      </x:c>
      <x:c r="E288" s="16" t="str">
        <x:f>'Experiment_Coding_KT004'!BL3</x:f>
        <x:v>NR</x:v>
      </x:c>
      <x:c r="F288" s="16" t="str">
        <x:f>'Experiment_Coding_KT004'!BR3</x:f>
        <x:v>Sec. 3 Datasets; Appendix A; Table 2; Table 1; Appendix B</x:v>
      </x:c>
      <x:c r="G288" s="16" t="str">
        <x:v>HIGH</x:v>
      </x:c>
      <x:c r="H288" s="16" t="str">
        <x:v>N</x:v>
      </x:c>
      <x:c r="I288" s="16" t="str">
        <x:v>Coder A worked example</x:v>
      </x:c>
    </x:row>
    <x:row r="289">
      <x:c r="A289" s="16" t="n">
        <x:v>288</x:v>
      </x:c>
      <x:c r="B289" s="16" t="str">
        <x:v>EXPERIMENT</x:v>
      </x:c>
      <x:c r="C289" s="16" t="str">
        <x:f>'Experiment_Coding_KT004'!A3</x:f>
        <x:v>PILOT_01_E02</x:v>
      </x:c>
      <x:c r="D289" s="16" t="str">
        <x:v>scale_up_experiment</x:v>
      </x:c>
      <x:c r="E289" s="16" t="str">
        <x:f>'Experiment_Coding_KT004'!BM3</x:f>
        <x:v>N</x:v>
      </x:c>
      <x:c r="F289" s="16" t="str">
        <x:f>'Experiment_Coding_KT004'!BR3</x:f>
        <x:v>Sec. 3 Datasets; Appendix A; Table 2; Table 1; Appendix B</x:v>
      </x:c>
      <x:c r="G289" s="16" t="str">
        <x:v>HIGH</x:v>
      </x:c>
      <x:c r="H289" s="16" t="str">
        <x:v>Y</x:v>
      </x:c>
      <x:c r="I289" s="16" t="str">
        <x:v>Coder A worked example</x:v>
      </x:c>
    </x:row>
    <x:row r="290">
      <x:c r="A290" s="16" t="n">
        <x:v>289</x:v>
      </x:c>
      <x:c r="B290" s="16" t="str">
        <x:v>EXPERIMENT</x:v>
      </x:c>
      <x:c r="C290" s="16" t="str">
        <x:f>'Experiment_Coding_KT004'!A3</x:f>
        <x:v>PILOT_01_E02</x:v>
      </x:c>
      <x:c r="D290" s="16" t="str">
        <x:v>oom_timeout_reported</x:v>
      </x:c>
      <x:c r="E290" s="16" t="str">
        <x:f>'Experiment_Coding_KT004'!BN3</x:f>
        <x:v>NR</x:v>
      </x:c>
      <x:c r="F290" s="16" t="str">
        <x:f>'Experiment_Coding_KT004'!BR3</x:f>
        <x:v>Sec. 3 Datasets; Appendix A; Table 2; Table 1; Appendix B</x:v>
      </x:c>
      <x:c r="G290" s="16" t="str">
        <x:v>HIGH</x:v>
      </x:c>
      <x:c r="H290" s="16" t="str">
        <x:v>Y</x:v>
      </x:c>
      <x:c r="I290" s="16" t="str">
        <x:v>Coder A worked example</x:v>
      </x:c>
    </x:row>
    <x:row r="291">
      <x:c r="A291" s="16" t="n">
        <x:v>290</x:v>
      </x:c>
      <x:c r="B291" s="16" t="str">
        <x:v>EXPERIMENT</x:v>
      </x:c>
      <x:c r="C291" s="16" t="str">
        <x:f>'Experiment_Coding_KT004'!A4</x:f>
        <x:v>PILOT_01_E03</x:v>
      </x:c>
      <x:c r="D291" s="16" t="str">
        <x:v>dataset_name</x:v>
      </x:c>
      <x:c r="E291" s="16" t="str">
        <x:f>'Experiment_Coding_KT004'!D4</x:f>
        <x:v>ASSISTments</x:v>
      </x:c>
      <x:c r="F291" s="16" t="str">
        <x:f>'Experiment_Coding_KT004'!BR4</x:f>
        <x:v>Sec. 3 Datasets; Appendix A; Table 2; Table 1; Appendix B</x:v>
      </x:c>
      <x:c r="G291" s="16" t="str">
        <x:v>HIGH</x:v>
      </x:c>
      <x:c r="H291" s="16" t="str">
        <x:v>N</x:v>
      </x:c>
      <x:c r="I291" s="16" t="str">
        <x:v>Coder A worked example</x:v>
      </x:c>
    </x:row>
    <x:row r="292">
      <x:c r="A292" s="16" t="n">
        <x:v>291</x:v>
      </x:c>
      <x:c r="B292" s="16" t="str">
        <x:v>EXPERIMENT</x:v>
      </x:c>
      <x:c r="C292" s="16" t="str">
        <x:f>'Experiment_Coding_KT004'!A4</x:f>
        <x:v>PILOT_01_E03</x:v>
      </x:c>
      <x:c r="D292" s="16" t="str">
        <x:v>dataset_version</x:v>
      </x:c>
      <x:c r="E292" s="16" t="str">
        <x:f>'Experiment_Coding_KT004'!E4</x:f>
        <x:v>2009-2010 Skill Builder</x:v>
      </x:c>
      <x:c r="F292" s="16" t="str">
        <x:f>'Experiment_Coding_KT004'!BR4</x:f>
        <x:v>Sec. 3 Datasets; Appendix A; Table 2; Table 1; Appendix B</x:v>
      </x:c>
      <x:c r="G292" s="16" t="str">
        <x:v>HIGH</x:v>
      </x:c>
      <x:c r="H292" s="16" t="str">
        <x:v>N</x:v>
      </x:c>
      <x:c r="I292" s="16" t="str">
        <x:v>Coder A worked example</x:v>
      </x:c>
    </x:row>
    <x:row r="293">
      <x:c r="A293" s="16" t="n">
        <x:v>292</x:v>
      </x:c>
      <x:c r="B293" s="16" t="str">
        <x:v>EXPERIMENT</x:v>
      </x:c>
      <x:c r="C293" s="16" t="str">
        <x:f>'Experiment_Coding_KT004'!A4</x:f>
        <x:v>PILOT_01_E03</x:v>
      </x:c>
      <x:c r="D293" s="16" t="str">
        <x:v>n_learners_reported</x:v>
      </x:c>
      <x:c r="E293" s="16" t="n">
        <x:f>'Experiment_Coding_KT004'!G4</x:f>
        <x:v>1000</x:v>
      </x:c>
      <x:c r="F293" s="16" t="str">
        <x:f>'Experiment_Coding_KT004'!BR4</x:f>
        <x:v>Sec. 3 Datasets; Appendix A; Table 2; Table 1; Appendix B</x:v>
      </x:c>
      <x:c r="G293" s="16" t="str">
        <x:v>HIGH</x:v>
      </x:c>
      <x:c r="H293" s="16" t="str">
        <x:v>N</x:v>
      </x:c>
      <x:c r="I293" s="16" t="str">
        <x:v>Coder A worked example</x:v>
      </x:c>
    </x:row>
    <x:row r="294">
      <x:c r="A294" s="16" t="n">
        <x:v>293</x:v>
      </x:c>
      <x:c r="B294" s="16" t="str">
        <x:v>EXPERIMENT</x:v>
      </x:c>
      <x:c r="C294" s="16" t="str">
        <x:f>'Experiment_Coding_KT004'!A4</x:f>
        <x:v>PILOT_01_E03</x:v>
      </x:c>
      <x:c r="D294" s="16" t="str">
        <x:v>n_items_reported</x:v>
      </x:c>
      <x:c r="E294" s="16" t="str">
        <x:f>'Experiment_Coding_KT004'!H4</x:f>
        <x:v>NR</x:v>
      </x:c>
      <x:c r="F294" s="16" t="str">
        <x:f>'Experiment_Coding_KT004'!BR4</x:f>
        <x:v>Sec. 3 Datasets; Appendix A; Table 2; Table 1; Appendix B</x:v>
      </x:c>
      <x:c r="G294" s="16" t="str">
        <x:v>HIGH</x:v>
      </x:c>
      <x:c r="H294" s="16" t="str">
        <x:v>N</x:v>
      </x:c>
      <x:c r="I294" s="16" t="str">
        <x:v>Coder A worked example</x:v>
      </x:c>
    </x:row>
    <x:row r="295">
      <x:c r="A295" s="16" t="n">
        <x:v>294</x:v>
      </x:c>
      <x:c r="B295" s="16" t="str">
        <x:v>EXPERIMENT</x:v>
      </x:c>
      <x:c r="C295" s="16" t="str">
        <x:f>'Experiment_Coding_KT004'!A4</x:f>
        <x:v>PILOT_01_E03</x:v>
      </x:c>
      <x:c r="D295" s="16" t="str">
        <x:v>n_kcs_reported</x:v>
      </x:c>
      <x:c r="E295" s="16" t="n">
        <x:f>'Experiment_Coding_KT004'!I4</x:f>
        <x:v>101</x:v>
      </x:c>
      <x:c r="F295" s="16" t="str">
        <x:f>'Experiment_Coding_KT004'!BR4</x:f>
        <x:v>Sec. 3 Datasets; Appendix A; Table 2; Table 1; Appendix B</x:v>
      </x:c>
      <x:c r="G295" s="16" t="str">
        <x:v>HIGH</x:v>
      </x:c>
      <x:c r="H295" s="16" t="str">
        <x:v>N</x:v>
      </x:c>
      <x:c r="I295" s="16" t="str">
        <x:v>Coder A worked example</x:v>
      </x:c>
    </x:row>
    <x:row r="296">
      <x:c r="A296" s="16" t="n">
        <x:v>295</x:v>
      </x:c>
      <x:c r="B296" s="16" t="str">
        <x:v>EXPERIMENT</x:v>
      </x:c>
      <x:c r="C296" s="16" t="str">
        <x:f>'Experiment_Coding_KT004'!A4</x:f>
        <x:v>PILOT_01_E03</x:v>
      </x:c>
      <x:c r="D296" s="16" t="str">
        <x:v>n_interactions_reported</x:v>
      </x:c>
      <x:c r="E296" s="16" t="n">
        <x:f>'Experiment_Coding_KT004'!J4</x:f>
        <x:v>62955</x:v>
      </x:c>
      <x:c r="F296" s="16" t="str">
        <x:f>'Experiment_Coding_KT004'!BR4</x:f>
        <x:v>Sec. 3 Datasets; Appendix A; Table 2; Table 1; Appendix B</x:v>
      </x:c>
      <x:c r="G296" s="16" t="str">
        <x:v>HIGH</x:v>
      </x:c>
      <x:c r="H296" s="16" t="str">
        <x:v>N</x:v>
      </x:c>
      <x:c r="I296" s="16" t="str">
        <x:v>Coder A worked example</x:v>
      </x:c>
    </x:row>
    <x:row r="297">
      <x:c r="A297" s="16" t="n">
        <x:v>296</x:v>
      </x:c>
      <x:c r="B297" s="16" t="str">
        <x:v>EXPERIMENT</x:v>
      </x:c>
      <x:c r="C297" s="16" t="str">
        <x:f>'Experiment_Coding_KT004'!A4</x:f>
        <x:v>PILOT_01_E03</x:v>
      </x:c>
      <x:c r="D297" s="16" t="str">
        <x:v>multi_skill_present</x:v>
      </x:c>
      <x:c r="E297" s="16" t="str">
        <x:f>'Experiment_Coding_KT004'!K4</x:f>
        <x:v>UNCLEAR</x:v>
      </x:c>
      <x:c r="F297" s="16" t="str">
        <x:f>'Experiment_Coding_KT004'!BR4</x:f>
        <x:v>Sec. 3 Datasets; Appendix A; Table 2; Table 1; Appendix B</x:v>
      </x:c>
      <x:c r="G297" s="16" t="str">
        <x:v>HIGH</x:v>
      </x:c>
      <x:c r="H297" s="16" t="str">
        <x:v>Y</x:v>
      </x:c>
      <x:c r="I297" s="16" t="str">
        <x:v>Coder A worked example</x:v>
      </x:c>
    </x:row>
    <x:row r="298">
      <x:c r="A298" s="16" t="n">
        <x:v>297</x:v>
      </x:c>
      <x:c r="B298" s="16" t="str">
        <x:v>EXPERIMENT</x:v>
      </x:c>
      <x:c r="C298" s="16" t="str">
        <x:f>'Experiment_Coding_KT004'!A4</x:f>
        <x:v>PILOT_01_E03</x:v>
      </x:c>
      <x:c r="D298" s="16" t="str">
        <x:v>multi_skill_handling</x:v>
      </x:c>
      <x:c r="E298" s="16" t="str">
        <x:f>'Experiment_Coding_KT004'!L4</x:f>
        <x:v>Combine simultaneous answer logs into one; extract named skill tags</x:v>
      </x:c>
      <x:c r="F298" s="16" t="str">
        <x:f>'Experiment_Coding_KT004'!BR4</x:f>
        <x:v>Sec. 3 Datasets; Appendix A; Table 2; Table 1; Appendix B</x:v>
      </x:c>
      <x:c r="G298" s="16" t="str">
        <x:v>HIGH</x:v>
      </x:c>
      <x:c r="H298" s="16" t="str">
        <x:v>N</x:v>
      </x:c>
      <x:c r="I298" s="16" t="str">
        <x:v>Coder A worked example</x:v>
      </x:c>
    </x:row>
    <x:row r="299">
      <x:c r="A299" s="16" t="n">
        <x:v>298</x:v>
      </x:c>
      <x:c r="B299" s="16" t="str">
        <x:v>EXPERIMENT</x:v>
      </x:c>
      <x:c r="C299" s="16" t="str">
        <x:f>'Experiment_Coding_KT004'!A4</x:f>
        <x:v>PILOT_01_E03</x:v>
      </x:c>
      <x:c r="D299" s="16" t="str">
        <x:v>sequence_truncation</x:v>
      </x:c>
      <x:c r="E299" s="16" t="str">
        <x:f>'Experiment_Coding_KT004'!M4</x:f>
        <x:v>NR</x:v>
      </x:c>
      <x:c r="F299" s="16" t="str">
        <x:f>'Experiment_Coding_KT004'!BR4</x:f>
        <x:v>Sec. 3 Datasets; Appendix A; Table 2; Table 1; Appendix B</x:v>
      </x:c>
      <x:c r="G299" s="16" t="str">
        <x:v>HIGH</x:v>
      </x:c>
      <x:c r="H299" s="16" t="str">
        <x:v>N</x:v>
      </x:c>
      <x:c r="I299" s="16" t="str">
        <x:v>Coder A worked example</x:v>
      </x:c>
    </x:row>
    <x:row r="300">
      <x:c r="A300" s="16" t="n">
        <x:v>299</x:v>
      </x:c>
      <x:c r="B300" s="16" t="str">
        <x:v>EXPERIMENT</x:v>
      </x:c>
      <x:c r="C300" s="16" t="str">
        <x:f>'Experiment_Coding_KT004'!A4</x:f>
        <x:v>PILOT_01_E03</x:v>
      </x:c>
      <x:c r="D300" s="16" t="str">
        <x:v>min_sequence_filter</x:v>
      </x:c>
      <x:c r="E300" s="16" t="str">
        <x:f>'Experiment_Coding_KT004'!N4</x:f>
        <x:v>NR</x:v>
      </x:c>
      <x:c r="F300" s="16" t="str">
        <x:f>'Experiment_Coding_KT004'!BR4</x:f>
        <x:v>Sec. 3 Datasets; Appendix A; Table 2; Table 1; Appendix B</x:v>
      </x:c>
      <x:c r="G300" s="16" t="str">
        <x:v>HIGH</x:v>
      </x:c>
      <x:c r="H300" s="16" t="str">
        <x:v>N</x:v>
      </x:c>
      <x:c r="I300" s="16" t="str">
        <x:v>Coder A worked example</x:v>
      </x:c>
    </x:row>
    <x:row r="301">
      <x:c r="A301" s="16" t="n">
        <x:v>300</x:v>
      </x:c>
      <x:c r="B301" s="16" t="str">
        <x:v>EXPERIMENT</x:v>
      </x:c>
      <x:c r="C301" s="16" t="str">
        <x:f>'Experiment_Coding_KT004'!A4</x:f>
        <x:v>PILOT_01_E03</x:v>
      </x:c>
      <x:c r="D301" s="16" t="str">
        <x:v>timestamp_used</x:v>
      </x:c>
      <x:c r="E301" s="16" t="str">
        <x:f>'Experiment_Coding_KT004'!O4</x:f>
        <x:v>UNCLEAR</x:v>
      </x:c>
      <x:c r="F301" s="16" t="str">
        <x:f>'Experiment_Coding_KT004'!BR4</x:f>
        <x:v>Sec. 3 Datasets; Appendix A; Table 2; Table 1; Appendix B</x:v>
      </x:c>
      <x:c r="G301" s="16" t="str">
        <x:v>HIGH</x:v>
      </x:c>
      <x:c r="H301" s="16" t="str">
        <x:v>Y</x:v>
      </x:c>
      <x:c r="I301" s="16" t="str">
        <x:v>Coder A worked example</x:v>
      </x:c>
    </x:row>
    <x:row r="302">
      <x:c r="A302" s="16" t="n">
        <x:v>301</x:v>
      </x:c>
      <x:c r="B302" s="16" t="str">
        <x:v>EXPERIMENT</x:v>
      </x:c>
      <x:c r="C302" s="16" t="str">
        <x:f>'Experiment_Coding_KT004'!A4</x:f>
        <x:v>PILOT_01_E03</x:v>
      </x:c>
      <x:c r="D302" s="16" t="str">
        <x:v>preprocessing_code_available</x:v>
      </x:c>
      <x:c r="E302" s="16" t="str">
        <x:f>'Experiment_Coding_KT004'!P4</x:f>
        <x:v>NR</x:v>
      </x:c>
      <x:c r="F302" s="16" t="str">
        <x:f>'Experiment_Coding_KT004'!BR4</x:f>
        <x:v>Sec. 3 Datasets; Appendix A; Table 2; Table 1; Appendix B</x:v>
      </x:c>
      <x:c r="G302" s="16" t="str">
        <x:v>HIGH</x:v>
      </x:c>
      <x:c r="H302" s="16" t="str">
        <x:v>Y</x:v>
      </x:c>
      <x:c r="I302" s="16" t="str">
        <x:v>Coder A worked example</x:v>
      </x:c>
    </x:row>
    <x:row r="303">
      <x:c r="A303" s="16" t="n">
        <x:v>302</x:v>
      </x:c>
      <x:c r="B303" s="16" t="str">
        <x:v>EXPERIMENT</x:v>
      </x:c>
      <x:c r="C303" s="16" t="str">
        <x:f>'Experiment_Coding_KT004'!A4</x:f>
        <x:v>PILOT_01_E03</x:v>
      </x:c>
      <x:c r="D303" s="16" t="str">
        <x:v>split_type</x:v>
      </x:c>
      <x:c r="E303" s="16" t="str">
        <x:f>'Experiment_Coding_KT004'!Q4</x:f>
        <x:v>LEARNER_BASED</x:v>
      </x:c>
      <x:c r="F303" s="16" t="str">
        <x:f>'Experiment_Coding_KT004'!BR4</x:f>
        <x:v>Sec. 3 Datasets; Appendix A; Table 2; Table 1; Appendix B</x:v>
      </x:c>
      <x:c r="G303" s="16" t="str">
        <x:v>HIGH</x:v>
      </x:c>
      <x:c r="H303" s="16" t="str">
        <x:v>Y</x:v>
      </x:c>
      <x:c r="I303" s="16" t="str">
        <x:v>Coder A worked example</x:v>
      </x:c>
    </x:row>
    <x:row r="304">
      <x:c r="A304" s="16" t="n">
        <x:v>303</x:v>
      </x:c>
      <x:c r="B304" s="16" t="str">
        <x:v>EXPERIMENT</x:v>
      </x:c>
      <x:c r="C304" s="16" t="str">
        <x:f>'Experiment_Coding_KT004'!A4</x:f>
        <x:v>PILOT_01_E03</x:v>
      </x:c>
      <x:c r="D304" s="16" t="str">
        <x:v>split_unit_original</x:v>
      </x:c>
      <x:c r="E304" s="16" t="str">
        <x:f>'Experiment_Coding_KT004'!R4</x:f>
        <x:v>students</x:v>
      </x:c>
      <x:c r="F304" s="16" t="str">
        <x:f>'Experiment_Coding_KT004'!BR4</x:f>
        <x:v>Sec. 3 Datasets; Appendix A; Table 2; Table 1; Appendix B</x:v>
      </x:c>
      <x:c r="G304" s="16" t="str">
        <x:v>HIGH</x:v>
      </x:c>
      <x:c r="H304" s="16" t="str">
        <x:v>N</x:v>
      </x:c>
      <x:c r="I304" s="16" t="str">
        <x:v>Coder A worked example</x:v>
      </x:c>
    </x:row>
    <x:row r="305">
      <x:c r="A305" s="16" t="n">
        <x:v>304</x:v>
      </x:c>
      <x:c r="B305" s="16" t="str">
        <x:v>EXPERIMENT</x:v>
      </x:c>
      <x:c r="C305" s="16" t="str">
        <x:f>'Experiment_Coding_KT004'!A4</x:f>
        <x:v>PILOT_01_E03</x:v>
      </x:c>
      <x:c r="D305" s="16" t="str">
        <x:v>train_fraction</x:v>
      </x:c>
      <x:c r="E305" s="16" t="n">
        <x:f>'Experiment_Coding_KT004'!S4</x:f>
        <x:v>0.8</x:v>
      </x:c>
      <x:c r="F305" s="16" t="str">
        <x:f>'Experiment_Coding_KT004'!BR4</x:f>
        <x:v>Sec. 3 Datasets; Appendix A; Table 2; Table 1; Appendix B</x:v>
      </x:c>
      <x:c r="G305" s="16" t="str">
        <x:v>HIGH</x:v>
      </x:c>
      <x:c r="H305" s="16" t="str">
        <x:v>N</x:v>
      </x:c>
      <x:c r="I305" s="16" t="str">
        <x:v>Coder A worked example</x:v>
      </x:c>
    </x:row>
    <x:row r="306">
      <x:c r="A306" s="16" t="n">
        <x:v>305</x:v>
      </x:c>
      <x:c r="B306" s="16" t="str">
        <x:v>EXPERIMENT</x:v>
      </x:c>
      <x:c r="C306" s="16" t="str">
        <x:f>'Experiment_Coding_KT004'!A4</x:f>
        <x:v>PILOT_01_E03</x:v>
      </x:c>
      <x:c r="D306" s="16" t="str">
        <x:v>validation_fraction</x:v>
      </x:c>
      <x:c r="E306" s="16" t="n">
        <x:f>'Experiment_Coding_KT004'!T4</x:f>
        <x:v>0.1</x:v>
      </x:c>
      <x:c r="F306" s="16" t="str">
        <x:f>'Experiment_Coding_KT004'!BR4</x:f>
        <x:v>Sec. 3 Datasets; Appendix A; Table 2; Table 1; Appendix B</x:v>
      </x:c>
      <x:c r="G306" s="16" t="str">
        <x:v>HIGH</x:v>
      </x:c>
      <x:c r="H306" s="16" t="str">
        <x:v>N</x:v>
      </x:c>
      <x:c r="I306" s="16" t="str">
        <x:v>Coder A worked example</x:v>
      </x:c>
    </x:row>
    <x:row r="307">
      <x:c r="A307" s="16" t="n">
        <x:v>306</x:v>
      </x:c>
      <x:c r="B307" s="16" t="str">
        <x:v>EXPERIMENT</x:v>
      </x:c>
      <x:c r="C307" s="16" t="str">
        <x:f>'Experiment_Coding_KT004'!A4</x:f>
        <x:v>PILOT_01_E03</x:v>
      </x:c>
      <x:c r="D307" s="16" t="str">
        <x:v>test_fraction</x:v>
      </x:c>
      <x:c r="E307" s="16" t="n">
        <x:f>'Experiment_Coding_KT004'!U4</x:f>
        <x:v>0.1</x:v>
      </x:c>
      <x:c r="F307" s="16" t="str">
        <x:f>'Experiment_Coding_KT004'!BR4</x:f>
        <x:v>Sec. 3 Datasets; Appendix A; Table 2; Table 1; Appendix B</x:v>
      </x:c>
      <x:c r="G307" s="16" t="str">
        <x:v>HIGH</x:v>
      </x:c>
      <x:c r="H307" s="16" t="str">
        <x:v>N</x:v>
      </x:c>
      <x:c r="I307" s="16" t="str">
        <x:v>Coder A worked example</x:v>
      </x:c>
    </x:row>
    <x:row r="308">
      <x:c r="A308" s="16" t="n">
        <x:v>307</x:v>
      </x:c>
      <x:c r="B308" s="16" t="str">
        <x:v>EXPERIMENT</x:v>
      </x:c>
      <x:c r="C308" s="16" t="str">
        <x:f>'Experiment_Coding_KT004'!A4</x:f>
        <x:v>PILOT_01_E03</x:v>
      </x:c>
      <x:c r="D308" s="16" t="str">
        <x:v>validation_set_separate</x:v>
      </x:c>
      <x:c r="E308" s="16" t="str">
        <x:f>'Experiment_Coding_KT004'!V4</x:f>
        <x:v>Y</x:v>
      </x:c>
      <x:c r="F308" s="16" t="str">
        <x:f>'Experiment_Coding_KT004'!BR4</x:f>
        <x:v>Sec. 3 Datasets; Appendix A; Table 2; Table 1; Appendix B</x:v>
      </x:c>
      <x:c r="G308" s="16" t="str">
        <x:v>HIGH</x:v>
      </x:c>
      <x:c r="H308" s="16" t="str">
        <x:v>Y</x:v>
      </x:c>
      <x:c r="I308" s="16" t="str">
        <x:v>Coder A worked example</x:v>
      </x:c>
    </x:row>
    <x:row r="309">
      <x:c r="A309" s="16" t="n">
        <x:v>308</x:v>
      </x:c>
      <x:c r="B309" s="16" t="str">
        <x:v>EXPERIMENT</x:v>
      </x:c>
      <x:c r="C309" s="16" t="str">
        <x:f>'Experiment_Coding_KT004'!A4</x:f>
        <x:v>PILOT_01_E03</x:v>
      </x:c>
      <x:c r="D309" s="16" t="str">
        <x:v>early_stopping_validation_only</x:v>
      </x:c>
      <x:c r="E309" s="16" t="str">
        <x:f>'Experiment_Coding_KT004'!W4</x:f>
        <x:v>UNCLEAR</x:v>
      </x:c>
      <x:c r="F309" s="16" t="str">
        <x:f>'Experiment_Coding_KT004'!BR4</x:f>
        <x:v>Sec. 3 Datasets; Appendix A; Table 2; Table 1; Appendix B</x:v>
      </x:c>
      <x:c r="G309" s="16" t="str">
        <x:v>HIGH</x:v>
      </x:c>
      <x:c r="H309" s="16" t="str">
        <x:v>Y</x:v>
      </x:c>
      <x:c r="I309" s="16" t="str">
        <x:v>Coder A worked example</x:v>
      </x:c>
    </x:row>
    <x:row r="310">
      <x:c r="A310" s="16" t="n">
        <x:v>309</x:v>
      </x:c>
      <x:c r="B310" s="16" t="str">
        <x:v>EXPERIMENT</x:v>
      </x:c>
      <x:c r="C310" s="16" t="str">
        <x:f>'Experiment_Coding_KT004'!A4</x:f>
        <x:v>PILOT_01_E03</x:v>
      </x:c>
      <x:c r="D310" s="16" t="str">
        <x:v>graph_train_only</x:v>
      </x:c>
      <x:c r="E310" s="16" t="str">
        <x:f>'Experiment_Coding_KT004'!X4</x:f>
        <x:v>UNCLEAR</x:v>
      </x:c>
      <x:c r="F310" s="16" t="str">
        <x:f>'Experiment_Coding_KT004'!BR4</x:f>
        <x:v>Sec. 3 Datasets; Appendix A; Table 2; Table 1; Appendix B</x:v>
      </x:c>
      <x:c r="G310" s="16" t="str">
        <x:v>HIGH</x:v>
      </x:c>
      <x:c r="H310" s="16" t="str">
        <x:v>Y</x:v>
      </x:c>
      <x:c r="I310" s="16" t="str">
        <x:v>Coder A worked example</x:v>
      </x:c>
    </x:row>
    <x:row r="311">
      <x:c r="A311" s="16" t="n">
        <x:v>310</x:v>
      </x:c>
      <x:c r="B311" s="16" t="str">
        <x:v>EXPERIMENT</x:v>
      </x:c>
      <x:c r="C311" s="16" t="str">
        <x:f>'Experiment_Coding_KT004'!A4</x:f>
        <x:v>PILOT_01_E03</x:v>
      </x:c>
      <x:c r="D311" s="16" t="str">
        <x:v>normalization_train_only</x:v>
      </x:c>
      <x:c r="E311" s="16" t="str">
        <x:f>'Experiment_Coding_KT004'!Y4</x:f>
        <x:v>NR</x:v>
      </x:c>
      <x:c r="F311" s="16" t="str">
        <x:f>'Experiment_Coding_KT004'!BR4</x:f>
        <x:v>Sec. 3 Datasets; Appendix A; Table 2; Table 1; Appendix B</x:v>
      </x:c>
      <x:c r="G311" s="16" t="str">
        <x:v>HIGH</x:v>
      </x:c>
      <x:c r="H311" s="16" t="str">
        <x:v>Y</x:v>
      </x:c>
      <x:c r="I311" s="16" t="str">
        <x:v>Coder A worked example</x:v>
      </x:c>
    </x:row>
    <x:row r="312">
      <x:c r="A312" s="16" t="n">
        <x:v>311</x:v>
      </x:c>
      <x:c r="B312" s="16" t="str">
        <x:v>EXPERIMENT</x:v>
      </x:c>
      <x:c r="C312" s="16" t="str">
        <x:f>'Experiment_Coding_KT004'!A4</x:f>
        <x:v>PILOT_01_E03</x:v>
      </x:c>
      <x:c r="D312" s="16" t="str">
        <x:v>sparse_strata_train_only</x:v>
      </x:c>
      <x:c r="E312" s="16" t="str">
        <x:f>'Experiment_Coding_KT004'!Z4</x:f>
        <x:v>NA</x:v>
      </x:c>
      <x:c r="F312" s="16" t="str">
        <x:f>'Experiment_Coding_KT004'!BR4</x:f>
        <x:v>Sec. 3 Datasets; Appendix A; Table 2; Table 1; Appendix B</x:v>
      </x:c>
      <x:c r="G312" s="16" t="str">
        <x:v>HIGH</x:v>
      </x:c>
      <x:c r="H312" s="16" t="str">
        <x:v>Y</x:v>
      </x:c>
      <x:c r="I312" s="16" t="str">
        <x:v>Coder A worked example</x:v>
      </x:c>
    </x:row>
    <x:row r="313">
      <x:c r="A313" s="16" t="n">
        <x:v>312</x:v>
      </x:c>
      <x:c r="B313" s="16" t="str">
        <x:v>EXPERIMENT</x:v>
      </x:c>
      <x:c r="C313" s="16" t="str">
        <x:f>'Experiment_Coding_KT004'!A4</x:f>
        <x:v>PILOT_01_E03</x:v>
      </x:c>
      <x:c r="D313" s="16" t="str">
        <x:v>temporal_alignment_audited</x:v>
      </x:c>
      <x:c r="E313" s="16" t="str">
        <x:f>'Experiment_Coding_KT004'!AA4</x:f>
        <x:v>NR</x:v>
      </x:c>
      <x:c r="F313" s="16" t="str">
        <x:f>'Experiment_Coding_KT004'!BR4</x:f>
        <x:v>Sec. 3 Datasets; Appendix A; Table 2; Table 1; Appendix B</x:v>
      </x:c>
      <x:c r="G313" s="16" t="str">
        <x:v>HIGH</x:v>
      </x:c>
      <x:c r="H313" s="16" t="str">
        <x:v>Y</x:v>
      </x:c>
      <x:c r="I313" s="16" t="str">
        <x:v>Coder A worked example</x:v>
      </x:c>
    </x:row>
    <x:row r="314">
      <x:c r="A314" s="16" t="n">
        <x:v>313</x:v>
      </x:c>
      <x:c r="B314" s="16" t="str">
        <x:v>EXPERIMENT</x:v>
      </x:c>
      <x:c r="C314" s="16" t="str">
        <x:f>'Experiment_Coding_KT004'!A4</x:f>
        <x:v>PILOT_01_E03</x:v>
      </x:c>
      <x:c r="D314" s="16" t="str">
        <x:v>duplicate_entity_leakage_checked</x:v>
      </x:c>
      <x:c r="E314" s="16" t="str">
        <x:f>'Experiment_Coding_KT004'!AB4</x:f>
        <x:v>NR</x:v>
      </x:c>
      <x:c r="F314" s="16" t="str">
        <x:f>'Experiment_Coding_KT004'!BR4</x:f>
        <x:v>Sec. 3 Datasets; Appendix A; Table 2; Table 1; Appendix B</x:v>
      </x:c>
      <x:c r="G314" s="16" t="str">
        <x:v>HIGH</x:v>
      </x:c>
      <x:c r="H314" s="16" t="str">
        <x:v>Y</x:v>
      </x:c>
      <x:c r="I314" s="16" t="str">
        <x:v>Coder A worked example</x:v>
      </x:c>
    </x:row>
    <x:row r="315">
      <x:c r="A315" s="16" t="n">
        <x:v>314</x:v>
      </x:c>
      <x:c r="B315" s="16" t="str">
        <x:v>EXPERIMENT</x:v>
      </x:c>
      <x:c r="C315" s="16" t="str">
        <x:f>'Experiment_Coding_KT004'!A4</x:f>
        <x:v>PILOT_01_E03</x:v>
      </x:c>
      <x:c r="D315" s="16" t="str">
        <x:v>sparsity_construct</x:v>
      </x:c>
      <x:c r="E315" s="16" t="str">
        <x:f>'Experiment_Coding_KT004'!AC4</x:f>
        <x:v>NO_EXPLICIT_FOCUS</x:v>
      </x:c>
      <x:c r="F315" s="16" t="str">
        <x:f>'Experiment_Coding_KT004'!BR4</x:f>
        <x:v>Sec. 3 Datasets; Appendix A; Table 2; Table 1; Appendix B</x:v>
      </x:c>
      <x:c r="G315" s="16" t="str">
        <x:v>HIGH</x:v>
      </x:c>
      <x:c r="H315" s="16" t="str">
        <x:v>Y</x:v>
      </x:c>
      <x:c r="I315" s="16" t="str">
        <x:v>Coder A worked example</x:v>
      </x:c>
    </x:row>
    <x:row r="316">
      <x:c r="A316" s="16" t="n">
        <x:v>315</x:v>
      </x:c>
      <x:c r="B316" s="16" t="str">
        <x:v>EXPERIMENT</x:v>
      </x:c>
      <x:c r="C316" s="16" t="str">
        <x:f>'Experiment_Coding_KT004'!A4</x:f>
        <x:v>PILOT_01_E03</x:v>
      </x:c>
      <x:c r="D316" s="16" t="str">
        <x:v>sparse_definition_original</x:v>
      </x:c>
      <x:c r="E316" s="16" t="str">
        <x:f>'Experiment_Coding_KT004'!AD4</x:f>
        <x:v>NA</x:v>
      </x:c>
      <x:c r="F316" s="16" t="str">
        <x:f>'Experiment_Coding_KT004'!BR4</x:f>
        <x:v>Sec. 3 Datasets; Appendix A; Table 2; Table 1; Appendix B</x:v>
      </x:c>
      <x:c r="G316" s="16" t="str">
        <x:v>HIGH</x:v>
      </x:c>
      <x:c r="H316" s="16" t="str">
        <x:v>N</x:v>
      </x:c>
      <x:c r="I316" s="16" t="str">
        <x:v>Coder A worked example</x:v>
      </x:c>
    </x:row>
    <x:row r="317">
      <x:c r="A317" s="16" t="n">
        <x:v>316</x:v>
      </x:c>
      <x:c r="B317" s="16" t="str">
        <x:v>EXPERIMENT</x:v>
      </x:c>
      <x:c r="C317" s="16" t="str">
        <x:f>'Experiment_Coding_KT004'!A4</x:f>
        <x:v>PILOT_01_E03</x:v>
      </x:c>
      <x:c r="D317" s="16" t="str">
        <x:v>sparse_threshold_original</x:v>
      </x:c>
      <x:c r="E317" s="16" t="str">
        <x:f>'Experiment_Coding_KT004'!AE4</x:f>
        <x:v>NA</x:v>
      </x:c>
      <x:c r="F317" s="16" t="str">
        <x:f>'Experiment_Coding_KT004'!BR4</x:f>
        <x:v>Sec. 3 Datasets; Appendix A; Table 2; Table 1; Appendix B</x:v>
      </x:c>
      <x:c r="G317" s="16" t="str">
        <x:v>HIGH</x:v>
      </x:c>
      <x:c r="H317" s="16" t="str">
        <x:v>N</x:v>
      </x:c>
      <x:c r="I317" s="16" t="str">
        <x:v>Coder A worked example</x:v>
      </x:c>
    </x:row>
    <x:row r="318">
      <x:c r="A318" s="16" t="n">
        <x:v>317</x:v>
      </x:c>
      <x:c r="B318" s="16" t="str">
        <x:v>EXPERIMENT</x:v>
      </x:c>
      <x:c r="C318" s="16" t="str">
        <x:f>'Experiment_Coding_KT004'!A4</x:f>
        <x:v>PILOT_01_E03</x:v>
      </x:c>
      <x:c r="D318" s="16" t="str">
        <x:v>threshold_source</x:v>
      </x:c>
      <x:c r="E318" s="16" t="str">
        <x:f>'Experiment_Coding_KT004'!AF4</x:f>
        <x:v>NA</x:v>
      </x:c>
      <x:c r="F318" s="16" t="str">
        <x:f>'Experiment_Coding_KT004'!BR4</x:f>
        <x:v>Sec. 3 Datasets; Appendix A; Table 2; Table 1; Appendix B</x:v>
      </x:c>
      <x:c r="G318" s="16" t="str">
        <x:v>HIGH</x:v>
      </x:c>
      <x:c r="H318" s="16" t="str">
        <x:v>Y</x:v>
      </x:c>
      <x:c r="I318" s="16" t="str">
        <x:v>Coder A worked example</x:v>
      </x:c>
    </x:row>
    <x:row r="319">
      <x:c r="A319" s="16" t="n">
        <x:v>318</x:v>
      </x:c>
      <x:c r="B319" s="16" t="str">
        <x:v>EXPERIMENT</x:v>
      </x:c>
      <x:c r="C319" s="16" t="str">
        <x:f>'Experiment_Coding_KT004'!A4</x:f>
        <x:v>PILOT_01_E03</x:v>
      </x:c>
      <x:c r="D319" s="16" t="str">
        <x:v>frequency_computed_on</x:v>
      </x:c>
      <x:c r="E319" s="16" t="str">
        <x:f>'Experiment_Coding_KT004'!AG4</x:f>
        <x:v>NA</x:v>
      </x:c>
      <x:c r="F319" s="16" t="str">
        <x:f>'Experiment_Coding_KT004'!BR4</x:f>
        <x:v>Sec. 3 Datasets; Appendix A; Table 2; Table 1; Appendix B</x:v>
      </x:c>
      <x:c r="G319" s="16" t="str">
        <x:v>HIGH</x:v>
      </x:c>
      <x:c r="H319" s="16" t="str">
        <x:v>Y</x:v>
      </x:c>
      <x:c r="I319" s="16" t="str">
        <x:v>Coder A worked example</x:v>
      </x:c>
    </x:row>
    <x:row r="320">
      <x:c r="A320" s="16" t="n">
        <x:v>319</x:v>
      </x:c>
      <x:c r="B320" s="16" t="str">
        <x:v>EXPERIMENT</x:v>
      </x:c>
      <x:c r="C320" s="16" t="str">
        <x:f>'Experiment_Coding_KT004'!A4</x:f>
        <x:v>PILOT_01_E03</x:v>
      </x:c>
      <x:c r="D320" s="16" t="str">
        <x:v>strict_zero_train_verified</x:v>
      </x:c>
      <x:c r="E320" s="16" t="str">
        <x:f>'Experiment_Coding_KT004'!AH4</x:f>
        <x:v>NA</x:v>
      </x:c>
      <x:c r="F320" s="16" t="str">
        <x:f>'Experiment_Coding_KT004'!BR4</x:f>
        <x:v>Sec. 3 Datasets; Appendix A; Table 2; Table 1; Appendix B</x:v>
      </x:c>
      <x:c r="G320" s="16" t="str">
        <x:v>HIGH</x:v>
      </x:c>
      <x:c r="H320" s="16" t="str">
        <x:v>Y</x:v>
      </x:c>
      <x:c r="I320" s="16" t="str">
        <x:v>Coder A worked example</x:v>
      </x:c>
    </x:row>
    <x:row r="321">
      <x:c r="A321" s="16" t="n">
        <x:v>320</x:v>
      </x:c>
      <x:c r="B321" s="16" t="str">
        <x:v>EXPERIMENT</x:v>
      </x:c>
      <x:c r="C321" s="16" t="str">
        <x:f>'Experiment_Coding_KT004'!A4</x:f>
        <x:v>PILOT_01_E03</x:v>
      </x:c>
      <x:c r="D321" s="16" t="str">
        <x:v>external_info_for_unseen_kc</x:v>
      </x:c>
      <x:c r="E321" s="16" t="str">
        <x:f>'Experiment_Coding_KT004'!AI4</x:f>
        <x:v>NA</x:v>
      </x:c>
      <x:c r="F321" s="16" t="str">
        <x:f>'Experiment_Coding_KT004'!BR4</x:f>
        <x:v>Sec. 3 Datasets; Appendix A; Table 2; Table 1; Appendix B</x:v>
      </x:c>
      <x:c r="G321" s="16" t="str">
        <x:v>HIGH</x:v>
      </x:c>
      <x:c r="H321" s="16" t="str">
        <x:v>Y</x:v>
      </x:c>
      <x:c r="I321" s="16" t="str">
        <x:v>Coder A worked example</x:v>
      </x:c>
    </x:row>
    <x:row r="322">
      <x:c r="A322" s="16" t="n">
        <x:v>321</x:v>
      </x:c>
      <x:c r="B322" s="16" t="str">
        <x:v>EXPERIMENT</x:v>
      </x:c>
      <x:c r="C322" s="16" t="str">
        <x:f>'Experiment_Coding_KT004'!A4</x:f>
        <x:v>PILOT_01_E03</x:v>
      </x:c>
      <x:c r="D322" s="16" t="str">
        <x:v>support_kcs</x:v>
      </x:c>
      <x:c r="E322" s="16" t="str">
        <x:f>'Experiment_Coding_KT004'!AJ4</x:f>
        <x:v>NA</x:v>
      </x:c>
      <x:c r="F322" s="16" t="str">
        <x:f>'Experiment_Coding_KT004'!BR4</x:f>
        <x:v>Sec. 3 Datasets; Appendix A; Table 2; Table 1; Appendix B</x:v>
      </x:c>
      <x:c r="G322" s="16" t="str">
        <x:v>HIGH</x:v>
      </x:c>
      <x:c r="H322" s="16" t="str">
        <x:v>N</x:v>
      </x:c>
      <x:c r="I322" s="16" t="str">
        <x:v>Coder A worked example</x:v>
      </x:c>
    </x:row>
    <x:row r="323">
      <x:c r="A323" s="16" t="n">
        <x:v>322</x:v>
      </x:c>
      <x:c r="B323" s="16" t="str">
        <x:v>EXPERIMENT</x:v>
      </x:c>
      <x:c r="C323" s="16" t="str">
        <x:f>'Experiment_Coding_KT004'!A4</x:f>
        <x:v>PILOT_01_E03</x:v>
      </x:c>
      <x:c r="D323" s="16" t="str">
        <x:v>support_learners</x:v>
      </x:c>
      <x:c r="E323" s="16" t="str">
        <x:f>'Experiment_Coding_KT004'!AK4</x:f>
        <x:v>NA</x:v>
      </x:c>
      <x:c r="F323" s="16" t="str">
        <x:f>'Experiment_Coding_KT004'!BR4</x:f>
        <x:v>Sec. 3 Datasets; Appendix A; Table 2; Table 1; Appendix B</x:v>
      </x:c>
      <x:c r="G323" s="16" t="str">
        <x:v>HIGH</x:v>
      </x:c>
      <x:c r="H323" s="16" t="str">
        <x:v>N</x:v>
      </x:c>
      <x:c r="I323" s="16" t="str">
        <x:v>Coder A worked example</x:v>
      </x:c>
    </x:row>
    <x:row r="324">
      <x:c r="A324" s="16" t="n">
        <x:v>323</x:v>
      </x:c>
      <x:c r="B324" s="16" t="str">
        <x:v>EXPERIMENT</x:v>
      </x:c>
      <x:c r="C324" s="16" t="str">
        <x:f>'Experiment_Coding_KT004'!A4</x:f>
        <x:v>PILOT_01_E03</x:v>
      </x:c>
      <x:c r="D324" s="16" t="str">
        <x:v>support_items</x:v>
      </x:c>
      <x:c r="E324" s="16" t="str">
        <x:f>'Experiment_Coding_KT004'!AL4</x:f>
        <x:v>NA</x:v>
      </x:c>
      <x:c r="F324" s="16" t="str">
        <x:f>'Experiment_Coding_KT004'!BR4</x:f>
        <x:v>Sec. 3 Datasets; Appendix A; Table 2; Table 1; Appendix B</x:v>
      </x:c>
      <x:c r="G324" s="16" t="str">
        <x:v>HIGH</x:v>
      </x:c>
      <x:c r="H324" s="16" t="str">
        <x:v>N</x:v>
      </x:c>
      <x:c r="I324" s="16" t="str">
        <x:v>Coder A worked example</x:v>
      </x:c>
    </x:row>
    <x:row r="325">
      <x:c r="A325" s="16" t="n">
        <x:v>324</x:v>
      </x:c>
      <x:c r="B325" s="16" t="str">
        <x:v>EXPERIMENT</x:v>
      </x:c>
      <x:c r="C325" s="16" t="str">
        <x:f>'Experiment_Coding_KT004'!A4</x:f>
        <x:v>PILOT_01_E03</x:v>
      </x:c>
      <x:c r="D325" s="16" t="str">
        <x:v>support_test_interactions</x:v>
      </x:c>
      <x:c r="E325" s="16" t="str">
        <x:f>'Experiment_Coding_KT004'!AM4</x:f>
        <x:v>NA</x:v>
      </x:c>
      <x:c r="F325" s="16" t="str">
        <x:f>'Experiment_Coding_KT004'!BR4</x:f>
        <x:v>Sec. 3 Datasets; Appendix A; Table 2; Table 1; Appendix B</x:v>
      </x:c>
      <x:c r="G325" s="16" t="str">
        <x:v>HIGH</x:v>
      </x:c>
      <x:c r="H325" s="16" t="str">
        <x:v>N</x:v>
      </x:c>
      <x:c r="I325" s="16" t="str">
        <x:v>Coder A worked example</x:v>
      </x:c>
    </x:row>
    <x:row r="326">
      <x:c r="A326" s="16" t="n">
        <x:v>325</x:v>
      </x:c>
      <x:c r="B326" s="16" t="str">
        <x:v>EXPERIMENT</x:v>
      </x:c>
      <x:c r="C326" s="16" t="str">
        <x:f>'Experiment_Coding_KT004'!A4</x:f>
        <x:v>PILOT_01_E03</x:v>
      </x:c>
      <x:c r="D326" s="16" t="str">
        <x:v>positive_count</x:v>
      </x:c>
      <x:c r="E326" s="16" t="str">
        <x:f>'Experiment_Coding_KT004'!AN4</x:f>
        <x:v>NA</x:v>
      </x:c>
      <x:c r="F326" s="16" t="str">
        <x:f>'Experiment_Coding_KT004'!BR4</x:f>
        <x:v>Sec. 3 Datasets; Appendix A; Table 2; Table 1; Appendix B</x:v>
      </x:c>
      <x:c r="G326" s="16" t="str">
        <x:v>HIGH</x:v>
      </x:c>
      <x:c r="H326" s="16" t="str">
        <x:v>N</x:v>
      </x:c>
      <x:c r="I326" s="16" t="str">
        <x:v>Coder A worked example</x:v>
      </x:c>
    </x:row>
    <x:row r="327">
      <x:c r="A327" s="16" t="n">
        <x:v>326</x:v>
      </x:c>
      <x:c r="B327" s="16" t="str">
        <x:v>EXPERIMENT</x:v>
      </x:c>
      <x:c r="C327" s="16" t="str">
        <x:f>'Experiment_Coding_KT004'!A4</x:f>
        <x:v>PILOT_01_E03</x:v>
      </x:c>
      <x:c r="D327" s="16" t="str">
        <x:v>negative_count</x:v>
      </x:c>
      <x:c r="E327" s="16" t="str">
        <x:f>'Experiment_Coding_KT004'!AO4</x:f>
        <x:v>NA</x:v>
      </x:c>
      <x:c r="F327" s="16" t="str">
        <x:f>'Experiment_Coding_KT004'!BR4</x:f>
        <x:v>Sec. 3 Datasets; Appendix A; Table 2; Table 1; Appendix B</x:v>
      </x:c>
      <x:c r="G327" s="16" t="str">
        <x:v>HIGH</x:v>
      </x:c>
      <x:c r="H327" s="16" t="str">
        <x:v>N</x:v>
      </x:c>
      <x:c r="I327" s="16" t="str">
        <x:v>Coder A worked example</x:v>
      </x:c>
    </x:row>
    <x:row r="328">
      <x:c r="A328" s="16" t="n">
        <x:v>327</x:v>
      </x:c>
      <x:c r="B328" s="16" t="str">
        <x:v>EXPERIMENT</x:v>
      </x:c>
      <x:c r="C328" s="16" t="str">
        <x:f>'Experiment_Coding_KT004'!A4</x:f>
        <x:v>PILOT_01_E03</x:v>
      </x:c>
      <x:c r="D328" s="16" t="str">
        <x:v>metric_name_original</x:v>
      </x:c>
      <x:c r="E328" s="16" t="str">
        <x:f>'Experiment_Coding_KT004'!AP4</x:f>
        <x:v>AUC</x:v>
      </x:c>
      <x:c r="F328" s="16" t="str">
        <x:f>'Experiment_Coding_KT004'!BR4</x:f>
        <x:v>Sec. 3 Datasets; Appendix A; Table 2; Table 1; Appendix B</x:v>
      </x:c>
      <x:c r="G328" s="16" t="str">
        <x:v>HIGH</x:v>
      </x:c>
      <x:c r="H328" s="16" t="str">
        <x:v>N</x:v>
      </x:c>
      <x:c r="I328" s="16" t="str">
        <x:v>Coder A worked example</x:v>
      </x:c>
    </x:row>
    <x:row r="329">
      <x:c r="A329" s="16" t="n">
        <x:v>328</x:v>
      </x:c>
      <x:c r="B329" s="16" t="str">
        <x:v>EXPERIMENT</x:v>
      </x:c>
      <x:c r="C329" s="16" t="str">
        <x:f>'Experiment_Coding_KT004'!A4</x:f>
        <x:v>PILOT_01_E03</x:v>
      </x:c>
      <x:c r="D329" s="16" t="str">
        <x:v>metric_value_original</x:v>
      </x:c>
      <x:c r="E329" s="16" t="n">
        <x:f>'Experiment_Coding_KT004'!AQ4</x:f>
        <x:v>0.721</x:v>
      </x:c>
      <x:c r="F329" s="16" t="str">
        <x:f>'Experiment_Coding_KT004'!BR4</x:f>
        <x:v>Sec. 3 Datasets; Appendix A; Table 2; Table 1; Appendix B</x:v>
      </x:c>
      <x:c r="G329" s="16" t="str">
        <x:v>HIGH</x:v>
      </x:c>
      <x:c r="H329" s="16" t="str">
        <x:v>N</x:v>
      </x:c>
      <x:c r="I329" s="16" t="str">
        <x:v>Coder A worked example</x:v>
      </x:c>
    </x:row>
    <x:row r="330">
      <x:c r="A330" s="16" t="n">
        <x:v>329</x:v>
      </x:c>
      <x:c r="B330" s="16" t="str">
        <x:v>EXPERIMENT</x:v>
      </x:c>
      <x:c r="C330" s="16" t="str">
        <x:f>'Experiment_Coding_KT004'!A4</x:f>
        <x:v>PILOT_01_E03</x:v>
      </x:c>
      <x:c r="D330" s="16" t="str">
        <x:v>metric_scope</x:v>
      </x:c>
      <x:c r="E330" s="16" t="str">
        <x:f>'Experiment_Coding_KT004'!AR4</x:f>
        <x:v>OVERALL</x:v>
      </x:c>
      <x:c r="F330" s="16" t="str">
        <x:f>'Experiment_Coding_KT004'!BR4</x:f>
        <x:v>Sec. 3 Datasets; Appendix A; Table 2; Table 1; Appendix B</x:v>
      </x:c>
      <x:c r="G330" s="16" t="str">
        <x:v>HIGH</x:v>
      </x:c>
      <x:c r="H330" s="16" t="str">
        <x:v>Y</x:v>
      </x:c>
      <x:c r="I330" s="16" t="str">
        <x:v>Coder A worked example</x:v>
      </x:c>
    </x:row>
    <x:row r="331">
      <x:c r="A331" s="16" t="n">
        <x:v>330</x:v>
      </x:c>
      <x:c r="B331" s="16" t="str">
        <x:v>EXPERIMENT</x:v>
      </x:c>
      <x:c r="C331" s="16" t="str">
        <x:f>'Experiment_Coding_KT004'!A4</x:f>
        <x:v>PILOT_01_E03</x:v>
      </x:c>
      <x:c r="D331" s="16" t="str">
        <x:v>n_seeds</x:v>
      </x:c>
      <x:c r="E331" s="16" t="str">
        <x:f>'Experiment_Coding_KT004'!AS4</x:f>
        <x:v>NR</x:v>
      </x:c>
      <x:c r="F331" s="16" t="str">
        <x:f>'Experiment_Coding_KT004'!BR4</x:f>
        <x:v>Sec. 3 Datasets; Appendix A; Table 2; Table 1; Appendix B</x:v>
      </x:c>
      <x:c r="G331" s="16" t="str">
        <x:v>HIGH</x:v>
      </x:c>
      <x:c r="H331" s="16" t="str">
        <x:v>N</x:v>
      </x:c>
      <x:c r="I331" s="16" t="str">
        <x:v>Coder A worked example</x:v>
      </x:c>
    </x:row>
    <x:row r="332">
      <x:c r="A332" s="16" t="n">
        <x:v>331</x:v>
      </x:c>
      <x:c r="B332" s="16" t="str">
        <x:v>EXPERIMENT</x:v>
      </x:c>
      <x:c r="C332" s="16" t="str">
        <x:f>'Experiment_Coding_KT004'!A4</x:f>
        <x:v>PILOT_01_E03</x:v>
      </x:c>
      <x:c r="D332" s="16" t="str">
        <x:v>seed_values_reported</x:v>
      </x:c>
      <x:c r="E332" s="16" t="str">
        <x:f>'Experiment_Coding_KT004'!AT4</x:f>
        <x:v>NR</x:v>
      </x:c>
      <x:c r="F332" s="16" t="str">
        <x:f>'Experiment_Coding_KT004'!BR4</x:f>
        <x:v>Sec. 3 Datasets; Appendix A; Table 2; Table 1; Appendix B</x:v>
      </x:c>
      <x:c r="G332" s="16" t="str">
        <x:v>HIGH</x:v>
      </x:c>
      <x:c r="H332" s="16" t="str">
        <x:v>N</x:v>
      </x:c>
      <x:c r="I332" s="16" t="str">
        <x:v>Coder A worked example</x:v>
      </x:c>
    </x:row>
    <x:row r="333">
      <x:c r="A333" s="16" t="n">
        <x:v>332</x:v>
      </x:c>
      <x:c r="B333" s="16" t="str">
        <x:v>EXPERIMENT</x:v>
      </x:c>
      <x:c r="C333" s="16" t="str">
        <x:f>'Experiment_Coding_KT004'!A4</x:f>
        <x:v>PILOT_01_E03</x:v>
      </x:c>
      <x:c r="D333" s="16" t="str">
        <x:v>mean_std_reported</x:v>
      </x:c>
      <x:c r="E333" s="16" t="str">
        <x:f>'Experiment_Coding_KT004'!AU4</x:f>
        <x:v>N</x:v>
      </x:c>
      <x:c r="F333" s="16" t="str">
        <x:f>'Experiment_Coding_KT004'!BR4</x:f>
        <x:v>Sec. 3 Datasets; Appendix A; Table 2; Table 1; Appendix B</x:v>
      </x:c>
      <x:c r="G333" s="16" t="str">
        <x:v>HIGH</x:v>
      </x:c>
      <x:c r="H333" s="16" t="str">
        <x:v>Y</x:v>
      </x:c>
      <x:c r="I333" s="16" t="str">
        <x:v>Coder A worked example</x:v>
      </x:c>
    </x:row>
    <x:row r="334">
      <x:c r="A334" s="16" t="n">
        <x:v>333</x:v>
      </x:c>
      <x:c r="B334" s="16" t="str">
        <x:v>EXPERIMENT</x:v>
      </x:c>
      <x:c r="C334" s="16" t="str">
        <x:f>'Experiment_Coding_KT004'!A4</x:f>
        <x:v>PILOT_01_E03</x:v>
      </x:c>
      <x:c r="D334" s="16" t="str">
        <x:v>confidence_interval</x:v>
      </x:c>
      <x:c r="E334" s="16" t="str">
        <x:f>'Experiment_Coding_KT004'!AV4</x:f>
        <x:v>NR</x:v>
      </x:c>
      <x:c r="F334" s="16" t="str">
        <x:f>'Experiment_Coding_KT004'!BR4</x:f>
        <x:v>Sec. 3 Datasets; Appendix A; Table 2; Table 1; Appendix B</x:v>
      </x:c>
      <x:c r="G334" s="16" t="str">
        <x:v>HIGH</x:v>
      </x:c>
      <x:c r="H334" s="16" t="str">
        <x:v>N</x:v>
      </x:c>
      <x:c r="I334" s="16" t="str">
        <x:v>Coder A worked example</x:v>
      </x:c>
    </x:row>
    <x:row r="335">
      <x:c r="A335" s="16" t="n">
        <x:v>334</x:v>
      </x:c>
      <x:c r="B335" s="16" t="str">
        <x:v>EXPERIMENT</x:v>
      </x:c>
      <x:c r="C335" s="16" t="str">
        <x:f>'Experiment_Coding_KT004'!A4</x:f>
        <x:v>PILOT_01_E03</x:v>
      </x:c>
      <x:c r="D335" s="16" t="str">
        <x:v>bootstrap_unit</x:v>
      </x:c>
      <x:c r="E335" s="16" t="str">
        <x:f>'Experiment_Coding_KT004'!AW4</x:f>
        <x:v>NA</x:v>
      </x:c>
      <x:c r="F335" s="16" t="str">
        <x:f>'Experiment_Coding_KT004'!BR4</x:f>
        <x:v>Sec. 3 Datasets; Appendix A; Table 2; Table 1; Appendix B</x:v>
      </x:c>
      <x:c r="G335" s="16" t="str">
        <x:v>HIGH</x:v>
      </x:c>
      <x:c r="H335" s="16" t="str">
        <x:v>Y</x:v>
      </x:c>
      <x:c r="I335" s="16" t="str">
        <x:v>Coder A worked example</x:v>
      </x:c>
    </x:row>
    <x:row r="336">
      <x:c r="A336" s="16" t="n">
        <x:v>335</x:v>
      </x:c>
      <x:c r="B336" s="16" t="str">
        <x:v>EXPERIMENT</x:v>
      </x:c>
      <x:c r="C336" s="16" t="str">
        <x:f>'Experiment_Coding_KT004'!A4</x:f>
        <x:v>PILOT_01_E03</x:v>
      </x:c>
      <x:c r="D336" s="16" t="str">
        <x:v>statistical_test</x:v>
      </x:c>
      <x:c r="E336" s="16" t="str">
        <x:f>'Experiment_Coding_KT004'!AX4</x:f>
        <x:v>NR</x:v>
      </x:c>
      <x:c r="F336" s="16" t="str">
        <x:f>'Experiment_Coding_KT004'!BR4</x:f>
        <x:v>Sec. 3 Datasets; Appendix A; Table 2; Table 1; Appendix B</x:v>
      </x:c>
      <x:c r="G336" s="16" t="str">
        <x:v>HIGH</x:v>
      </x:c>
      <x:c r="H336" s="16" t="str">
        <x:v>N</x:v>
      </x:c>
      <x:c r="I336" s="16" t="str">
        <x:v>Coder A worked example</x:v>
      </x:c>
    </x:row>
    <x:row r="337">
      <x:c r="A337" s="16" t="n">
        <x:v>336</x:v>
      </x:c>
      <x:c r="B337" s="16" t="str">
        <x:v>EXPERIMENT</x:v>
      </x:c>
      <x:c r="C337" s="16" t="str">
        <x:f>'Experiment_Coding_KT004'!A4</x:f>
        <x:v>PILOT_01_E03</x:v>
      </x:c>
      <x:c r="D337" s="16" t="str">
        <x:v>multiple_comparison_correction</x:v>
      </x:c>
      <x:c r="E337" s="16" t="str">
        <x:f>'Experiment_Coding_KT004'!AY4</x:f>
        <x:v>NR</x:v>
      </x:c>
      <x:c r="F337" s="16" t="str">
        <x:f>'Experiment_Coding_KT004'!BR4</x:f>
        <x:v>Sec. 3 Datasets; Appendix A; Table 2; Table 1; Appendix B</x:v>
      </x:c>
      <x:c r="G337" s="16" t="str">
        <x:v>HIGH</x:v>
      </x:c>
      <x:c r="H337" s="16" t="str">
        <x:v>N</x:v>
      </x:c>
      <x:c r="I337" s="16" t="str">
        <x:v>Coder A worked example</x:v>
      </x:c>
    </x:row>
    <x:row r="338">
      <x:c r="A338" s="16" t="n">
        <x:v>337</x:v>
      </x:c>
      <x:c r="B338" s="16" t="str">
        <x:v>EXPERIMENT</x:v>
      </x:c>
      <x:c r="C338" s="16" t="str">
        <x:f>'Experiment_Coding_KT004'!A4</x:f>
        <x:v>PILOT_01_E03</x:v>
      </x:c>
      <x:c r="D338" s="16" t="str">
        <x:v>effect_size</x:v>
      </x:c>
      <x:c r="E338" s="16" t="str">
        <x:f>'Experiment_Coding_KT004'!AZ4</x:f>
        <x:v>NR</x:v>
      </x:c>
      <x:c r="F338" s="16" t="str">
        <x:f>'Experiment_Coding_KT004'!BR4</x:f>
        <x:v>Sec. 3 Datasets; Appendix A; Table 2; Table 1; Appendix B</x:v>
      </x:c>
      <x:c r="G338" s="16" t="str">
        <x:v>HIGH</x:v>
      </x:c>
      <x:c r="H338" s="16" t="str">
        <x:v>N</x:v>
      </x:c>
      <x:c r="I338" s="16" t="str">
        <x:v>Coder A worked example</x:v>
      </x:c>
    </x:row>
    <x:row r="339">
      <x:c r="A339" s="16" t="n">
        <x:v>338</x:v>
      </x:c>
      <x:c r="B339" s="16" t="str">
        <x:v>EXPERIMENT</x:v>
      </x:c>
      <x:c r="C339" s="16" t="str">
        <x:f>'Experiment_Coding_KT004'!A4</x:f>
        <x:v>PILOT_01_E03</x:v>
      </x:c>
      <x:c r="D339" s="16" t="str">
        <x:v>paired_design</x:v>
      </x:c>
      <x:c r="E339" s="16" t="str">
        <x:f>'Experiment_Coding_KT004'!BA4</x:f>
        <x:v>NR</x:v>
      </x:c>
      <x:c r="F339" s="16" t="str">
        <x:f>'Experiment_Coding_KT004'!BR4</x:f>
        <x:v>Sec. 3 Datasets; Appendix A; Table 2; Table 1; Appendix B</x:v>
      </x:c>
      <x:c r="G339" s="16" t="str">
        <x:v>HIGH</x:v>
      </x:c>
      <x:c r="H339" s="16" t="str">
        <x:v>Y</x:v>
      </x:c>
      <x:c r="I339" s="16" t="str">
        <x:v>Coder A worked example</x:v>
      </x:c>
    </x:row>
    <x:row r="340">
      <x:c r="A340" s="16" t="n">
        <x:v>339</x:v>
      </x:c>
      <x:c r="B340" s="16" t="str">
        <x:v>EXPERIMENT</x:v>
      </x:c>
      <x:c r="C340" s="16" t="str">
        <x:f>'Experiment_Coding_KT004'!A4</x:f>
        <x:v>PILOT_01_E03</x:v>
      </x:c>
      <x:c r="D340" s="16" t="str">
        <x:v>significance_threshold</x:v>
      </x:c>
      <x:c r="E340" s="16" t="str">
        <x:f>'Experiment_Coding_KT004'!BB4</x:f>
        <x:v>NR</x:v>
      </x:c>
      <x:c r="F340" s="16" t="str">
        <x:f>'Experiment_Coding_KT004'!BR4</x:f>
        <x:v>Sec. 3 Datasets; Appendix A; Table 2; Table 1; Appendix B</x:v>
      </x:c>
      <x:c r="G340" s="16" t="str">
        <x:v>HIGH</x:v>
      </x:c>
      <x:c r="H340" s="16" t="str">
        <x:v>N</x:v>
      </x:c>
      <x:c r="I340" s="16" t="str">
        <x:v>Coder A worked example</x:v>
      </x:c>
    </x:row>
    <x:row r="341">
      <x:c r="A341" s="16" t="n">
        <x:v>340</x:v>
      </x:c>
      <x:c r="B341" s="16" t="str">
        <x:v>EXPERIMENT</x:v>
      </x:c>
      <x:c r="C341" s="16" t="str">
        <x:f>'Experiment_Coding_KT004'!A4</x:f>
        <x:v>PILOT_01_E03</x:v>
      </x:c>
      <x:c r="D341" s="16" t="str">
        <x:v>parameter_count</x:v>
      </x:c>
      <x:c r="E341" s="16" t="str">
        <x:f>'Experiment_Coding_KT004'!BC4</x:f>
        <x:v>NR</x:v>
      </x:c>
      <x:c r="F341" s="16" t="str">
        <x:f>'Experiment_Coding_KT004'!BR4</x:f>
        <x:v>Sec. 3 Datasets; Appendix A; Table 2; Table 1; Appendix B</x:v>
      </x:c>
      <x:c r="G341" s="16" t="str">
        <x:v>HIGH</x:v>
      </x:c>
      <x:c r="H341" s="16" t="str">
        <x:v>N</x:v>
      </x:c>
      <x:c r="I341" s="16" t="str">
        <x:v>Coder A worked example</x:v>
      </x:c>
    </x:row>
    <x:row r="342">
      <x:c r="A342" s="16" t="n">
        <x:v>341</x:v>
      </x:c>
      <x:c r="B342" s="16" t="str">
        <x:v>EXPERIMENT</x:v>
      </x:c>
      <x:c r="C342" s="16" t="str">
        <x:f>'Experiment_Coding_KT004'!A4</x:f>
        <x:v>PILOT_01_E03</x:v>
      </x:c>
      <x:c r="D342" s="16" t="str">
        <x:v>train_time</x:v>
      </x:c>
      <x:c r="E342" s="16" t="str">
        <x:f>'Experiment_Coding_KT004'!BD4</x:f>
        <x:v>NR</x:v>
      </x:c>
      <x:c r="F342" s="16" t="str">
        <x:f>'Experiment_Coding_KT004'!BR4</x:f>
        <x:v>Sec. 3 Datasets; Appendix A; Table 2; Table 1; Appendix B</x:v>
      </x:c>
      <x:c r="G342" s="16" t="str">
        <x:v>HIGH</x:v>
      </x:c>
      <x:c r="H342" s="16" t="str">
        <x:v>N</x:v>
      </x:c>
      <x:c r="I342" s="16" t="str">
        <x:v>Coder A worked example</x:v>
      </x:c>
    </x:row>
    <x:row r="343">
      <x:c r="A343" s="16" t="n">
        <x:v>342</x:v>
      </x:c>
      <x:c r="B343" s="16" t="str">
        <x:v>EXPERIMENT</x:v>
      </x:c>
      <x:c r="C343" s="16" t="str">
        <x:f>'Experiment_Coding_KT004'!A4</x:f>
        <x:v>PILOT_01_E03</x:v>
      </x:c>
      <x:c r="D343" s="16" t="str">
        <x:v>time_per_epoch</x:v>
      </x:c>
      <x:c r="E343" s="16" t="str">
        <x:f>'Experiment_Coding_KT004'!BE4</x:f>
        <x:v>NR</x:v>
      </x:c>
      <x:c r="F343" s="16" t="str">
        <x:f>'Experiment_Coding_KT004'!BR4</x:f>
        <x:v>Sec. 3 Datasets; Appendix A; Table 2; Table 1; Appendix B</x:v>
      </x:c>
      <x:c r="G343" s="16" t="str">
        <x:v>HIGH</x:v>
      </x:c>
      <x:c r="H343" s="16" t="str">
        <x:v>N</x:v>
      </x:c>
      <x:c r="I343" s="16" t="str">
        <x:v>Coder A worked example</x:v>
      </x:c>
    </x:row>
    <x:row r="344">
      <x:c r="A344" s="16" t="n">
        <x:v>343</x:v>
      </x:c>
      <x:c r="B344" s="16" t="str">
        <x:v>EXPERIMENT</x:v>
      </x:c>
      <x:c r="C344" s="16" t="str">
        <x:f>'Experiment_Coding_KT004'!A4</x:f>
        <x:v>PILOT_01_E03</x:v>
      </x:c>
      <x:c r="D344" s="16" t="str">
        <x:v>inference_latency</x:v>
      </x:c>
      <x:c r="E344" s="16" t="str">
        <x:f>'Experiment_Coding_KT004'!BF4</x:f>
        <x:v>NR</x:v>
      </x:c>
      <x:c r="F344" s="16" t="str">
        <x:f>'Experiment_Coding_KT004'!BR4</x:f>
        <x:v>Sec. 3 Datasets; Appendix A; Table 2; Table 1; Appendix B</x:v>
      </x:c>
      <x:c r="G344" s="16" t="str">
        <x:v>HIGH</x:v>
      </x:c>
      <x:c r="H344" s="16" t="str">
        <x:v>N</x:v>
      </x:c>
      <x:c r="I344" s="16" t="str">
        <x:v>Coder A worked example</x:v>
      </x:c>
    </x:row>
    <x:row r="345">
      <x:c r="A345" s="16" t="n">
        <x:v>344</x:v>
      </x:c>
      <x:c r="B345" s="16" t="str">
        <x:v>EXPERIMENT</x:v>
      </x:c>
      <x:c r="C345" s="16" t="str">
        <x:f>'Experiment_Coding_KT004'!A4</x:f>
        <x:v>PILOT_01_E03</x:v>
      </x:c>
      <x:c r="D345" s="16" t="str">
        <x:v>throughput</x:v>
      </x:c>
      <x:c r="E345" s="16" t="str">
        <x:f>'Experiment_Coding_KT004'!BG4</x:f>
        <x:v>NR</x:v>
      </x:c>
      <x:c r="F345" s="16" t="str">
        <x:f>'Experiment_Coding_KT004'!BR4</x:f>
        <x:v>Sec. 3 Datasets; Appendix A; Table 2; Table 1; Appendix B</x:v>
      </x:c>
      <x:c r="G345" s="16" t="str">
        <x:v>HIGH</x:v>
      </x:c>
      <x:c r="H345" s="16" t="str">
        <x:v>N</x:v>
      </x:c>
      <x:c r="I345" s="16" t="str">
        <x:v>Coder A worked example</x:v>
      </x:c>
    </x:row>
    <x:row r="346">
      <x:c r="A346" s="16" t="n">
        <x:v>345</x:v>
      </x:c>
      <x:c r="B346" s="16" t="str">
        <x:v>EXPERIMENT</x:v>
      </x:c>
      <x:c r="C346" s="16" t="str">
        <x:f>'Experiment_Coding_KT004'!A4</x:f>
        <x:v>PILOT_01_E03</x:v>
      </x:c>
      <x:c r="D346" s="16" t="str">
        <x:v>cpu_ram</x:v>
      </x:c>
      <x:c r="E346" s="16" t="str">
        <x:f>'Experiment_Coding_KT004'!BH4</x:f>
        <x:v>NR</x:v>
      </x:c>
      <x:c r="F346" s="16" t="str">
        <x:f>'Experiment_Coding_KT004'!BR4</x:f>
        <x:v>Sec. 3 Datasets; Appendix A; Table 2; Table 1; Appendix B</x:v>
      </x:c>
      <x:c r="G346" s="16" t="str">
        <x:v>HIGH</x:v>
      </x:c>
      <x:c r="H346" s="16" t="str">
        <x:v>N</x:v>
      </x:c>
      <x:c r="I346" s="16" t="str">
        <x:v>Coder A worked example</x:v>
      </x:c>
    </x:row>
    <x:row r="347">
      <x:c r="A347" s="16" t="n">
        <x:v>346</x:v>
      </x:c>
      <x:c r="B347" s="16" t="str">
        <x:v>EXPERIMENT</x:v>
      </x:c>
      <x:c r="C347" s="16" t="str">
        <x:f>'Experiment_Coding_KT004'!A4</x:f>
        <x:v>PILOT_01_E03</x:v>
      </x:c>
      <x:c r="D347" s="16" t="str">
        <x:v>gpu_vram</x:v>
      </x:c>
      <x:c r="E347" s="16" t="str">
        <x:f>'Experiment_Coding_KT004'!BI4</x:f>
        <x:v>NR</x:v>
      </x:c>
      <x:c r="F347" s="16" t="str">
        <x:f>'Experiment_Coding_KT004'!BR4</x:f>
        <x:v>Sec. 3 Datasets; Appendix A; Table 2; Table 1; Appendix B</x:v>
      </x:c>
      <x:c r="G347" s="16" t="str">
        <x:v>HIGH</x:v>
      </x:c>
      <x:c r="H347" s="16" t="str">
        <x:v>N</x:v>
      </x:c>
      <x:c r="I347" s="16" t="str">
        <x:v>Coder A worked example</x:v>
      </x:c>
    </x:row>
    <x:row r="348">
      <x:c r="A348" s="16" t="n">
        <x:v>347</x:v>
      </x:c>
      <x:c r="B348" s="16" t="str">
        <x:v>EXPERIMENT</x:v>
      </x:c>
      <x:c r="C348" s="16" t="str">
        <x:f>'Experiment_Coding_KT004'!A4</x:f>
        <x:v>PILOT_01_E03</x:v>
      </x:c>
      <x:c r="D348" s="16" t="str">
        <x:v>hardware</x:v>
      </x:c>
      <x:c r="E348" s="16" t="str">
        <x:f>'Experiment_Coding_KT004'!BJ4</x:f>
        <x:v>NR</x:v>
      </x:c>
      <x:c r="F348" s="16" t="str">
        <x:f>'Experiment_Coding_KT004'!BR4</x:f>
        <x:v>Sec. 3 Datasets; Appendix A; Table 2; Table 1; Appendix B</x:v>
      </x:c>
      <x:c r="G348" s="16" t="str">
        <x:v>HIGH</x:v>
      </x:c>
      <x:c r="H348" s="16" t="str">
        <x:v>N</x:v>
      </x:c>
      <x:c r="I348" s="16" t="str">
        <x:v>Coder A worked example</x:v>
      </x:c>
    </x:row>
    <x:row r="349">
      <x:c r="A349" s="16" t="n">
        <x:v>348</x:v>
      </x:c>
      <x:c r="B349" s="16" t="str">
        <x:v>EXPERIMENT</x:v>
      </x:c>
      <x:c r="C349" s="16" t="str">
        <x:f>'Experiment_Coding_KT004'!A4</x:f>
        <x:v>PILOT_01_E03</x:v>
      </x:c>
      <x:c r="D349" s="16" t="str">
        <x:v>graph_construction_time</x:v>
      </x:c>
      <x:c r="E349" s="16" t="str">
        <x:f>'Experiment_Coding_KT004'!BK4</x:f>
        <x:v>NR</x:v>
      </x:c>
      <x:c r="F349" s="16" t="str">
        <x:f>'Experiment_Coding_KT004'!BR4</x:f>
        <x:v>Sec. 3 Datasets; Appendix A; Table 2; Table 1; Appendix B</x:v>
      </x:c>
      <x:c r="G349" s="16" t="str">
        <x:v>HIGH</x:v>
      </x:c>
      <x:c r="H349" s="16" t="str">
        <x:v>N</x:v>
      </x:c>
      <x:c r="I349" s="16" t="str">
        <x:v>Coder A worked example</x:v>
      </x:c>
    </x:row>
    <x:row r="350">
      <x:c r="A350" s="16" t="n">
        <x:v>349</x:v>
      </x:c>
      <x:c r="B350" s="16" t="str">
        <x:v>EXPERIMENT</x:v>
      </x:c>
      <x:c r="C350" s="16" t="str">
        <x:f>'Experiment_Coding_KT004'!A4</x:f>
        <x:v>PILOT_01_E03</x:v>
      </x:c>
      <x:c r="D350" s="16" t="str">
        <x:v>complexity_formula</x:v>
      </x:c>
      <x:c r="E350" s="16" t="str">
        <x:f>'Experiment_Coding_KT004'!BL4</x:f>
        <x:v>NR</x:v>
      </x:c>
      <x:c r="F350" s="16" t="str">
        <x:f>'Experiment_Coding_KT004'!BR4</x:f>
        <x:v>Sec. 3 Datasets; Appendix A; Table 2; Table 1; Appendix B</x:v>
      </x:c>
      <x:c r="G350" s="16" t="str">
        <x:v>HIGH</x:v>
      </x:c>
      <x:c r="H350" s="16" t="str">
        <x:v>N</x:v>
      </x:c>
      <x:c r="I350" s="16" t="str">
        <x:v>Coder A worked example</x:v>
      </x:c>
    </x:row>
    <x:row r="351">
      <x:c r="A351" s="16" t="n">
        <x:v>350</x:v>
      </x:c>
      <x:c r="B351" s="16" t="str">
        <x:v>EXPERIMENT</x:v>
      </x:c>
      <x:c r="C351" s="16" t="str">
        <x:f>'Experiment_Coding_KT004'!A4</x:f>
        <x:v>PILOT_01_E03</x:v>
      </x:c>
      <x:c r="D351" s="16" t="str">
        <x:v>scale_up_experiment</x:v>
      </x:c>
      <x:c r="E351" s="16" t="str">
        <x:f>'Experiment_Coding_KT004'!BM4</x:f>
        <x:v>N</x:v>
      </x:c>
      <x:c r="F351" s="16" t="str">
        <x:f>'Experiment_Coding_KT004'!BR4</x:f>
        <x:v>Sec. 3 Datasets; Appendix A; Table 2; Table 1; Appendix B</x:v>
      </x:c>
      <x:c r="G351" s="16" t="str">
        <x:v>HIGH</x:v>
      </x:c>
      <x:c r="H351" s="16" t="str">
        <x:v>Y</x:v>
      </x:c>
      <x:c r="I351" s="16" t="str">
        <x:v>Coder A worked example</x:v>
      </x:c>
    </x:row>
    <x:row r="352">
      <x:c r="A352" s="16" t="n">
        <x:v>351</x:v>
      </x:c>
      <x:c r="B352" s="16" t="str">
        <x:v>EXPERIMENT</x:v>
      </x:c>
      <x:c r="C352" s="16" t="str">
        <x:f>'Experiment_Coding_KT004'!A4</x:f>
        <x:v>PILOT_01_E03</x:v>
      </x:c>
      <x:c r="D352" s="16" t="str">
        <x:v>oom_timeout_reported</x:v>
      </x:c>
      <x:c r="E352" s="16" t="str">
        <x:f>'Experiment_Coding_KT004'!BN4</x:f>
        <x:v>NR</x:v>
      </x:c>
      <x:c r="F352" s="16" t="str">
        <x:f>'Experiment_Coding_KT004'!BR4</x:f>
        <x:v>Sec. 3 Datasets; Appendix A; Table 2; Table 1; Appendix B</x:v>
      </x:c>
      <x:c r="G352" s="16" t="str">
        <x:v>HIGH</x:v>
      </x:c>
      <x:c r="H352" s="16" t="str">
        <x:v>Y</x:v>
      </x:c>
      <x:c r="I352" s="16" t="str">
        <x:v>Coder A worked example</x:v>
      </x:c>
    </x:row>
    <x:row r="353">
      <x:c r="A353" s="16" t="n">
        <x:v>352</x:v>
      </x:c>
      <x:c r="B353" s="16" t="str">
        <x:v>EXPERIMENT</x:v>
      </x:c>
      <x:c r="C353" s="16" t="str">
        <x:f>'Experiment_Coding_KT004'!A5</x:f>
        <x:v>PILOT_01_E04</x:v>
      </x:c>
      <x:c r="D353" s="16" t="str">
        <x:v>dataset_name</x:v>
      </x:c>
      <x:c r="E353" s="16" t="str">
        <x:f>'Experiment_Coding_KT004'!D5</x:f>
        <x:v>KDDCup</x:v>
      </x:c>
      <x:c r="F353" s="16" t="str">
        <x:f>'Experiment_Coding_KT004'!BR5</x:f>
        <x:v>Sec. 3 Datasets; Appendix A; Table 2; Table 1; Appendix B</x:v>
      </x:c>
      <x:c r="G353" s="16" t="str">
        <x:v>HIGH</x:v>
      </x:c>
      <x:c r="H353" s="16" t="str">
        <x:v>N</x:v>
      </x:c>
      <x:c r="I353" s="16" t="str">
        <x:v>Coder A worked example</x:v>
      </x:c>
    </x:row>
    <x:row r="354">
      <x:c r="A354" s="16" t="n">
        <x:v>353</x:v>
      </x:c>
      <x:c r="B354" s="16" t="str">
        <x:v>EXPERIMENT</x:v>
      </x:c>
      <x:c r="C354" s="16" t="str">
        <x:f>'Experiment_Coding_KT004'!A5</x:f>
        <x:v>PILOT_01_E04</x:v>
      </x:c>
      <x:c r="D354" s="16" t="str">
        <x:v>dataset_version</x:v>
      </x:c>
      <x:c r="E354" s="16" t="str">
        <x:f>'Experiment_Coding_KT004'!E5</x:f>
        <x:v>Bridge to Algebra 2006-2007</x:v>
      </x:c>
      <x:c r="F354" s="16" t="str">
        <x:f>'Experiment_Coding_KT004'!BR5</x:f>
        <x:v>Sec. 3 Datasets; Appendix A; Table 2; Table 1; Appendix B</x:v>
      </x:c>
      <x:c r="G354" s="16" t="str">
        <x:v>HIGH</x:v>
      </x:c>
      <x:c r="H354" s="16" t="str">
        <x:v>N</x:v>
      </x:c>
      <x:c r="I354" s="16" t="str">
        <x:v>Coder A worked example</x:v>
      </x:c>
    </x:row>
    <x:row r="355">
      <x:c r="A355" s="16" t="n">
        <x:v>354</x:v>
      </x:c>
      <x:c r="B355" s="16" t="str">
        <x:v>EXPERIMENT</x:v>
      </x:c>
      <x:c r="C355" s="16" t="str">
        <x:f>'Experiment_Coding_KT004'!A5</x:f>
        <x:v>PILOT_01_E04</x:v>
      </x:c>
      <x:c r="D355" s="16" t="str">
        <x:v>n_learners_reported</x:v>
      </x:c>
      <x:c r="E355" s="16" t="n">
        <x:f>'Experiment_Coding_KT004'!G5</x:f>
        <x:v>1000</x:v>
      </x:c>
      <x:c r="F355" s="16" t="str">
        <x:f>'Experiment_Coding_KT004'!BR5</x:f>
        <x:v>Sec. 3 Datasets; Appendix A; Table 2; Table 1; Appendix B</x:v>
      </x:c>
      <x:c r="G355" s="16" t="str">
        <x:v>HIGH</x:v>
      </x:c>
      <x:c r="H355" s="16" t="str">
        <x:v>N</x:v>
      </x:c>
      <x:c r="I355" s="16" t="str">
        <x:v>Coder A worked example</x:v>
      </x:c>
    </x:row>
    <x:row r="356">
      <x:c r="A356" s="16" t="n">
        <x:v>355</x:v>
      </x:c>
      <x:c r="B356" s="16" t="str">
        <x:v>EXPERIMENT</x:v>
      </x:c>
      <x:c r="C356" s="16" t="str">
        <x:f>'Experiment_Coding_KT004'!A5</x:f>
        <x:v>PILOT_01_E04</x:v>
      </x:c>
      <x:c r="D356" s="16" t="str">
        <x:v>n_items_reported</x:v>
      </x:c>
      <x:c r="E356" s="16" t="str">
        <x:f>'Experiment_Coding_KT004'!H5</x:f>
        <x:v>NR</x:v>
      </x:c>
      <x:c r="F356" s="16" t="str">
        <x:f>'Experiment_Coding_KT004'!BR5</x:f>
        <x:v>Sec. 3 Datasets; Appendix A; Table 2; Table 1; Appendix B</x:v>
      </x:c>
      <x:c r="G356" s="16" t="str">
        <x:v>HIGH</x:v>
      </x:c>
      <x:c r="H356" s="16" t="str">
        <x:v>N</x:v>
      </x:c>
      <x:c r="I356" s="16" t="str">
        <x:v>Coder A worked example</x:v>
      </x:c>
    </x:row>
    <x:row r="357">
      <x:c r="A357" s="16" t="n">
        <x:v>356</x:v>
      </x:c>
      <x:c r="B357" s="16" t="str">
        <x:v>EXPERIMENT</x:v>
      </x:c>
      <x:c r="C357" s="16" t="str">
        <x:f>'Experiment_Coding_KT004'!A5</x:f>
        <x:v>PILOT_01_E04</x:v>
      </x:c>
      <x:c r="D357" s="16" t="str">
        <x:v>n_kcs_reported</x:v>
      </x:c>
      <x:c r="E357" s="16" t="n">
        <x:f>'Experiment_Coding_KT004'!I5</x:f>
        <x:v>211</x:v>
      </x:c>
      <x:c r="F357" s="16" t="str">
        <x:f>'Experiment_Coding_KT004'!BR5</x:f>
        <x:v>Sec. 3 Datasets; Appendix A; Table 2; Table 1; Appendix B</x:v>
      </x:c>
      <x:c r="G357" s="16" t="str">
        <x:v>HIGH</x:v>
      </x:c>
      <x:c r="H357" s="16" t="str">
        <x:v>N</x:v>
      </x:c>
      <x:c r="I357" s="16" t="str">
        <x:v>Coder A worked example</x:v>
      </x:c>
    </x:row>
    <x:row r="358">
      <x:c r="A358" s="16" t="n">
        <x:v>357</x:v>
      </x:c>
      <x:c r="B358" s="16" t="str">
        <x:v>EXPERIMENT</x:v>
      </x:c>
      <x:c r="C358" s="16" t="str">
        <x:f>'Experiment_Coding_KT004'!A5</x:f>
        <x:v>PILOT_01_E04</x:v>
      </x:c>
      <x:c r="D358" s="16" t="str">
        <x:v>n_interactions_reported</x:v>
      </x:c>
      <x:c r="E358" s="16" t="n">
        <x:f>'Experiment_Coding_KT004'!J5</x:f>
        <x:v>98200</x:v>
      </x:c>
      <x:c r="F358" s="16" t="str">
        <x:f>'Experiment_Coding_KT004'!BR5</x:f>
        <x:v>Sec. 3 Datasets; Appendix A; Table 2; Table 1; Appendix B</x:v>
      </x:c>
      <x:c r="G358" s="16" t="str">
        <x:v>HIGH</x:v>
      </x:c>
      <x:c r="H358" s="16" t="str">
        <x:v>N</x:v>
      </x:c>
      <x:c r="I358" s="16" t="str">
        <x:v>Coder A worked example</x:v>
      </x:c>
    </x:row>
    <x:row r="359">
      <x:c r="A359" s="16" t="n">
        <x:v>358</x:v>
      </x:c>
      <x:c r="B359" s="16" t="str">
        <x:v>EXPERIMENT</x:v>
      </x:c>
      <x:c r="C359" s="16" t="str">
        <x:f>'Experiment_Coding_KT004'!A5</x:f>
        <x:v>PILOT_01_E04</x:v>
      </x:c>
      <x:c r="D359" s="16" t="str">
        <x:v>multi_skill_present</x:v>
      </x:c>
      <x:c r="E359" s="16" t="str">
        <x:f>'Experiment_Coding_KT004'!K5</x:f>
        <x:v>UNCLEAR</x:v>
      </x:c>
      <x:c r="F359" s="16" t="str">
        <x:f>'Experiment_Coding_KT004'!BR5</x:f>
        <x:v>Sec. 3 Datasets; Appendix A; Table 2; Table 1; Appendix B</x:v>
      </x:c>
      <x:c r="G359" s="16" t="str">
        <x:v>HIGH</x:v>
      </x:c>
      <x:c r="H359" s="16" t="str">
        <x:v>Y</x:v>
      </x:c>
      <x:c r="I359" s="16" t="str">
        <x:v>Coder A worked example</x:v>
      </x:c>
    </x:row>
    <x:row r="360">
      <x:c r="A360" s="16" t="n">
        <x:v>359</x:v>
      </x:c>
      <x:c r="B360" s="16" t="str">
        <x:v>EXPERIMENT</x:v>
      </x:c>
      <x:c r="C360" s="16" t="str">
        <x:f>'Experiment_Coding_KT004'!A5</x:f>
        <x:v>PILOT_01_E04</x:v>
      </x:c>
      <x:c r="D360" s="16" t="str">
        <x:v>multi_skill_handling</x:v>
      </x:c>
      <x:c r="E360" s="16" t="str">
        <x:f>'Experiment_Coding_KT004'!L5</x:f>
        <x:v>Combine simultaneous answer logs into one; extract named skill tags</x:v>
      </x:c>
      <x:c r="F360" s="16" t="str">
        <x:f>'Experiment_Coding_KT004'!BR5</x:f>
        <x:v>Sec. 3 Datasets; Appendix A; Table 2; Table 1; Appendix B</x:v>
      </x:c>
      <x:c r="G360" s="16" t="str">
        <x:v>HIGH</x:v>
      </x:c>
      <x:c r="H360" s="16" t="str">
        <x:v>N</x:v>
      </x:c>
      <x:c r="I360" s="16" t="str">
        <x:v>Coder A worked example</x:v>
      </x:c>
    </x:row>
    <x:row r="361">
      <x:c r="A361" s="16" t="n">
        <x:v>360</x:v>
      </x:c>
      <x:c r="B361" s="16" t="str">
        <x:v>EXPERIMENT</x:v>
      </x:c>
      <x:c r="C361" s="16" t="str">
        <x:f>'Experiment_Coding_KT004'!A5</x:f>
        <x:v>PILOT_01_E04</x:v>
      </x:c>
      <x:c r="D361" s="16" t="str">
        <x:v>sequence_truncation</x:v>
      </x:c>
      <x:c r="E361" s="16" t="str">
        <x:f>'Experiment_Coding_KT004'!M5</x:f>
        <x:v>NR</x:v>
      </x:c>
      <x:c r="F361" s="16" t="str">
        <x:f>'Experiment_Coding_KT004'!BR5</x:f>
        <x:v>Sec. 3 Datasets; Appendix A; Table 2; Table 1; Appendix B</x:v>
      </x:c>
      <x:c r="G361" s="16" t="str">
        <x:v>HIGH</x:v>
      </x:c>
      <x:c r="H361" s="16" t="str">
        <x:v>N</x:v>
      </x:c>
      <x:c r="I361" s="16" t="str">
        <x:v>Coder A worked example</x:v>
      </x:c>
    </x:row>
    <x:row r="362">
      <x:c r="A362" s="16" t="n">
        <x:v>361</x:v>
      </x:c>
      <x:c r="B362" s="16" t="str">
        <x:v>EXPERIMENT</x:v>
      </x:c>
      <x:c r="C362" s="16" t="str">
        <x:f>'Experiment_Coding_KT004'!A5</x:f>
        <x:v>PILOT_01_E04</x:v>
      </x:c>
      <x:c r="D362" s="16" t="str">
        <x:v>min_sequence_filter</x:v>
      </x:c>
      <x:c r="E362" s="16" t="str">
        <x:f>'Experiment_Coding_KT004'!N5</x:f>
        <x:v>NR</x:v>
      </x:c>
      <x:c r="F362" s="16" t="str">
        <x:f>'Experiment_Coding_KT004'!BR5</x:f>
        <x:v>Sec. 3 Datasets; Appendix A; Table 2; Table 1; Appendix B</x:v>
      </x:c>
      <x:c r="G362" s="16" t="str">
        <x:v>HIGH</x:v>
      </x:c>
      <x:c r="H362" s="16" t="str">
        <x:v>N</x:v>
      </x:c>
      <x:c r="I362" s="16" t="str">
        <x:v>Coder A worked example</x:v>
      </x:c>
    </x:row>
    <x:row r="363">
      <x:c r="A363" s="16" t="n">
        <x:v>362</x:v>
      </x:c>
      <x:c r="B363" s="16" t="str">
        <x:v>EXPERIMENT</x:v>
      </x:c>
      <x:c r="C363" s="16" t="str">
        <x:f>'Experiment_Coding_KT004'!A5</x:f>
        <x:v>PILOT_01_E04</x:v>
      </x:c>
      <x:c r="D363" s="16" t="str">
        <x:v>timestamp_used</x:v>
      </x:c>
      <x:c r="E363" s="16" t="str">
        <x:f>'Experiment_Coding_KT004'!O5</x:f>
        <x:v>UNCLEAR</x:v>
      </x:c>
      <x:c r="F363" s="16" t="str">
        <x:f>'Experiment_Coding_KT004'!BR5</x:f>
        <x:v>Sec. 3 Datasets; Appendix A; Table 2; Table 1; Appendix B</x:v>
      </x:c>
      <x:c r="G363" s="16" t="str">
        <x:v>HIGH</x:v>
      </x:c>
      <x:c r="H363" s="16" t="str">
        <x:v>Y</x:v>
      </x:c>
      <x:c r="I363" s="16" t="str">
        <x:v>Coder A worked example</x:v>
      </x:c>
    </x:row>
    <x:row r="364">
      <x:c r="A364" s="16" t="n">
        <x:v>363</x:v>
      </x:c>
      <x:c r="B364" s="16" t="str">
        <x:v>EXPERIMENT</x:v>
      </x:c>
      <x:c r="C364" s="16" t="str">
        <x:f>'Experiment_Coding_KT004'!A5</x:f>
        <x:v>PILOT_01_E04</x:v>
      </x:c>
      <x:c r="D364" s="16" t="str">
        <x:v>preprocessing_code_available</x:v>
      </x:c>
      <x:c r="E364" s="16" t="str">
        <x:f>'Experiment_Coding_KT004'!P5</x:f>
        <x:v>NR</x:v>
      </x:c>
      <x:c r="F364" s="16" t="str">
        <x:f>'Experiment_Coding_KT004'!BR5</x:f>
        <x:v>Sec. 3 Datasets; Appendix A; Table 2; Table 1; Appendix B</x:v>
      </x:c>
      <x:c r="G364" s="16" t="str">
        <x:v>HIGH</x:v>
      </x:c>
      <x:c r="H364" s="16" t="str">
        <x:v>Y</x:v>
      </x:c>
      <x:c r="I364" s="16" t="str">
        <x:v>Coder A worked example</x:v>
      </x:c>
    </x:row>
    <x:row r="365">
      <x:c r="A365" s="16" t="n">
        <x:v>364</x:v>
      </x:c>
      <x:c r="B365" s="16" t="str">
        <x:v>EXPERIMENT</x:v>
      </x:c>
      <x:c r="C365" s="16" t="str">
        <x:f>'Experiment_Coding_KT004'!A5</x:f>
        <x:v>PILOT_01_E04</x:v>
      </x:c>
      <x:c r="D365" s="16" t="str">
        <x:v>split_type</x:v>
      </x:c>
      <x:c r="E365" s="16" t="str">
        <x:f>'Experiment_Coding_KT004'!Q5</x:f>
        <x:v>LEARNER_BASED</x:v>
      </x:c>
      <x:c r="F365" s="16" t="str">
        <x:f>'Experiment_Coding_KT004'!BR5</x:f>
        <x:v>Sec. 3 Datasets; Appendix A; Table 2; Table 1; Appendix B</x:v>
      </x:c>
      <x:c r="G365" s="16" t="str">
        <x:v>HIGH</x:v>
      </x:c>
      <x:c r="H365" s="16" t="str">
        <x:v>Y</x:v>
      </x:c>
      <x:c r="I365" s="16" t="str">
        <x:v>Coder A worked example</x:v>
      </x:c>
    </x:row>
    <x:row r="366">
      <x:c r="A366" s="16" t="n">
        <x:v>365</x:v>
      </x:c>
      <x:c r="B366" s="16" t="str">
        <x:v>EXPERIMENT</x:v>
      </x:c>
      <x:c r="C366" s="16" t="str">
        <x:f>'Experiment_Coding_KT004'!A5</x:f>
        <x:v>PILOT_01_E04</x:v>
      </x:c>
      <x:c r="D366" s="16" t="str">
        <x:v>split_unit_original</x:v>
      </x:c>
      <x:c r="E366" s="16" t="str">
        <x:f>'Experiment_Coding_KT004'!R5</x:f>
        <x:v>students</x:v>
      </x:c>
      <x:c r="F366" s="16" t="str">
        <x:f>'Experiment_Coding_KT004'!BR5</x:f>
        <x:v>Sec. 3 Datasets; Appendix A; Table 2; Table 1; Appendix B</x:v>
      </x:c>
      <x:c r="G366" s="16" t="str">
        <x:v>HIGH</x:v>
      </x:c>
      <x:c r="H366" s="16" t="str">
        <x:v>N</x:v>
      </x:c>
      <x:c r="I366" s="16" t="str">
        <x:v>Coder A worked example</x:v>
      </x:c>
    </x:row>
    <x:row r="367">
      <x:c r="A367" s="16" t="n">
        <x:v>366</x:v>
      </x:c>
      <x:c r="B367" s="16" t="str">
        <x:v>EXPERIMENT</x:v>
      </x:c>
      <x:c r="C367" s="16" t="str">
        <x:f>'Experiment_Coding_KT004'!A5</x:f>
        <x:v>PILOT_01_E04</x:v>
      </x:c>
      <x:c r="D367" s="16" t="str">
        <x:v>train_fraction</x:v>
      </x:c>
      <x:c r="E367" s="16" t="n">
        <x:f>'Experiment_Coding_KT004'!S5</x:f>
        <x:v>0.8</x:v>
      </x:c>
      <x:c r="F367" s="16" t="str">
        <x:f>'Experiment_Coding_KT004'!BR5</x:f>
        <x:v>Sec. 3 Datasets; Appendix A; Table 2; Table 1; Appendix B</x:v>
      </x:c>
      <x:c r="G367" s="16" t="str">
        <x:v>HIGH</x:v>
      </x:c>
      <x:c r="H367" s="16" t="str">
        <x:v>N</x:v>
      </x:c>
      <x:c r="I367" s="16" t="str">
        <x:v>Coder A worked example</x:v>
      </x:c>
    </x:row>
    <x:row r="368">
      <x:c r="A368" s="16" t="n">
        <x:v>367</x:v>
      </x:c>
      <x:c r="B368" s="16" t="str">
        <x:v>EXPERIMENT</x:v>
      </x:c>
      <x:c r="C368" s="16" t="str">
        <x:f>'Experiment_Coding_KT004'!A5</x:f>
        <x:v>PILOT_01_E04</x:v>
      </x:c>
      <x:c r="D368" s="16" t="str">
        <x:v>validation_fraction</x:v>
      </x:c>
      <x:c r="E368" s="16" t="n">
        <x:f>'Experiment_Coding_KT004'!T5</x:f>
        <x:v>0.1</x:v>
      </x:c>
      <x:c r="F368" s="16" t="str">
        <x:f>'Experiment_Coding_KT004'!BR5</x:f>
        <x:v>Sec. 3 Datasets; Appendix A; Table 2; Table 1; Appendix B</x:v>
      </x:c>
      <x:c r="G368" s="16" t="str">
        <x:v>HIGH</x:v>
      </x:c>
      <x:c r="H368" s="16" t="str">
        <x:v>N</x:v>
      </x:c>
      <x:c r="I368" s="16" t="str">
        <x:v>Coder A worked example</x:v>
      </x:c>
    </x:row>
    <x:row r="369">
      <x:c r="A369" s="16" t="n">
        <x:v>368</x:v>
      </x:c>
      <x:c r="B369" s="16" t="str">
        <x:v>EXPERIMENT</x:v>
      </x:c>
      <x:c r="C369" s="16" t="str">
        <x:f>'Experiment_Coding_KT004'!A5</x:f>
        <x:v>PILOT_01_E04</x:v>
      </x:c>
      <x:c r="D369" s="16" t="str">
        <x:v>test_fraction</x:v>
      </x:c>
      <x:c r="E369" s="16" t="n">
        <x:f>'Experiment_Coding_KT004'!U5</x:f>
        <x:v>0.1</x:v>
      </x:c>
      <x:c r="F369" s="16" t="str">
        <x:f>'Experiment_Coding_KT004'!BR5</x:f>
        <x:v>Sec. 3 Datasets; Appendix A; Table 2; Table 1; Appendix B</x:v>
      </x:c>
      <x:c r="G369" s="16" t="str">
        <x:v>HIGH</x:v>
      </x:c>
      <x:c r="H369" s="16" t="str">
        <x:v>N</x:v>
      </x:c>
      <x:c r="I369" s="16" t="str">
        <x:v>Coder A worked example</x:v>
      </x:c>
    </x:row>
    <x:row r="370">
      <x:c r="A370" s="16" t="n">
        <x:v>369</x:v>
      </x:c>
      <x:c r="B370" s="16" t="str">
        <x:v>EXPERIMENT</x:v>
      </x:c>
      <x:c r="C370" s="16" t="str">
        <x:f>'Experiment_Coding_KT004'!A5</x:f>
        <x:v>PILOT_01_E04</x:v>
      </x:c>
      <x:c r="D370" s="16" t="str">
        <x:v>validation_set_separate</x:v>
      </x:c>
      <x:c r="E370" s="16" t="str">
        <x:f>'Experiment_Coding_KT004'!V5</x:f>
        <x:v>Y</x:v>
      </x:c>
      <x:c r="F370" s="16" t="str">
        <x:f>'Experiment_Coding_KT004'!BR5</x:f>
        <x:v>Sec. 3 Datasets; Appendix A; Table 2; Table 1; Appendix B</x:v>
      </x:c>
      <x:c r="G370" s="16" t="str">
        <x:v>HIGH</x:v>
      </x:c>
      <x:c r="H370" s="16" t="str">
        <x:v>Y</x:v>
      </x:c>
      <x:c r="I370" s="16" t="str">
        <x:v>Coder A worked example</x:v>
      </x:c>
    </x:row>
    <x:row r="371">
      <x:c r="A371" s="16" t="n">
        <x:v>370</x:v>
      </x:c>
      <x:c r="B371" s="16" t="str">
        <x:v>EXPERIMENT</x:v>
      </x:c>
      <x:c r="C371" s="16" t="str">
        <x:f>'Experiment_Coding_KT004'!A5</x:f>
        <x:v>PILOT_01_E04</x:v>
      </x:c>
      <x:c r="D371" s="16" t="str">
        <x:v>early_stopping_validation_only</x:v>
      </x:c>
      <x:c r="E371" s="16" t="str">
        <x:f>'Experiment_Coding_KT004'!W5</x:f>
        <x:v>UNCLEAR</x:v>
      </x:c>
      <x:c r="F371" s="16" t="str">
        <x:f>'Experiment_Coding_KT004'!BR5</x:f>
        <x:v>Sec. 3 Datasets; Appendix A; Table 2; Table 1; Appendix B</x:v>
      </x:c>
      <x:c r="G371" s="16" t="str">
        <x:v>HIGH</x:v>
      </x:c>
      <x:c r="H371" s="16" t="str">
        <x:v>Y</x:v>
      </x:c>
      <x:c r="I371" s="16" t="str">
        <x:v>Coder A worked example</x:v>
      </x:c>
    </x:row>
    <x:row r="372">
      <x:c r="A372" s="16" t="n">
        <x:v>371</x:v>
      </x:c>
      <x:c r="B372" s="16" t="str">
        <x:v>EXPERIMENT</x:v>
      </x:c>
      <x:c r="C372" s="16" t="str">
        <x:f>'Experiment_Coding_KT004'!A5</x:f>
        <x:v>PILOT_01_E04</x:v>
      </x:c>
      <x:c r="D372" s="16" t="str">
        <x:v>graph_train_only</x:v>
      </x:c>
      <x:c r="E372" s="16" t="str">
        <x:f>'Experiment_Coding_KT004'!X5</x:f>
        <x:v>UNCLEAR</x:v>
      </x:c>
      <x:c r="F372" s="16" t="str">
        <x:f>'Experiment_Coding_KT004'!BR5</x:f>
        <x:v>Sec. 3 Datasets; Appendix A; Table 2; Table 1; Appendix B</x:v>
      </x:c>
      <x:c r="G372" s="16" t="str">
        <x:v>HIGH</x:v>
      </x:c>
      <x:c r="H372" s="16" t="str">
        <x:v>Y</x:v>
      </x:c>
      <x:c r="I372" s="16" t="str">
        <x:v>Coder A worked example</x:v>
      </x:c>
    </x:row>
    <x:row r="373">
      <x:c r="A373" s="16" t="n">
        <x:v>372</x:v>
      </x:c>
      <x:c r="B373" s="16" t="str">
        <x:v>EXPERIMENT</x:v>
      </x:c>
      <x:c r="C373" s="16" t="str">
        <x:f>'Experiment_Coding_KT004'!A5</x:f>
        <x:v>PILOT_01_E04</x:v>
      </x:c>
      <x:c r="D373" s="16" t="str">
        <x:v>normalization_train_only</x:v>
      </x:c>
      <x:c r="E373" s="16" t="str">
        <x:f>'Experiment_Coding_KT004'!Y5</x:f>
        <x:v>NR</x:v>
      </x:c>
      <x:c r="F373" s="16" t="str">
        <x:f>'Experiment_Coding_KT004'!BR5</x:f>
        <x:v>Sec. 3 Datasets; Appendix A; Table 2; Table 1; Appendix B</x:v>
      </x:c>
      <x:c r="G373" s="16" t="str">
        <x:v>HIGH</x:v>
      </x:c>
      <x:c r="H373" s="16" t="str">
        <x:v>Y</x:v>
      </x:c>
      <x:c r="I373" s="16" t="str">
        <x:v>Coder A worked example</x:v>
      </x:c>
    </x:row>
    <x:row r="374">
      <x:c r="A374" s="16" t="n">
        <x:v>373</x:v>
      </x:c>
      <x:c r="B374" s="16" t="str">
        <x:v>EXPERIMENT</x:v>
      </x:c>
      <x:c r="C374" s="16" t="str">
        <x:f>'Experiment_Coding_KT004'!A5</x:f>
        <x:v>PILOT_01_E04</x:v>
      </x:c>
      <x:c r="D374" s="16" t="str">
        <x:v>sparse_strata_train_only</x:v>
      </x:c>
      <x:c r="E374" s="16" t="str">
        <x:f>'Experiment_Coding_KT004'!Z5</x:f>
        <x:v>NA</x:v>
      </x:c>
      <x:c r="F374" s="16" t="str">
        <x:f>'Experiment_Coding_KT004'!BR5</x:f>
        <x:v>Sec. 3 Datasets; Appendix A; Table 2; Table 1; Appendix B</x:v>
      </x:c>
      <x:c r="G374" s="16" t="str">
        <x:v>HIGH</x:v>
      </x:c>
      <x:c r="H374" s="16" t="str">
        <x:v>Y</x:v>
      </x:c>
      <x:c r="I374" s="16" t="str">
        <x:v>Coder A worked example</x:v>
      </x:c>
    </x:row>
    <x:row r="375">
      <x:c r="A375" s="16" t="n">
        <x:v>374</x:v>
      </x:c>
      <x:c r="B375" s="16" t="str">
        <x:v>EXPERIMENT</x:v>
      </x:c>
      <x:c r="C375" s="16" t="str">
        <x:f>'Experiment_Coding_KT004'!A5</x:f>
        <x:v>PILOT_01_E04</x:v>
      </x:c>
      <x:c r="D375" s="16" t="str">
        <x:v>temporal_alignment_audited</x:v>
      </x:c>
      <x:c r="E375" s="16" t="str">
        <x:f>'Experiment_Coding_KT004'!AA5</x:f>
        <x:v>NR</x:v>
      </x:c>
      <x:c r="F375" s="16" t="str">
        <x:f>'Experiment_Coding_KT004'!BR5</x:f>
        <x:v>Sec. 3 Datasets; Appendix A; Table 2; Table 1; Appendix B</x:v>
      </x:c>
      <x:c r="G375" s="16" t="str">
        <x:v>HIGH</x:v>
      </x:c>
      <x:c r="H375" s="16" t="str">
        <x:v>Y</x:v>
      </x:c>
      <x:c r="I375" s="16" t="str">
        <x:v>Coder A worked example</x:v>
      </x:c>
    </x:row>
    <x:row r="376">
      <x:c r="A376" s="16" t="n">
        <x:v>375</x:v>
      </x:c>
      <x:c r="B376" s="16" t="str">
        <x:v>EXPERIMENT</x:v>
      </x:c>
      <x:c r="C376" s="16" t="str">
        <x:f>'Experiment_Coding_KT004'!A5</x:f>
        <x:v>PILOT_01_E04</x:v>
      </x:c>
      <x:c r="D376" s="16" t="str">
        <x:v>duplicate_entity_leakage_checked</x:v>
      </x:c>
      <x:c r="E376" s="16" t="str">
        <x:f>'Experiment_Coding_KT004'!AB5</x:f>
        <x:v>NR</x:v>
      </x:c>
      <x:c r="F376" s="16" t="str">
        <x:f>'Experiment_Coding_KT004'!BR5</x:f>
        <x:v>Sec. 3 Datasets; Appendix A; Table 2; Table 1; Appendix B</x:v>
      </x:c>
      <x:c r="G376" s="16" t="str">
        <x:v>HIGH</x:v>
      </x:c>
      <x:c r="H376" s="16" t="str">
        <x:v>Y</x:v>
      </x:c>
      <x:c r="I376" s="16" t="str">
        <x:v>Coder A worked example</x:v>
      </x:c>
    </x:row>
    <x:row r="377">
      <x:c r="A377" s="16" t="n">
        <x:v>376</x:v>
      </x:c>
      <x:c r="B377" s="16" t="str">
        <x:v>EXPERIMENT</x:v>
      </x:c>
      <x:c r="C377" s="16" t="str">
        <x:f>'Experiment_Coding_KT004'!A5</x:f>
        <x:v>PILOT_01_E04</x:v>
      </x:c>
      <x:c r="D377" s="16" t="str">
        <x:v>sparsity_construct</x:v>
      </x:c>
      <x:c r="E377" s="16" t="str">
        <x:f>'Experiment_Coding_KT004'!AC5</x:f>
        <x:v>NO_EXPLICIT_FOCUS</x:v>
      </x:c>
      <x:c r="F377" s="16" t="str">
        <x:f>'Experiment_Coding_KT004'!BR5</x:f>
        <x:v>Sec. 3 Datasets; Appendix A; Table 2; Table 1; Appendix B</x:v>
      </x:c>
      <x:c r="G377" s="16" t="str">
        <x:v>HIGH</x:v>
      </x:c>
      <x:c r="H377" s="16" t="str">
        <x:v>Y</x:v>
      </x:c>
      <x:c r="I377" s="16" t="str">
        <x:v>Coder A worked example</x:v>
      </x:c>
    </x:row>
    <x:row r="378">
      <x:c r="A378" s="16" t="n">
        <x:v>377</x:v>
      </x:c>
      <x:c r="B378" s="16" t="str">
        <x:v>EXPERIMENT</x:v>
      </x:c>
      <x:c r="C378" s="16" t="str">
        <x:f>'Experiment_Coding_KT004'!A5</x:f>
        <x:v>PILOT_01_E04</x:v>
      </x:c>
      <x:c r="D378" s="16" t="str">
        <x:v>sparse_definition_original</x:v>
      </x:c>
      <x:c r="E378" s="16" t="str">
        <x:f>'Experiment_Coding_KT004'!AD5</x:f>
        <x:v>NA</x:v>
      </x:c>
      <x:c r="F378" s="16" t="str">
        <x:f>'Experiment_Coding_KT004'!BR5</x:f>
        <x:v>Sec. 3 Datasets; Appendix A; Table 2; Table 1; Appendix B</x:v>
      </x:c>
      <x:c r="G378" s="16" t="str">
        <x:v>HIGH</x:v>
      </x:c>
      <x:c r="H378" s="16" t="str">
        <x:v>N</x:v>
      </x:c>
      <x:c r="I378" s="16" t="str">
        <x:v>Coder A worked example</x:v>
      </x:c>
    </x:row>
    <x:row r="379">
      <x:c r="A379" s="16" t="n">
        <x:v>378</x:v>
      </x:c>
      <x:c r="B379" s="16" t="str">
        <x:v>EXPERIMENT</x:v>
      </x:c>
      <x:c r="C379" s="16" t="str">
        <x:f>'Experiment_Coding_KT004'!A5</x:f>
        <x:v>PILOT_01_E04</x:v>
      </x:c>
      <x:c r="D379" s="16" t="str">
        <x:v>sparse_threshold_original</x:v>
      </x:c>
      <x:c r="E379" s="16" t="str">
        <x:f>'Experiment_Coding_KT004'!AE5</x:f>
        <x:v>NA</x:v>
      </x:c>
      <x:c r="F379" s="16" t="str">
        <x:f>'Experiment_Coding_KT004'!BR5</x:f>
        <x:v>Sec. 3 Datasets; Appendix A; Table 2; Table 1; Appendix B</x:v>
      </x:c>
      <x:c r="G379" s="16" t="str">
        <x:v>HIGH</x:v>
      </x:c>
      <x:c r="H379" s="16" t="str">
        <x:v>N</x:v>
      </x:c>
      <x:c r="I379" s="16" t="str">
        <x:v>Coder A worked example</x:v>
      </x:c>
    </x:row>
    <x:row r="380">
      <x:c r="A380" s="16" t="n">
        <x:v>379</x:v>
      </x:c>
      <x:c r="B380" s="16" t="str">
        <x:v>EXPERIMENT</x:v>
      </x:c>
      <x:c r="C380" s="16" t="str">
        <x:f>'Experiment_Coding_KT004'!A5</x:f>
        <x:v>PILOT_01_E04</x:v>
      </x:c>
      <x:c r="D380" s="16" t="str">
        <x:v>threshold_source</x:v>
      </x:c>
      <x:c r="E380" s="16" t="str">
        <x:f>'Experiment_Coding_KT004'!AF5</x:f>
        <x:v>NA</x:v>
      </x:c>
      <x:c r="F380" s="16" t="str">
        <x:f>'Experiment_Coding_KT004'!BR5</x:f>
        <x:v>Sec. 3 Datasets; Appendix A; Table 2; Table 1; Appendix B</x:v>
      </x:c>
      <x:c r="G380" s="16" t="str">
        <x:v>HIGH</x:v>
      </x:c>
      <x:c r="H380" s="16" t="str">
        <x:v>Y</x:v>
      </x:c>
      <x:c r="I380" s="16" t="str">
        <x:v>Coder A worked example</x:v>
      </x:c>
    </x:row>
    <x:row r="381">
      <x:c r="A381" s="16" t="n">
        <x:v>380</x:v>
      </x:c>
      <x:c r="B381" s="16" t="str">
        <x:v>EXPERIMENT</x:v>
      </x:c>
      <x:c r="C381" s="16" t="str">
        <x:f>'Experiment_Coding_KT004'!A5</x:f>
        <x:v>PILOT_01_E04</x:v>
      </x:c>
      <x:c r="D381" s="16" t="str">
        <x:v>frequency_computed_on</x:v>
      </x:c>
      <x:c r="E381" s="16" t="str">
        <x:f>'Experiment_Coding_KT004'!AG5</x:f>
        <x:v>NA</x:v>
      </x:c>
      <x:c r="F381" s="16" t="str">
        <x:f>'Experiment_Coding_KT004'!BR5</x:f>
        <x:v>Sec. 3 Datasets; Appendix A; Table 2; Table 1; Appendix B</x:v>
      </x:c>
      <x:c r="G381" s="16" t="str">
        <x:v>HIGH</x:v>
      </x:c>
      <x:c r="H381" s="16" t="str">
        <x:v>Y</x:v>
      </x:c>
      <x:c r="I381" s="16" t="str">
        <x:v>Coder A worked example</x:v>
      </x:c>
    </x:row>
    <x:row r="382">
      <x:c r="A382" s="16" t="n">
        <x:v>381</x:v>
      </x:c>
      <x:c r="B382" s="16" t="str">
        <x:v>EXPERIMENT</x:v>
      </x:c>
      <x:c r="C382" s="16" t="str">
        <x:f>'Experiment_Coding_KT004'!A5</x:f>
        <x:v>PILOT_01_E04</x:v>
      </x:c>
      <x:c r="D382" s="16" t="str">
        <x:v>strict_zero_train_verified</x:v>
      </x:c>
      <x:c r="E382" s="16" t="str">
        <x:f>'Experiment_Coding_KT004'!AH5</x:f>
        <x:v>NA</x:v>
      </x:c>
      <x:c r="F382" s="16" t="str">
        <x:f>'Experiment_Coding_KT004'!BR5</x:f>
        <x:v>Sec. 3 Datasets; Appendix A; Table 2; Table 1; Appendix B</x:v>
      </x:c>
      <x:c r="G382" s="16" t="str">
        <x:v>HIGH</x:v>
      </x:c>
      <x:c r="H382" s="16" t="str">
        <x:v>Y</x:v>
      </x:c>
      <x:c r="I382" s="16" t="str">
        <x:v>Coder A worked example</x:v>
      </x:c>
    </x:row>
    <x:row r="383">
      <x:c r="A383" s="16" t="n">
        <x:v>382</x:v>
      </x:c>
      <x:c r="B383" s="16" t="str">
        <x:v>EXPERIMENT</x:v>
      </x:c>
      <x:c r="C383" s="16" t="str">
        <x:f>'Experiment_Coding_KT004'!A5</x:f>
        <x:v>PILOT_01_E04</x:v>
      </x:c>
      <x:c r="D383" s="16" t="str">
        <x:v>external_info_for_unseen_kc</x:v>
      </x:c>
      <x:c r="E383" s="16" t="str">
        <x:f>'Experiment_Coding_KT004'!AI5</x:f>
        <x:v>NA</x:v>
      </x:c>
      <x:c r="F383" s="16" t="str">
        <x:f>'Experiment_Coding_KT004'!BR5</x:f>
        <x:v>Sec. 3 Datasets; Appendix A; Table 2; Table 1; Appendix B</x:v>
      </x:c>
      <x:c r="G383" s="16" t="str">
        <x:v>HIGH</x:v>
      </x:c>
      <x:c r="H383" s="16" t="str">
        <x:v>Y</x:v>
      </x:c>
      <x:c r="I383" s="16" t="str">
        <x:v>Coder A worked example</x:v>
      </x:c>
    </x:row>
    <x:row r="384">
      <x:c r="A384" s="16" t="n">
        <x:v>383</x:v>
      </x:c>
      <x:c r="B384" s="16" t="str">
        <x:v>EXPERIMENT</x:v>
      </x:c>
      <x:c r="C384" s="16" t="str">
        <x:f>'Experiment_Coding_KT004'!A5</x:f>
        <x:v>PILOT_01_E04</x:v>
      </x:c>
      <x:c r="D384" s="16" t="str">
        <x:v>support_kcs</x:v>
      </x:c>
      <x:c r="E384" s="16" t="str">
        <x:f>'Experiment_Coding_KT004'!AJ5</x:f>
        <x:v>NA</x:v>
      </x:c>
      <x:c r="F384" s="16" t="str">
        <x:f>'Experiment_Coding_KT004'!BR5</x:f>
        <x:v>Sec. 3 Datasets; Appendix A; Table 2; Table 1; Appendix B</x:v>
      </x:c>
      <x:c r="G384" s="16" t="str">
        <x:v>HIGH</x:v>
      </x:c>
      <x:c r="H384" s="16" t="str">
        <x:v>N</x:v>
      </x:c>
      <x:c r="I384" s="16" t="str">
        <x:v>Coder A worked example</x:v>
      </x:c>
    </x:row>
    <x:row r="385">
      <x:c r="A385" s="16" t="n">
        <x:v>384</x:v>
      </x:c>
      <x:c r="B385" s="16" t="str">
        <x:v>EXPERIMENT</x:v>
      </x:c>
      <x:c r="C385" s="16" t="str">
        <x:f>'Experiment_Coding_KT004'!A5</x:f>
        <x:v>PILOT_01_E04</x:v>
      </x:c>
      <x:c r="D385" s="16" t="str">
        <x:v>support_learners</x:v>
      </x:c>
      <x:c r="E385" s="16" t="str">
        <x:f>'Experiment_Coding_KT004'!AK5</x:f>
        <x:v>NA</x:v>
      </x:c>
      <x:c r="F385" s="16" t="str">
        <x:f>'Experiment_Coding_KT004'!BR5</x:f>
        <x:v>Sec. 3 Datasets; Appendix A; Table 2; Table 1; Appendix B</x:v>
      </x:c>
      <x:c r="G385" s="16" t="str">
        <x:v>HIGH</x:v>
      </x:c>
      <x:c r="H385" s="16" t="str">
        <x:v>N</x:v>
      </x:c>
      <x:c r="I385" s="16" t="str">
        <x:v>Coder A worked example</x:v>
      </x:c>
    </x:row>
    <x:row r="386">
      <x:c r="A386" s="16" t="n">
        <x:v>385</x:v>
      </x:c>
      <x:c r="B386" s="16" t="str">
        <x:v>EXPERIMENT</x:v>
      </x:c>
      <x:c r="C386" s="16" t="str">
        <x:f>'Experiment_Coding_KT004'!A5</x:f>
        <x:v>PILOT_01_E04</x:v>
      </x:c>
      <x:c r="D386" s="16" t="str">
        <x:v>support_items</x:v>
      </x:c>
      <x:c r="E386" s="16" t="str">
        <x:f>'Experiment_Coding_KT004'!AL5</x:f>
        <x:v>NA</x:v>
      </x:c>
      <x:c r="F386" s="16" t="str">
        <x:f>'Experiment_Coding_KT004'!BR5</x:f>
        <x:v>Sec. 3 Datasets; Appendix A; Table 2; Table 1; Appendix B</x:v>
      </x:c>
      <x:c r="G386" s="16" t="str">
        <x:v>HIGH</x:v>
      </x:c>
      <x:c r="H386" s="16" t="str">
        <x:v>N</x:v>
      </x:c>
      <x:c r="I386" s="16" t="str">
        <x:v>Coder A worked example</x:v>
      </x:c>
    </x:row>
    <x:row r="387">
      <x:c r="A387" s="16" t="n">
        <x:v>386</x:v>
      </x:c>
      <x:c r="B387" s="16" t="str">
        <x:v>EXPERIMENT</x:v>
      </x:c>
      <x:c r="C387" s="16" t="str">
        <x:f>'Experiment_Coding_KT004'!A5</x:f>
        <x:v>PILOT_01_E04</x:v>
      </x:c>
      <x:c r="D387" s="16" t="str">
        <x:v>support_test_interactions</x:v>
      </x:c>
      <x:c r="E387" s="16" t="str">
        <x:f>'Experiment_Coding_KT004'!AM5</x:f>
        <x:v>NA</x:v>
      </x:c>
      <x:c r="F387" s="16" t="str">
        <x:f>'Experiment_Coding_KT004'!BR5</x:f>
        <x:v>Sec. 3 Datasets; Appendix A; Table 2; Table 1; Appendix B</x:v>
      </x:c>
      <x:c r="G387" s="16" t="str">
        <x:v>HIGH</x:v>
      </x:c>
      <x:c r="H387" s="16" t="str">
        <x:v>N</x:v>
      </x:c>
      <x:c r="I387" s="16" t="str">
        <x:v>Coder A worked example</x:v>
      </x:c>
    </x:row>
    <x:row r="388">
      <x:c r="A388" s="16" t="n">
        <x:v>387</x:v>
      </x:c>
      <x:c r="B388" s="16" t="str">
        <x:v>EXPERIMENT</x:v>
      </x:c>
      <x:c r="C388" s="16" t="str">
        <x:f>'Experiment_Coding_KT004'!A5</x:f>
        <x:v>PILOT_01_E04</x:v>
      </x:c>
      <x:c r="D388" s="16" t="str">
        <x:v>positive_count</x:v>
      </x:c>
      <x:c r="E388" s="16" t="str">
        <x:f>'Experiment_Coding_KT004'!AN5</x:f>
        <x:v>NA</x:v>
      </x:c>
      <x:c r="F388" s="16" t="str">
        <x:f>'Experiment_Coding_KT004'!BR5</x:f>
        <x:v>Sec. 3 Datasets; Appendix A; Table 2; Table 1; Appendix B</x:v>
      </x:c>
      <x:c r="G388" s="16" t="str">
        <x:v>HIGH</x:v>
      </x:c>
      <x:c r="H388" s="16" t="str">
        <x:v>N</x:v>
      </x:c>
      <x:c r="I388" s="16" t="str">
        <x:v>Coder A worked example</x:v>
      </x:c>
    </x:row>
    <x:row r="389">
      <x:c r="A389" s="16" t="n">
        <x:v>388</x:v>
      </x:c>
      <x:c r="B389" s="16" t="str">
        <x:v>EXPERIMENT</x:v>
      </x:c>
      <x:c r="C389" s="16" t="str">
        <x:f>'Experiment_Coding_KT004'!A5</x:f>
        <x:v>PILOT_01_E04</x:v>
      </x:c>
      <x:c r="D389" s="16" t="str">
        <x:v>negative_count</x:v>
      </x:c>
      <x:c r="E389" s="16" t="str">
        <x:f>'Experiment_Coding_KT004'!AO5</x:f>
        <x:v>NA</x:v>
      </x:c>
      <x:c r="F389" s="16" t="str">
        <x:f>'Experiment_Coding_KT004'!BR5</x:f>
        <x:v>Sec. 3 Datasets; Appendix A; Table 2; Table 1; Appendix B</x:v>
      </x:c>
      <x:c r="G389" s="16" t="str">
        <x:v>HIGH</x:v>
      </x:c>
      <x:c r="H389" s="16" t="str">
        <x:v>N</x:v>
      </x:c>
      <x:c r="I389" s="16" t="str">
        <x:v>Coder A worked example</x:v>
      </x:c>
    </x:row>
    <x:row r="390">
      <x:c r="A390" s="16" t="n">
        <x:v>389</x:v>
      </x:c>
      <x:c r="B390" s="16" t="str">
        <x:v>EXPERIMENT</x:v>
      </x:c>
      <x:c r="C390" s="16" t="str">
        <x:f>'Experiment_Coding_KT004'!A5</x:f>
        <x:v>PILOT_01_E04</x:v>
      </x:c>
      <x:c r="D390" s="16" t="str">
        <x:v>metric_name_original</x:v>
      </x:c>
      <x:c r="E390" s="16" t="str">
        <x:f>'Experiment_Coding_KT004'!AP5</x:f>
        <x:v>AUC</x:v>
      </x:c>
      <x:c r="F390" s="16" t="str">
        <x:f>'Experiment_Coding_KT004'!BR5</x:f>
        <x:v>Sec. 3 Datasets; Appendix A; Table 2; Table 1; Appendix B</x:v>
      </x:c>
      <x:c r="G390" s="16" t="str">
        <x:v>HIGH</x:v>
      </x:c>
      <x:c r="H390" s="16" t="str">
        <x:v>N</x:v>
      </x:c>
      <x:c r="I390" s="16" t="str">
        <x:v>Coder A worked example</x:v>
      </x:c>
    </x:row>
    <x:row r="391">
      <x:c r="A391" s="16" t="n">
        <x:v>390</x:v>
      </x:c>
      <x:c r="B391" s="16" t="str">
        <x:v>EXPERIMENT</x:v>
      </x:c>
      <x:c r="C391" s="16" t="str">
        <x:f>'Experiment_Coding_KT004'!A5</x:f>
        <x:v>PILOT_01_E04</x:v>
      </x:c>
      <x:c r="D391" s="16" t="str">
        <x:v>metric_value_original</x:v>
      </x:c>
      <x:c r="E391" s="16" t="n">
        <x:f>'Experiment_Coding_KT004'!AQ5</x:f>
        <x:v>0.769</x:v>
      </x:c>
      <x:c r="F391" s="16" t="str">
        <x:f>'Experiment_Coding_KT004'!BR5</x:f>
        <x:v>Sec. 3 Datasets; Appendix A; Table 2; Table 1; Appendix B</x:v>
      </x:c>
      <x:c r="G391" s="16" t="str">
        <x:v>HIGH</x:v>
      </x:c>
      <x:c r="H391" s="16" t="str">
        <x:v>N</x:v>
      </x:c>
      <x:c r="I391" s="16" t="str">
        <x:v>Coder A worked example</x:v>
      </x:c>
    </x:row>
    <x:row r="392">
      <x:c r="A392" s="16" t="n">
        <x:v>391</x:v>
      </x:c>
      <x:c r="B392" s="16" t="str">
        <x:v>EXPERIMENT</x:v>
      </x:c>
      <x:c r="C392" s="16" t="str">
        <x:f>'Experiment_Coding_KT004'!A5</x:f>
        <x:v>PILOT_01_E04</x:v>
      </x:c>
      <x:c r="D392" s="16" t="str">
        <x:v>metric_scope</x:v>
      </x:c>
      <x:c r="E392" s="16" t="str">
        <x:f>'Experiment_Coding_KT004'!AR5</x:f>
        <x:v>OVERALL</x:v>
      </x:c>
      <x:c r="F392" s="16" t="str">
        <x:f>'Experiment_Coding_KT004'!BR5</x:f>
        <x:v>Sec. 3 Datasets; Appendix A; Table 2; Table 1; Appendix B</x:v>
      </x:c>
      <x:c r="G392" s="16" t="str">
        <x:v>HIGH</x:v>
      </x:c>
      <x:c r="H392" s="16" t="str">
        <x:v>Y</x:v>
      </x:c>
      <x:c r="I392" s="16" t="str">
        <x:v>Coder A worked example</x:v>
      </x:c>
    </x:row>
    <x:row r="393">
      <x:c r="A393" s="16" t="n">
        <x:v>392</x:v>
      </x:c>
      <x:c r="B393" s="16" t="str">
        <x:v>EXPERIMENT</x:v>
      </x:c>
      <x:c r="C393" s="16" t="str">
        <x:f>'Experiment_Coding_KT004'!A5</x:f>
        <x:v>PILOT_01_E04</x:v>
      </x:c>
      <x:c r="D393" s="16" t="str">
        <x:v>n_seeds</x:v>
      </x:c>
      <x:c r="E393" s="16" t="str">
        <x:f>'Experiment_Coding_KT004'!AS5</x:f>
        <x:v>NR</x:v>
      </x:c>
      <x:c r="F393" s="16" t="str">
        <x:f>'Experiment_Coding_KT004'!BR5</x:f>
        <x:v>Sec. 3 Datasets; Appendix A; Table 2; Table 1; Appendix B</x:v>
      </x:c>
      <x:c r="G393" s="16" t="str">
        <x:v>HIGH</x:v>
      </x:c>
      <x:c r="H393" s="16" t="str">
        <x:v>N</x:v>
      </x:c>
      <x:c r="I393" s="16" t="str">
        <x:v>Coder A worked example</x:v>
      </x:c>
    </x:row>
    <x:row r="394">
      <x:c r="A394" s="16" t="n">
        <x:v>393</x:v>
      </x:c>
      <x:c r="B394" s="16" t="str">
        <x:v>EXPERIMENT</x:v>
      </x:c>
      <x:c r="C394" s="16" t="str">
        <x:f>'Experiment_Coding_KT004'!A5</x:f>
        <x:v>PILOT_01_E04</x:v>
      </x:c>
      <x:c r="D394" s="16" t="str">
        <x:v>seed_values_reported</x:v>
      </x:c>
      <x:c r="E394" s="16" t="str">
        <x:f>'Experiment_Coding_KT004'!AT5</x:f>
        <x:v>NR</x:v>
      </x:c>
      <x:c r="F394" s="16" t="str">
        <x:f>'Experiment_Coding_KT004'!BR5</x:f>
        <x:v>Sec. 3 Datasets; Appendix A; Table 2; Table 1; Appendix B</x:v>
      </x:c>
      <x:c r="G394" s="16" t="str">
        <x:v>HIGH</x:v>
      </x:c>
      <x:c r="H394" s="16" t="str">
        <x:v>N</x:v>
      </x:c>
      <x:c r="I394" s="16" t="str">
        <x:v>Coder A worked example</x:v>
      </x:c>
    </x:row>
    <x:row r="395">
      <x:c r="A395" s="16" t="n">
        <x:v>394</x:v>
      </x:c>
      <x:c r="B395" s="16" t="str">
        <x:v>EXPERIMENT</x:v>
      </x:c>
      <x:c r="C395" s="16" t="str">
        <x:f>'Experiment_Coding_KT004'!A5</x:f>
        <x:v>PILOT_01_E04</x:v>
      </x:c>
      <x:c r="D395" s="16" t="str">
        <x:v>mean_std_reported</x:v>
      </x:c>
      <x:c r="E395" s="16" t="str">
        <x:f>'Experiment_Coding_KT004'!AU5</x:f>
        <x:v>N</x:v>
      </x:c>
      <x:c r="F395" s="16" t="str">
        <x:f>'Experiment_Coding_KT004'!BR5</x:f>
        <x:v>Sec. 3 Datasets; Appendix A; Table 2; Table 1; Appendix B</x:v>
      </x:c>
      <x:c r="G395" s="16" t="str">
        <x:v>HIGH</x:v>
      </x:c>
      <x:c r="H395" s="16" t="str">
        <x:v>Y</x:v>
      </x:c>
      <x:c r="I395" s="16" t="str">
        <x:v>Coder A worked example</x:v>
      </x:c>
    </x:row>
    <x:row r="396">
      <x:c r="A396" s="16" t="n">
        <x:v>395</x:v>
      </x:c>
      <x:c r="B396" s="16" t="str">
        <x:v>EXPERIMENT</x:v>
      </x:c>
      <x:c r="C396" s="16" t="str">
        <x:f>'Experiment_Coding_KT004'!A5</x:f>
        <x:v>PILOT_01_E04</x:v>
      </x:c>
      <x:c r="D396" s="16" t="str">
        <x:v>confidence_interval</x:v>
      </x:c>
      <x:c r="E396" s="16" t="str">
        <x:f>'Experiment_Coding_KT004'!AV5</x:f>
        <x:v>NR</x:v>
      </x:c>
      <x:c r="F396" s="16" t="str">
        <x:f>'Experiment_Coding_KT004'!BR5</x:f>
        <x:v>Sec. 3 Datasets; Appendix A; Table 2; Table 1; Appendix B</x:v>
      </x:c>
      <x:c r="G396" s="16" t="str">
        <x:v>HIGH</x:v>
      </x:c>
      <x:c r="H396" s="16" t="str">
        <x:v>N</x:v>
      </x:c>
      <x:c r="I396" s="16" t="str">
        <x:v>Coder A worked example</x:v>
      </x:c>
    </x:row>
    <x:row r="397">
      <x:c r="A397" s="16" t="n">
        <x:v>396</x:v>
      </x:c>
      <x:c r="B397" s="16" t="str">
        <x:v>EXPERIMENT</x:v>
      </x:c>
      <x:c r="C397" s="16" t="str">
        <x:f>'Experiment_Coding_KT004'!A5</x:f>
        <x:v>PILOT_01_E04</x:v>
      </x:c>
      <x:c r="D397" s="16" t="str">
        <x:v>bootstrap_unit</x:v>
      </x:c>
      <x:c r="E397" s="16" t="str">
        <x:f>'Experiment_Coding_KT004'!AW5</x:f>
        <x:v>NA</x:v>
      </x:c>
      <x:c r="F397" s="16" t="str">
        <x:f>'Experiment_Coding_KT004'!BR5</x:f>
        <x:v>Sec. 3 Datasets; Appendix A; Table 2; Table 1; Appendix B</x:v>
      </x:c>
      <x:c r="G397" s="16" t="str">
        <x:v>HIGH</x:v>
      </x:c>
      <x:c r="H397" s="16" t="str">
        <x:v>Y</x:v>
      </x:c>
      <x:c r="I397" s="16" t="str">
        <x:v>Coder A worked example</x:v>
      </x:c>
    </x:row>
    <x:row r="398">
      <x:c r="A398" s="16" t="n">
        <x:v>397</x:v>
      </x:c>
      <x:c r="B398" s="16" t="str">
        <x:v>EXPERIMENT</x:v>
      </x:c>
      <x:c r="C398" s="16" t="str">
        <x:f>'Experiment_Coding_KT004'!A5</x:f>
        <x:v>PILOT_01_E04</x:v>
      </x:c>
      <x:c r="D398" s="16" t="str">
        <x:v>statistical_test</x:v>
      </x:c>
      <x:c r="E398" s="16" t="str">
        <x:f>'Experiment_Coding_KT004'!AX5</x:f>
        <x:v>NR</x:v>
      </x:c>
      <x:c r="F398" s="16" t="str">
        <x:f>'Experiment_Coding_KT004'!BR5</x:f>
        <x:v>Sec. 3 Datasets; Appendix A; Table 2; Table 1; Appendix B</x:v>
      </x:c>
      <x:c r="G398" s="16" t="str">
        <x:v>HIGH</x:v>
      </x:c>
      <x:c r="H398" s="16" t="str">
        <x:v>N</x:v>
      </x:c>
      <x:c r="I398" s="16" t="str">
        <x:v>Coder A worked example</x:v>
      </x:c>
    </x:row>
    <x:row r="399">
      <x:c r="A399" s="16" t="n">
        <x:v>398</x:v>
      </x:c>
      <x:c r="B399" s="16" t="str">
        <x:v>EXPERIMENT</x:v>
      </x:c>
      <x:c r="C399" s="16" t="str">
        <x:f>'Experiment_Coding_KT004'!A5</x:f>
        <x:v>PILOT_01_E04</x:v>
      </x:c>
      <x:c r="D399" s="16" t="str">
        <x:v>multiple_comparison_correction</x:v>
      </x:c>
      <x:c r="E399" s="16" t="str">
        <x:f>'Experiment_Coding_KT004'!AY5</x:f>
        <x:v>NR</x:v>
      </x:c>
      <x:c r="F399" s="16" t="str">
        <x:f>'Experiment_Coding_KT004'!BR5</x:f>
        <x:v>Sec. 3 Datasets; Appendix A; Table 2; Table 1; Appendix B</x:v>
      </x:c>
      <x:c r="G399" s="16" t="str">
        <x:v>HIGH</x:v>
      </x:c>
      <x:c r="H399" s="16" t="str">
        <x:v>N</x:v>
      </x:c>
      <x:c r="I399" s="16" t="str">
        <x:v>Coder A worked example</x:v>
      </x:c>
    </x:row>
    <x:row r="400">
      <x:c r="A400" s="16" t="n">
        <x:v>399</x:v>
      </x:c>
      <x:c r="B400" s="16" t="str">
        <x:v>EXPERIMENT</x:v>
      </x:c>
      <x:c r="C400" s="16" t="str">
        <x:f>'Experiment_Coding_KT004'!A5</x:f>
        <x:v>PILOT_01_E04</x:v>
      </x:c>
      <x:c r="D400" s="16" t="str">
        <x:v>effect_size</x:v>
      </x:c>
      <x:c r="E400" s="16" t="str">
        <x:f>'Experiment_Coding_KT004'!AZ5</x:f>
        <x:v>NR</x:v>
      </x:c>
      <x:c r="F400" s="16" t="str">
        <x:f>'Experiment_Coding_KT004'!BR5</x:f>
        <x:v>Sec. 3 Datasets; Appendix A; Table 2; Table 1; Appendix B</x:v>
      </x:c>
      <x:c r="G400" s="16" t="str">
        <x:v>HIGH</x:v>
      </x:c>
      <x:c r="H400" s="16" t="str">
        <x:v>N</x:v>
      </x:c>
      <x:c r="I400" s="16" t="str">
        <x:v>Coder A worked example</x:v>
      </x:c>
    </x:row>
    <x:row r="401">
      <x:c r="A401" s="16" t="n">
        <x:v>400</x:v>
      </x:c>
      <x:c r="B401" s="16" t="str">
        <x:v>EXPERIMENT</x:v>
      </x:c>
      <x:c r="C401" s="16" t="str">
        <x:f>'Experiment_Coding_KT004'!A5</x:f>
        <x:v>PILOT_01_E04</x:v>
      </x:c>
      <x:c r="D401" s="16" t="str">
        <x:v>paired_design</x:v>
      </x:c>
      <x:c r="E401" s="16" t="str">
        <x:f>'Experiment_Coding_KT004'!BA5</x:f>
        <x:v>NR</x:v>
      </x:c>
      <x:c r="F401" s="16" t="str">
        <x:f>'Experiment_Coding_KT004'!BR5</x:f>
        <x:v>Sec. 3 Datasets; Appendix A; Table 2; Table 1; Appendix B</x:v>
      </x:c>
      <x:c r="G401" s="16" t="str">
        <x:v>HIGH</x:v>
      </x:c>
      <x:c r="H401" s="16" t="str">
        <x:v>Y</x:v>
      </x:c>
      <x:c r="I401" s="16" t="str">
        <x:v>Coder A worked example</x:v>
      </x:c>
    </x:row>
    <x:row r="402">
      <x:c r="A402" s="16" t="n">
        <x:v>401</x:v>
      </x:c>
      <x:c r="B402" s="16" t="str">
        <x:v>EXPERIMENT</x:v>
      </x:c>
      <x:c r="C402" s="16" t="str">
        <x:f>'Experiment_Coding_KT004'!A5</x:f>
        <x:v>PILOT_01_E04</x:v>
      </x:c>
      <x:c r="D402" s="16" t="str">
        <x:v>significance_threshold</x:v>
      </x:c>
      <x:c r="E402" s="16" t="str">
        <x:f>'Experiment_Coding_KT004'!BB5</x:f>
        <x:v>NR</x:v>
      </x:c>
      <x:c r="F402" s="16" t="str">
        <x:f>'Experiment_Coding_KT004'!BR5</x:f>
        <x:v>Sec. 3 Datasets; Appendix A; Table 2; Table 1; Appendix B</x:v>
      </x:c>
      <x:c r="G402" s="16" t="str">
        <x:v>HIGH</x:v>
      </x:c>
      <x:c r="H402" s="16" t="str">
        <x:v>N</x:v>
      </x:c>
      <x:c r="I402" s="16" t="str">
        <x:v>Coder A worked example</x:v>
      </x:c>
    </x:row>
    <x:row r="403">
      <x:c r="A403" s="16" t="n">
        <x:v>402</x:v>
      </x:c>
      <x:c r="B403" s="16" t="str">
        <x:v>EXPERIMENT</x:v>
      </x:c>
      <x:c r="C403" s="16" t="str">
        <x:f>'Experiment_Coding_KT004'!A5</x:f>
        <x:v>PILOT_01_E04</x:v>
      </x:c>
      <x:c r="D403" s="16" t="str">
        <x:v>parameter_count</x:v>
      </x:c>
      <x:c r="E403" s="16" t="str">
        <x:f>'Experiment_Coding_KT004'!BC5</x:f>
        <x:v>NR</x:v>
      </x:c>
      <x:c r="F403" s="16" t="str">
        <x:f>'Experiment_Coding_KT004'!BR5</x:f>
        <x:v>Sec. 3 Datasets; Appendix A; Table 2; Table 1; Appendix B</x:v>
      </x:c>
      <x:c r="G403" s="16" t="str">
        <x:v>HIGH</x:v>
      </x:c>
      <x:c r="H403" s="16" t="str">
        <x:v>N</x:v>
      </x:c>
      <x:c r="I403" s="16" t="str">
        <x:v>Coder A worked example</x:v>
      </x:c>
    </x:row>
    <x:row r="404">
      <x:c r="A404" s="16" t="n">
        <x:v>403</x:v>
      </x:c>
      <x:c r="B404" s="16" t="str">
        <x:v>EXPERIMENT</x:v>
      </x:c>
      <x:c r="C404" s="16" t="str">
        <x:f>'Experiment_Coding_KT004'!A5</x:f>
        <x:v>PILOT_01_E04</x:v>
      </x:c>
      <x:c r="D404" s="16" t="str">
        <x:v>train_time</x:v>
      </x:c>
      <x:c r="E404" s="16" t="str">
        <x:f>'Experiment_Coding_KT004'!BD5</x:f>
        <x:v>NR</x:v>
      </x:c>
      <x:c r="F404" s="16" t="str">
        <x:f>'Experiment_Coding_KT004'!BR5</x:f>
        <x:v>Sec. 3 Datasets; Appendix A; Table 2; Table 1; Appendix B</x:v>
      </x:c>
      <x:c r="G404" s="16" t="str">
        <x:v>HIGH</x:v>
      </x:c>
      <x:c r="H404" s="16" t="str">
        <x:v>N</x:v>
      </x:c>
      <x:c r="I404" s="16" t="str">
        <x:v>Coder A worked example</x:v>
      </x:c>
    </x:row>
    <x:row r="405">
      <x:c r="A405" s="16" t="n">
        <x:v>404</x:v>
      </x:c>
      <x:c r="B405" s="16" t="str">
        <x:v>EXPERIMENT</x:v>
      </x:c>
      <x:c r="C405" s="16" t="str">
        <x:f>'Experiment_Coding_KT004'!A5</x:f>
        <x:v>PILOT_01_E04</x:v>
      </x:c>
      <x:c r="D405" s="16" t="str">
        <x:v>time_per_epoch</x:v>
      </x:c>
      <x:c r="E405" s="16" t="str">
        <x:f>'Experiment_Coding_KT004'!BE5</x:f>
        <x:v>NR</x:v>
      </x:c>
      <x:c r="F405" s="16" t="str">
        <x:f>'Experiment_Coding_KT004'!BR5</x:f>
        <x:v>Sec. 3 Datasets; Appendix A; Table 2; Table 1; Appendix B</x:v>
      </x:c>
      <x:c r="G405" s="16" t="str">
        <x:v>HIGH</x:v>
      </x:c>
      <x:c r="H405" s="16" t="str">
        <x:v>N</x:v>
      </x:c>
      <x:c r="I405" s="16" t="str">
        <x:v>Coder A worked example</x:v>
      </x:c>
    </x:row>
    <x:row r="406">
      <x:c r="A406" s="16" t="n">
        <x:v>405</x:v>
      </x:c>
      <x:c r="B406" s="16" t="str">
        <x:v>EXPERIMENT</x:v>
      </x:c>
      <x:c r="C406" s="16" t="str">
        <x:f>'Experiment_Coding_KT004'!A5</x:f>
        <x:v>PILOT_01_E04</x:v>
      </x:c>
      <x:c r="D406" s="16" t="str">
        <x:v>inference_latency</x:v>
      </x:c>
      <x:c r="E406" s="16" t="str">
        <x:f>'Experiment_Coding_KT004'!BF5</x:f>
        <x:v>NR</x:v>
      </x:c>
      <x:c r="F406" s="16" t="str">
        <x:f>'Experiment_Coding_KT004'!BR5</x:f>
        <x:v>Sec. 3 Datasets; Appendix A; Table 2; Table 1; Appendix B</x:v>
      </x:c>
      <x:c r="G406" s="16" t="str">
        <x:v>HIGH</x:v>
      </x:c>
      <x:c r="H406" s="16" t="str">
        <x:v>N</x:v>
      </x:c>
      <x:c r="I406" s="16" t="str">
        <x:v>Coder A worked example</x:v>
      </x:c>
    </x:row>
    <x:row r="407">
      <x:c r="A407" s="16" t="n">
        <x:v>406</x:v>
      </x:c>
      <x:c r="B407" s="16" t="str">
        <x:v>EXPERIMENT</x:v>
      </x:c>
      <x:c r="C407" s="16" t="str">
        <x:f>'Experiment_Coding_KT004'!A5</x:f>
        <x:v>PILOT_01_E04</x:v>
      </x:c>
      <x:c r="D407" s="16" t="str">
        <x:v>throughput</x:v>
      </x:c>
      <x:c r="E407" s="16" t="str">
        <x:f>'Experiment_Coding_KT004'!BG5</x:f>
        <x:v>NR</x:v>
      </x:c>
      <x:c r="F407" s="16" t="str">
        <x:f>'Experiment_Coding_KT004'!BR5</x:f>
        <x:v>Sec. 3 Datasets; Appendix A; Table 2; Table 1; Appendix B</x:v>
      </x:c>
      <x:c r="G407" s="16" t="str">
        <x:v>HIGH</x:v>
      </x:c>
      <x:c r="H407" s="16" t="str">
        <x:v>N</x:v>
      </x:c>
      <x:c r="I407" s="16" t="str">
        <x:v>Coder A worked example</x:v>
      </x:c>
    </x:row>
    <x:row r="408">
      <x:c r="A408" s="16" t="n">
        <x:v>407</x:v>
      </x:c>
      <x:c r="B408" s="16" t="str">
        <x:v>EXPERIMENT</x:v>
      </x:c>
      <x:c r="C408" s="16" t="str">
        <x:f>'Experiment_Coding_KT004'!A5</x:f>
        <x:v>PILOT_01_E04</x:v>
      </x:c>
      <x:c r="D408" s="16" t="str">
        <x:v>cpu_ram</x:v>
      </x:c>
      <x:c r="E408" s="16" t="str">
        <x:f>'Experiment_Coding_KT004'!BH5</x:f>
        <x:v>NR</x:v>
      </x:c>
      <x:c r="F408" s="16" t="str">
        <x:f>'Experiment_Coding_KT004'!BR5</x:f>
        <x:v>Sec. 3 Datasets; Appendix A; Table 2; Table 1; Appendix B</x:v>
      </x:c>
      <x:c r="G408" s="16" t="str">
        <x:v>HIGH</x:v>
      </x:c>
      <x:c r="H408" s="16" t="str">
        <x:v>N</x:v>
      </x:c>
      <x:c r="I408" s="16" t="str">
        <x:v>Coder A worked example</x:v>
      </x:c>
    </x:row>
    <x:row r="409">
      <x:c r="A409" s="16" t="n">
        <x:v>408</x:v>
      </x:c>
      <x:c r="B409" s="16" t="str">
        <x:v>EXPERIMENT</x:v>
      </x:c>
      <x:c r="C409" s="16" t="str">
        <x:f>'Experiment_Coding_KT004'!A5</x:f>
        <x:v>PILOT_01_E04</x:v>
      </x:c>
      <x:c r="D409" s="16" t="str">
        <x:v>gpu_vram</x:v>
      </x:c>
      <x:c r="E409" s="16" t="str">
        <x:f>'Experiment_Coding_KT004'!BI5</x:f>
        <x:v>NR</x:v>
      </x:c>
      <x:c r="F409" s="16" t="str">
        <x:f>'Experiment_Coding_KT004'!BR5</x:f>
        <x:v>Sec. 3 Datasets; Appendix A; Table 2; Table 1; Appendix B</x:v>
      </x:c>
      <x:c r="G409" s="16" t="str">
        <x:v>HIGH</x:v>
      </x:c>
      <x:c r="H409" s="16" t="str">
        <x:v>N</x:v>
      </x:c>
      <x:c r="I409" s="16" t="str">
        <x:v>Coder A worked example</x:v>
      </x:c>
    </x:row>
    <x:row r="410">
      <x:c r="A410" s="16" t="n">
        <x:v>409</x:v>
      </x:c>
      <x:c r="B410" s="16" t="str">
        <x:v>EXPERIMENT</x:v>
      </x:c>
      <x:c r="C410" s="16" t="str">
        <x:f>'Experiment_Coding_KT004'!A5</x:f>
        <x:v>PILOT_01_E04</x:v>
      </x:c>
      <x:c r="D410" s="16" t="str">
        <x:v>hardware</x:v>
      </x:c>
      <x:c r="E410" s="16" t="str">
        <x:f>'Experiment_Coding_KT004'!BJ5</x:f>
        <x:v>NR</x:v>
      </x:c>
      <x:c r="F410" s="16" t="str">
        <x:f>'Experiment_Coding_KT004'!BR5</x:f>
        <x:v>Sec. 3 Datasets; Appendix A; Table 2; Table 1; Appendix B</x:v>
      </x:c>
      <x:c r="G410" s="16" t="str">
        <x:v>HIGH</x:v>
      </x:c>
      <x:c r="H410" s="16" t="str">
        <x:v>N</x:v>
      </x:c>
      <x:c r="I410" s="16" t="str">
        <x:v>Coder A worked example</x:v>
      </x:c>
    </x:row>
    <x:row r="411">
      <x:c r="A411" s="16" t="n">
        <x:v>410</x:v>
      </x:c>
      <x:c r="B411" s="16" t="str">
        <x:v>EXPERIMENT</x:v>
      </x:c>
      <x:c r="C411" s="16" t="str">
        <x:f>'Experiment_Coding_KT004'!A5</x:f>
        <x:v>PILOT_01_E04</x:v>
      </x:c>
      <x:c r="D411" s="16" t="str">
        <x:v>graph_construction_time</x:v>
      </x:c>
      <x:c r="E411" s="16" t="str">
        <x:f>'Experiment_Coding_KT004'!BK5</x:f>
        <x:v>NR</x:v>
      </x:c>
      <x:c r="F411" s="16" t="str">
        <x:f>'Experiment_Coding_KT004'!BR5</x:f>
        <x:v>Sec. 3 Datasets; Appendix A; Table 2; Table 1; Appendix B</x:v>
      </x:c>
      <x:c r="G411" s="16" t="str">
        <x:v>HIGH</x:v>
      </x:c>
      <x:c r="H411" s="16" t="str">
        <x:v>N</x:v>
      </x:c>
      <x:c r="I411" s="16" t="str">
        <x:v>Coder A worked example</x:v>
      </x:c>
    </x:row>
    <x:row r="412">
      <x:c r="A412" s="16" t="n">
        <x:v>411</x:v>
      </x:c>
      <x:c r="B412" s="16" t="str">
        <x:v>EXPERIMENT</x:v>
      </x:c>
      <x:c r="C412" s="16" t="str">
        <x:f>'Experiment_Coding_KT004'!A5</x:f>
        <x:v>PILOT_01_E04</x:v>
      </x:c>
      <x:c r="D412" s="16" t="str">
        <x:v>complexity_formula</x:v>
      </x:c>
      <x:c r="E412" s="16" t="str">
        <x:f>'Experiment_Coding_KT004'!BL5</x:f>
        <x:v>NR</x:v>
      </x:c>
      <x:c r="F412" s="16" t="str">
        <x:f>'Experiment_Coding_KT004'!BR5</x:f>
        <x:v>Sec. 3 Datasets; Appendix A; Table 2; Table 1; Appendix B</x:v>
      </x:c>
      <x:c r="G412" s="16" t="str">
        <x:v>HIGH</x:v>
      </x:c>
      <x:c r="H412" s="16" t="str">
        <x:v>N</x:v>
      </x:c>
      <x:c r="I412" s="16" t="str">
        <x:v>Coder A worked example</x:v>
      </x:c>
    </x:row>
    <x:row r="413">
      <x:c r="A413" s="16" t="n">
        <x:v>412</x:v>
      </x:c>
      <x:c r="B413" s="16" t="str">
        <x:v>EXPERIMENT</x:v>
      </x:c>
      <x:c r="C413" s="16" t="str">
        <x:f>'Experiment_Coding_KT004'!A5</x:f>
        <x:v>PILOT_01_E04</x:v>
      </x:c>
      <x:c r="D413" s="16" t="str">
        <x:v>scale_up_experiment</x:v>
      </x:c>
      <x:c r="E413" s="16" t="str">
        <x:f>'Experiment_Coding_KT004'!BM5</x:f>
        <x:v>N</x:v>
      </x:c>
      <x:c r="F413" s="16" t="str">
        <x:f>'Experiment_Coding_KT004'!BR5</x:f>
        <x:v>Sec. 3 Datasets; Appendix A; Table 2; Table 1; Appendix B</x:v>
      </x:c>
      <x:c r="G413" s="16" t="str">
        <x:v>HIGH</x:v>
      </x:c>
      <x:c r="H413" s="16" t="str">
        <x:v>Y</x:v>
      </x:c>
      <x:c r="I413" s="16" t="str">
        <x:v>Coder A worked example</x:v>
      </x:c>
    </x:row>
    <x:row r="414">
      <x:c r="A414" s="16" t="n">
        <x:v>413</x:v>
      </x:c>
      <x:c r="B414" s="16" t="str">
        <x:v>EXPERIMENT</x:v>
      </x:c>
      <x:c r="C414" s="16" t="str">
        <x:f>'Experiment_Coding_KT004'!A5</x:f>
        <x:v>PILOT_01_E04</x:v>
      </x:c>
      <x:c r="D414" s="16" t="str">
        <x:v>oom_timeout_reported</x:v>
      </x:c>
      <x:c r="E414" s="16" t="str">
        <x:f>'Experiment_Coding_KT004'!BN5</x:f>
        <x:v>NR</x:v>
      </x:c>
      <x:c r="F414" s="16" t="str">
        <x:f>'Experiment_Coding_KT004'!BR5</x:f>
        <x:v>Sec. 3 Datasets; Appendix A; Table 2; Table 1; Appendix B</x:v>
      </x:c>
      <x:c r="G414" s="16" t="str">
        <x:v>HIGH</x:v>
      </x:c>
      <x:c r="H414" s="16" t="str">
        <x:v>Y</x:v>
      </x:c>
      <x:c r="I414" s="16" t="str">
        <x:v>Coder A worked example</x:v>
      </x:c>
    </x:row>
    <x:row r="415">
      <x:c r="A415" s="16" t="n">
        <x:v>414</x:v>
      </x:c>
      <x:c r="B415" s="16" t="str">
        <x:v>EXPERIMENT</x:v>
      </x:c>
      <x:c r="C415" s="16" t="str">
        <x:f>'Experiment_Coding_KT004'!A6</x:f>
        <x:v>PILOT_01_E05</x:v>
      </x:c>
      <x:c r="D415" s="16" t="str">
        <x:v>dataset_name</x:v>
      </x:c>
      <x:c r="E415" s="16" t="str">
        <x:f>'Experiment_Coding_KT004'!D6</x:f>
        <x:v>ASSISTments</x:v>
      </x:c>
      <x:c r="F415" s="16" t="str">
        <x:f>'Experiment_Coding_KT004'!BR6</x:f>
        <x:v>Sec. 3 Datasets; Appendix A; Table 2; Table 1; Appendix B</x:v>
      </x:c>
      <x:c r="G415" s="16" t="str">
        <x:v>HIGH</x:v>
      </x:c>
      <x:c r="H415" s="16" t="str">
        <x:v>N</x:v>
      </x:c>
      <x:c r="I415" s="16" t="str">
        <x:v>Coder A worked example</x:v>
      </x:c>
    </x:row>
    <x:row r="416">
      <x:c r="A416" s="16" t="n">
        <x:v>415</x:v>
      </x:c>
      <x:c r="B416" s="16" t="str">
        <x:v>EXPERIMENT</x:v>
      </x:c>
      <x:c r="C416" s="16" t="str">
        <x:f>'Experiment_Coding_KT004'!A6</x:f>
        <x:v>PILOT_01_E05</x:v>
      </x:c>
      <x:c r="D416" s="16" t="str">
        <x:v>dataset_version</x:v>
      </x:c>
      <x:c r="E416" s="16" t="str">
        <x:f>'Experiment_Coding_KT004'!E6</x:f>
        <x:v>2009-2010 Skill Builder</x:v>
      </x:c>
      <x:c r="F416" s="16" t="str">
        <x:f>'Experiment_Coding_KT004'!BR6</x:f>
        <x:v>Sec. 3 Datasets; Appendix A; Table 2; Table 1; Appendix B</x:v>
      </x:c>
      <x:c r="G416" s="16" t="str">
        <x:v>HIGH</x:v>
      </x:c>
      <x:c r="H416" s="16" t="str">
        <x:v>N</x:v>
      </x:c>
      <x:c r="I416" s="16" t="str">
        <x:v>Coder A worked example</x:v>
      </x:c>
    </x:row>
    <x:row r="417">
      <x:c r="A417" s="16" t="n">
        <x:v>416</x:v>
      </x:c>
      <x:c r="B417" s="16" t="str">
        <x:v>EXPERIMENT</x:v>
      </x:c>
      <x:c r="C417" s="16" t="str">
        <x:f>'Experiment_Coding_KT004'!A6</x:f>
        <x:v>PILOT_01_E05</x:v>
      </x:c>
      <x:c r="D417" s="16" t="str">
        <x:v>n_learners_reported</x:v>
      </x:c>
      <x:c r="E417" s="16" t="n">
        <x:f>'Experiment_Coding_KT004'!G6</x:f>
        <x:v>1000</x:v>
      </x:c>
      <x:c r="F417" s="16" t="str">
        <x:f>'Experiment_Coding_KT004'!BR6</x:f>
        <x:v>Sec. 3 Datasets; Appendix A; Table 2; Table 1; Appendix B</x:v>
      </x:c>
      <x:c r="G417" s="16" t="str">
        <x:v>HIGH</x:v>
      </x:c>
      <x:c r="H417" s="16" t="str">
        <x:v>N</x:v>
      </x:c>
      <x:c r="I417" s="16" t="str">
        <x:v>Coder A worked example</x:v>
      </x:c>
    </x:row>
    <x:row r="418">
      <x:c r="A418" s="16" t="n">
        <x:v>417</x:v>
      </x:c>
      <x:c r="B418" s="16" t="str">
        <x:v>EXPERIMENT</x:v>
      </x:c>
      <x:c r="C418" s="16" t="str">
        <x:f>'Experiment_Coding_KT004'!A6</x:f>
        <x:v>PILOT_01_E05</x:v>
      </x:c>
      <x:c r="D418" s="16" t="str">
        <x:v>n_items_reported</x:v>
      </x:c>
      <x:c r="E418" s="16" t="str">
        <x:f>'Experiment_Coding_KT004'!H6</x:f>
        <x:v>NR</x:v>
      </x:c>
      <x:c r="F418" s="16" t="str">
        <x:f>'Experiment_Coding_KT004'!BR6</x:f>
        <x:v>Sec. 3 Datasets; Appendix A; Table 2; Table 1; Appendix B</x:v>
      </x:c>
      <x:c r="G418" s="16" t="str">
        <x:v>HIGH</x:v>
      </x:c>
      <x:c r="H418" s="16" t="str">
        <x:v>N</x:v>
      </x:c>
      <x:c r="I418" s="16" t="str">
        <x:v>Coder A worked example</x:v>
      </x:c>
    </x:row>
    <x:row r="419">
      <x:c r="A419" s="16" t="n">
        <x:v>418</x:v>
      </x:c>
      <x:c r="B419" s="16" t="str">
        <x:v>EXPERIMENT</x:v>
      </x:c>
      <x:c r="C419" s="16" t="str">
        <x:f>'Experiment_Coding_KT004'!A6</x:f>
        <x:v>PILOT_01_E05</x:v>
      </x:c>
      <x:c r="D419" s="16" t="str">
        <x:v>n_kcs_reported</x:v>
      </x:c>
      <x:c r="E419" s="16" t="n">
        <x:f>'Experiment_Coding_KT004'!I6</x:f>
        <x:v>101</x:v>
      </x:c>
      <x:c r="F419" s="16" t="str">
        <x:f>'Experiment_Coding_KT004'!BR6</x:f>
        <x:v>Sec. 3 Datasets; Appendix A; Table 2; Table 1; Appendix B</x:v>
      </x:c>
      <x:c r="G419" s="16" t="str">
        <x:v>HIGH</x:v>
      </x:c>
      <x:c r="H419" s="16" t="str">
        <x:v>N</x:v>
      </x:c>
      <x:c r="I419" s="16" t="str">
        <x:v>Coder A worked example</x:v>
      </x:c>
    </x:row>
    <x:row r="420">
      <x:c r="A420" s="16" t="n">
        <x:v>419</x:v>
      </x:c>
      <x:c r="B420" s="16" t="str">
        <x:v>EXPERIMENT</x:v>
      </x:c>
      <x:c r="C420" s="16" t="str">
        <x:f>'Experiment_Coding_KT004'!A6</x:f>
        <x:v>PILOT_01_E05</x:v>
      </x:c>
      <x:c r="D420" s="16" t="str">
        <x:v>n_interactions_reported</x:v>
      </x:c>
      <x:c r="E420" s="16" t="n">
        <x:f>'Experiment_Coding_KT004'!J6</x:f>
        <x:v>62955</x:v>
      </x:c>
      <x:c r="F420" s="16" t="str">
        <x:f>'Experiment_Coding_KT004'!BR6</x:f>
        <x:v>Sec. 3 Datasets; Appendix A; Table 2; Table 1; Appendix B</x:v>
      </x:c>
      <x:c r="G420" s="16" t="str">
        <x:v>HIGH</x:v>
      </x:c>
      <x:c r="H420" s="16" t="str">
        <x:v>N</x:v>
      </x:c>
      <x:c r="I420" s="16" t="str">
        <x:v>Coder A worked example</x:v>
      </x:c>
    </x:row>
    <x:row r="421">
      <x:c r="A421" s="16" t="n">
        <x:v>420</x:v>
      </x:c>
      <x:c r="B421" s="16" t="str">
        <x:v>EXPERIMENT</x:v>
      </x:c>
      <x:c r="C421" s="16" t="str">
        <x:f>'Experiment_Coding_KT004'!A6</x:f>
        <x:v>PILOT_01_E05</x:v>
      </x:c>
      <x:c r="D421" s="16" t="str">
        <x:v>multi_skill_present</x:v>
      </x:c>
      <x:c r="E421" s="16" t="str">
        <x:f>'Experiment_Coding_KT004'!K6</x:f>
        <x:v>UNCLEAR</x:v>
      </x:c>
      <x:c r="F421" s="16" t="str">
        <x:f>'Experiment_Coding_KT004'!BR6</x:f>
        <x:v>Sec. 3 Datasets; Appendix A; Table 2; Table 1; Appendix B</x:v>
      </x:c>
      <x:c r="G421" s="16" t="str">
        <x:v>HIGH</x:v>
      </x:c>
      <x:c r="H421" s="16" t="str">
        <x:v>Y</x:v>
      </x:c>
      <x:c r="I421" s="16" t="str">
        <x:v>Coder A worked example</x:v>
      </x:c>
    </x:row>
    <x:row r="422">
      <x:c r="A422" s="16" t="n">
        <x:v>421</x:v>
      </x:c>
      <x:c r="B422" s="16" t="str">
        <x:v>EXPERIMENT</x:v>
      </x:c>
      <x:c r="C422" s="16" t="str">
        <x:f>'Experiment_Coding_KT004'!A6</x:f>
        <x:v>PILOT_01_E05</x:v>
      </x:c>
      <x:c r="D422" s="16" t="str">
        <x:v>multi_skill_handling</x:v>
      </x:c>
      <x:c r="E422" s="16" t="str">
        <x:f>'Experiment_Coding_KT004'!L6</x:f>
        <x:v>Combine simultaneous answer logs into one; extract named skill tags</x:v>
      </x:c>
      <x:c r="F422" s="16" t="str">
        <x:f>'Experiment_Coding_KT004'!BR6</x:f>
        <x:v>Sec. 3 Datasets; Appendix A; Table 2; Table 1; Appendix B</x:v>
      </x:c>
      <x:c r="G422" s="16" t="str">
        <x:v>HIGH</x:v>
      </x:c>
      <x:c r="H422" s="16" t="str">
        <x:v>N</x:v>
      </x:c>
      <x:c r="I422" s="16" t="str">
        <x:v>Coder A worked example</x:v>
      </x:c>
    </x:row>
    <x:row r="423">
      <x:c r="A423" s="16" t="n">
        <x:v>422</x:v>
      </x:c>
      <x:c r="B423" s="16" t="str">
        <x:v>EXPERIMENT</x:v>
      </x:c>
      <x:c r="C423" s="16" t="str">
        <x:f>'Experiment_Coding_KT004'!A6</x:f>
        <x:v>PILOT_01_E05</x:v>
      </x:c>
      <x:c r="D423" s="16" t="str">
        <x:v>sequence_truncation</x:v>
      </x:c>
      <x:c r="E423" s="16" t="str">
        <x:f>'Experiment_Coding_KT004'!M6</x:f>
        <x:v>NR</x:v>
      </x:c>
      <x:c r="F423" s="16" t="str">
        <x:f>'Experiment_Coding_KT004'!BR6</x:f>
        <x:v>Sec. 3 Datasets; Appendix A; Table 2; Table 1; Appendix B</x:v>
      </x:c>
      <x:c r="G423" s="16" t="str">
        <x:v>HIGH</x:v>
      </x:c>
      <x:c r="H423" s="16" t="str">
        <x:v>N</x:v>
      </x:c>
      <x:c r="I423" s="16" t="str">
        <x:v>Coder A worked example</x:v>
      </x:c>
    </x:row>
    <x:row r="424">
      <x:c r="A424" s="16" t="n">
        <x:v>423</x:v>
      </x:c>
      <x:c r="B424" s="16" t="str">
        <x:v>EXPERIMENT</x:v>
      </x:c>
      <x:c r="C424" s="16" t="str">
        <x:f>'Experiment_Coding_KT004'!A6</x:f>
        <x:v>PILOT_01_E05</x:v>
      </x:c>
      <x:c r="D424" s="16" t="str">
        <x:v>min_sequence_filter</x:v>
      </x:c>
      <x:c r="E424" s="16" t="str">
        <x:f>'Experiment_Coding_KT004'!N6</x:f>
        <x:v>NR</x:v>
      </x:c>
      <x:c r="F424" s="16" t="str">
        <x:f>'Experiment_Coding_KT004'!BR6</x:f>
        <x:v>Sec. 3 Datasets; Appendix A; Table 2; Table 1; Appendix B</x:v>
      </x:c>
      <x:c r="G424" s="16" t="str">
        <x:v>HIGH</x:v>
      </x:c>
      <x:c r="H424" s="16" t="str">
        <x:v>N</x:v>
      </x:c>
      <x:c r="I424" s="16" t="str">
        <x:v>Coder A worked example</x:v>
      </x:c>
    </x:row>
    <x:row r="425">
      <x:c r="A425" s="16" t="n">
        <x:v>424</x:v>
      </x:c>
      <x:c r="B425" s="16" t="str">
        <x:v>EXPERIMENT</x:v>
      </x:c>
      <x:c r="C425" s="16" t="str">
        <x:f>'Experiment_Coding_KT004'!A6</x:f>
        <x:v>PILOT_01_E05</x:v>
      </x:c>
      <x:c r="D425" s="16" t="str">
        <x:v>timestamp_used</x:v>
      </x:c>
      <x:c r="E425" s="16" t="str">
        <x:f>'Experiment_Coding_KT004'!O6</x:f>
        <x:v>UNCLEAR</x:v>
      </x:c>
      <x:c r="F425" s="16" t="str">
        <x:f>'Experiment_Coding_KT004'!BR6</x:f>
        <x:v>Sec. 3 Datasets; Appendix A; Table 2; Table 1; Appendix B</x:v>
      </x:c>
      <x:c r="G425" s="16" t="str">
        <x:v>HIGH</x:v>
      </x:c>
      <x:c r="H425" s="16" t="str">
        <x:v>Y</x:v>
      </x:c>
      <x:c r="I425" s="16" t="str">
        <x:v>Coder A worked example</x:v>
      </x:c>
    </x:row>
    <x:row r="426">
      <x:c r="A426" s="16" t="n">
        <x:v>425</x:v>
      </x:c>
      <x:c r="B426" s="16" t="str">
        <x:v>EXPERIMENT</x:v>
      </x:c>
      <x:c r="C426" s="16" t="str">
        <x:f>'Experiment_Coding_KT004'!A6</x:f>
        <x:v>PILOT_01_E05</x:v>
      </x:c>
      <x:c r="D426" s="16" t="str">
        <x:v>preprocessing_code_available</x:v>
      </x:c>
      <x:c r="E426" s="16" t="str">
        <x:f>'Experiment_Coding_KT004'!P6</x:f>
        <x:v>NR</x:v>
      </x:c>
      <x:c r="F426" s="16" t="str">
        <x:f>'Experiment_Coding_KT004'!BR6</x:f>
        <x:v>Sec. 3 Datasets; Appendix A; Table 2; Table 1; Appendix B</x:v>
      </x:c>
      <x:c r="G426" s="16" t="str">
        <x:v>HIGH</x:v>
      </x:c>
      <x:c r="H426" s="16" t="str">
        <x:v>Y</x:v>
      </x:c>
      <x:c r="I426" s="16" t="str">
        <x:v>Coder A worked example</x:v>
      </x:c>
    </x:row>
    <x:row r="427">
      <x:c r="A427" s="16" t="n">
        <x:v>426</x:v>
      </x:c>
      <x:c r="B427" s="16" t="str">
        <x:v>EXPERIMENT</x:v>
      </x:c>
      <x:c r="C427" s="16" t="str">
        <x:f>'Experiment_Coding_KT004'!A6</x:f>
        <x:v>PILOT_01_E05</x:v>
      </x:c>
      <x:c r="D427" s="16" t="str">
        <x:v>split_type</x:v>
      </x:c>
      <x:c r="E427" s="16" t="str">
        <x:f>'Experiment_Coding_KT004'!Q6</x:f>
        <x:v>LEARNER_BASED</x:v>
      </x:c>
      <x:c r="F427" s="16" t="str">
        <x:f>'Experiment_Coding_KT004'!BR6</x:f>
        <x:v>Sec. 3 Datasets; Appendix A; Table 2; Table 1; Appendix B</x:v>
      </x:c>
      <x:c r="G427" s="16" t="str">
        <x:v>HIGH</x:v>
      </x:c>
      <x:c r="H427" s="16" t="str">
        <x:v>Y</x:v>
      </x:c>
      <x:c r="I427" s="16" t="str">
        <x:v>Coder A worked example</x:v>
      </x:c>
    </x:row>
    <x:row r="428">
      <x:c r="A428" s="16" t="n">
        <x:v>427</x:v>
      </x:c>
      <x:c r="B428" s="16" t="str">
        <x:v>EXPERIMENT</x:v>
      </x:c>
      <x:c r="C428" s="16" t="str">
        <x:f>'Experiment_Coding_KT004'!A6</x:f>
        <x:v>PILOT_01_E05</x:v>
      </x:c>
      <x:c r="D428" s="16" t="str">
        <x:v>split_unit_original</x:v>
      </x:c>
      <x:c r="E428" s="16" t="str">
        <x:f>'Experiment_Coding_KT004'!R6</x:f>
        <x:v>students</x:v>
      </x:c>
      <x:c r="F428" s="16" t="str">
        <x:f>'Experiment_Coding_KT004'!BR6</x:f>
        <x:v>Sec. 3 Datasets; Appendix A; Table 2; Table 1; Appendix B</x:v>
      </x:c>
      <x:c r="G428" s="16" t="str">
        <x:v>HIGH</x:v>
      </x:c>
      <x:c r="H428" s="16" t="str">
        <x:v>N</x:v>
      </x:c>
      <x:c r="I428" s="16" t="str">
        <x:v>Coder A worked example</x:v>
      </x:c>
    </x:row>
    <x:row r="429">
      <x:c r="A429" s="16" t="n">
        <x:v>428</x:v>
      </x:c>
      <x:c r="B429" s="16" t="str">
        <x:v>EXPERIMENT</x:v>
      </x:c>
      <x:c r="C429" s="16" t="str">
        <x:f>'Experiment_Coding_KT004'!A6</x:f>
        <x:v>PILOT_01_E05</x:v>
      </x:c>
      <x:c r="D429" s="16" t="str">
        <x:v>train_fraction</x:v>
      </x:c>
      <x:c r="E429" s="16" t="n">
        <x:f>'Experiment_Coding_KT004'!S6</x:f>
        <x:v>0.8</x:v>
      </x:c>
      <x:c r="F429" s="16" t="str">
        <x:f>'Experiment_Coding_KT004'!BR6</x:f>
        <x:v>Sec. 3 Datasets; Appendix A; Table 2; Table 1; Appendix B</x:v>
      </x:c>
      <x:c r="G429" s="16" t="str">
        <x:v>HIGH</x:v>
      </x:c>
      <x:c r="H429" s="16" t="str">
        <x:v>N</x:v>
      </x:c>
      <x:c r="I429" s="16" t="str">
        <x:v>Coder A worked example</x:v>
      </x:c>
    </x:row>
    <x:row r="430">
      <x:c r="A430" s="16" t="n">
        <x:v>429</x:v>
      </x:c>
      <x:c r="B430" s="16" t="str">
        <x:v>EXPERIMENT</x:v>
      </x:c>
      <x:c r="C430" s="16" t="str">
        <x:f>'Experiment_Coding_KT004'!A6</x:f>
        <x:v>PILOT_01_E05</x:v>
      </x:c>
      <x:c r="D430" s="16" t="str">
        <x:v>validation_fraction</x:v>
      </x:c>
      <x:c r="E430" s="16" t="n">
        <x:f>'Experiment_Coding_KT004'!T6</x:f>
        <x:v>0.1</x:v>
      </x:c>
      <x:c r="F430" s="16" t="str">
        <x:f>'Experiment_Coding_KT004'!BR6</x:f>
        <x:v>Sec. 3 Datasets; Appendix A; Table 2; Table 1; Appendix B</x:v>
      </x:c>
      <x:c r="G430" s="16" t="str">
        <x:v>HIGH</x:v>
      </x:c>
      <x:c r="H430" s="16" t="str">
        <x:v>N</x:v>
      </x:c>
      <x:c r="I430" s="16" t="str">
        <x:v>Coder A worked example</x:v>
      </x:c>
    </x:row>
    <x:row r="431">
      <x:c r="A431" s="16" t="n">
        <x:v>430</x:v>
      </x:c>
      <x:c r="B431" s="16" t="str">
        <x:v>EXPERIMENT</x:v>
      </x:c>
      <x:c r="C431" s="16" t="str">
        <x:f>'Experiment_Coding_KT004'!A6</x:f>
        <x:v>PILOT_01_E05</x:v>
      </x:c>
      <x:c r="D431" s="16" t="str">
        <x:v>test_fraction</x:v>
      </x:c>
      <x:c r="E431" s="16" t="n">
        <x:f>'Experiment_Coding_KT004'!U6</x:f>
        <x:v>0.1</x:v>
      </x:c>
      <x:c r="F431" s="16" t="str">
        <x:f>'Experiment_Coding_KT004'!BR6</x:f>
        <x:v>Sec. 3 Datasets; Appendix A; Table 2; Table 1; Appendix B</x:v>
      </x:c>
      <x:c r="G431" s="16" t="str">
        <x:v>HIGH</x:v>
      </x:c>
      <x:c r="H431" s="16" t="str">
        <x:v>N</x:v>
      </x:c>
      <x:c r="I431" s="16" t="str">
        <x:v>Coder A worked example</x:v>
      </x:c>
    </x:row>
    <x:row r="432">
      <x:c r="A432" s="16" t="n">
        <x:v>431</x:v>
      </x:c>
      <x:c r="B432" s="16" t="str">
        <x:v>EXPERIMENT</x:v>
      </x:c>
      <x:c r="C432" s="16" t="str">
        <x:f>'Experiment_Coding_KT004'!A6</x:f>
        <x:v>PILOT_01_E05</x:v>
      </x:c>
      <x:c r="D432" s="16" t="str">
        <x:v>validation_set_separate</x:v>
      </x:c>
      <x:c r="E432" s="16" t="str">
        <x:f>'Experiment_Coding_KT004'!V6</x:f>
        <x:v>Y</x:v>
      </x:c>
      <x:c r="F432" s="16" t="str">
        <x:f>'Experiment_Coding_KT004'!BR6</x:f>
        <x:v>Sec. 3 Datasets; Appendix A; Table 2; Table 1; Appendix B</x:v>
      </x:c>
      <x:c r="G432" s="16" t="str">
        <x:v>HIGH</x:v>
      </x:c>
      <x:c r="H432" s="16" t="str">
        <x:v>Y</x:v>
      </x:c>
      <x:c r="I432" s="16" t="str">
        <x:v>Coder A worked example</x:v>
      </x:c>
    </x:row>
    <x:row r="433">
      <x:c r="A433" s="16" t="n">
        <x:v>432</x:v>
      </x:c>
      <x:c r="B433" s="16" t="str">
        <x:v>EXPERIMENT</x:v>
      </x:c>
      <x:c r="C433" s="16" t="str">
        <x:f>'Experiment_Coding_KT004'!A6</x:f>
        <x:v>PILOT_01_E05</x:v>
      </x:c>
      <x:c r="D433" s="16" t="str">
        <x:v>early_stopping_validation_only</x:v>
      </x:c>
      <x:c r="E433" s="16" t="str">
        <x:f>'Experiment_Coding_KT004'!W6</x:f>
        <x:v>UNCLEAR</x:v>
      </x:c>
      <x:c r="F433" s="16" t="str">
        <x:f>'Experiment_Coding_KT004'!BR6</x:f>
        <x:v>Sec. 3 Datasets; Appendix A; Table 2; Table 1; Appendix B</x:v>
      </x:c>
      <x:c r="G433" s="16" t="str">
        <x:v>HIGH</x:v>
      </x:c>
      <x:c r="H433" s="16" t="str">
        <x:v>Y</x:v>
      </x:c>
      <x:c r="I433" s="16" t="str">
        <x:v>Coder A worked example</x:v>
      </x:c>
    </x:row>
    <x:row r="434">
      <x:c r="A434" s="16" t="n">
        <x:v>433</x:v>
      </x:c>
      <x:c r="B434" s="16" t="str">
        <x:v>EXPERIMENT</x:v>
      </x:c>
      <x:c r="C434" s="16" t="str">
        <x:f>'Experiment_Coding_KT004'!A6</x:f>
        <x:v>PILOT_01_E05</x:v>
      </x:c>
      <x:c r="D434" s="16" t="str">
        <x:v>graph_train_only</x:v>
      </x:c>
      <x:c r="E434" s="16" t="str">
        <x:f>'Experiment_Coding_KT004'!X6</x:f>
        <x:v>UNCLEAR</x:v>
      </x:c>
      <x:c r="F434" s="16" t="str">
        <x:f>'Experiment_Coding_KT004'!BR6</x:f>
        <x:v>Sec. 3 Datasets; Appendix A; Table 2; Table 1; Appendix B</x:v>
      </x:c>
      <x:c r="G434" s="16" t="str">
        <x:v>HIGH</x:v>
      </x:c>
      <x:c r="H434" s="16" t="str">
        <x:v>Y</x:v>
      </x:c>
      <x:c r="I434" s="16" t="str">
        <x:v>Coder A worked example</x:v>
      </x:c>
    </x:row>
    <x:row r="435">
      <x:c r="A435" s="16" t="n">
        <x:v>434</x:v>
      </x:c>
      <x:c r="B435" s="16" t="str">
        <x:v>EXPERIMENT</x:v>
      </x:c>
      <x:c r="C435" s="16" t="str">
        <x:f>'Experiment_Coding_KT004'!A6</x:f>
        <x:v>PILOT_01_E05</x:v>
      </x:c>
      <x:c r="D435" s="16" t="str">
        <x:v>normalization_train_only</x:v>
      </x:c>
      <x:c r="E435" s="16" t="str">
        <x:f>'Experiment_Coding_KT004'!Y6</x:f>
        <x:v>NR</x:v>
      </x:c>
      <x:c r="F435" s="16" t="str">
        <x:f>'Experiment_Coding_KT004'!BR6</x:f>
        <x:v>Sec. 3 Datasets; Appendix A; Table 2; Table 1; Appendix B</x:v>
      </x:c>
      <x:c r="G435" s="16" t="str">
        <x:v>HIGH</x:v>
      </x:c>
      <x:c r="H435" s="16" t="str">
        <x:v>Y</x:v>
      </x:c>
      <x:c r="I435" s="16" t="str">
        <x:v>Coder A worked example</x:v>
      </x:c>
    </x:row>
    <x:row r="436">
      <x:c r="A436" s="16" t="n">
        <x:v>435</x:v>
      </x:c>
      <x:c r="B436" s="16" t="str">
        <x:v>EXPERIMENT</x:v>
      </x:c>
      <x:c r="C436" s="16" t="str">
        <x:f>'Experiment_Coding_KT004'!A6</x:f>
        <x:v>PILOT_01_E05</x:v>
      </x:c>
      <x:c r="D436" s="16" t="str">
        <x:v>sparse_strata_train_only</x:v>
      </x:c>
      <x:c r="E436" s="16" t="str">
        <x:f>'Experiment_Coding_KT004'!Z6</x:f>
        <x:v>NA</x:v>
      </x:c>
      <x:c r="F436" s="16" t="str">
        <x:f>'Experiment_Coding_KT004'!BR6</x:f>
        <x:v>Sec. 3 Datasets; Appendix A; Table 2; Table 1; Appendix B</x:v>
      </x:c>
      <x:c r="G436" s="16" t="str">
        <x:v>HIGH</x:v>
      </x:c>
      <x:c r="H436" s="16" t="str">
        <x:v>Y</x:v>
      </x:c>
      <x:c r="I436" s="16" t="str">
        <x:v>Coder A worked example</x:v>
      </x:c>
    </x:row>
    <x:row r="437">
      <x:c r="A437" s="16" t="n">
        <x:v>436</x:v>
      </x:c>
      <x:c r="B437" s="16" t="str">
        <x:v>EXPERIMENT</x:v>
      </x:c>
      <x:c r="C437" s="16" t="str">
        <x:f>'Experiment_Coding_KT004'!A6</x:f>
        <x:v>PILOT_01_E05</x:v>
      </x:c>
      <x:c r="D437" s="16" t="str">
        <x:v>temporal_alignment_audited</x:v>
      </x:c>
      <x:c r="E437" s="16" t="str">
        <x:f>'Experiment_Coding_KT004'!AA6</x:f>
        <x:v>NR</x:v>
      </x:c>
      <x:c r="F437" s="16" t="str">
        <x:f>'Experiment_Coding_KT004'!BR6</x:f>
        <x:v>Sec. 3 Datasets; Appendix A; Table 2; Table 1; Appendix B</x:v>
      </x:c>
      <x:c r="G437" s="16" t="str">
        <x:v>HIGH</x:v>
      </x:c>
      <x:c r="H437" s="16" t="str">
        <x:v>Y</x:v>
      </x:c>
      <x:c r="I437" s="16" t="str">
        <x:v>Coder A worked example</x:v>
      </x:c>
    </x:row>
    <x:row r="438">
      <x:c r="A438" s="16" t="n">
        <x:v>437</x:v>
      </x:c>
      <x:c r="B438" s="16" t="str">
        <x:v>EXPERIMENT</x:v>
      </x:c>
      <x:c r="C438" s="16" t="str">
        <x:f>'Experiment_Coding_KT004'!A6</x:f>
        <x:v>PILOT_01_E05</x:v>
      </x:c>
      <x:c r="D438" s="16" t="str">
        <x:v>duplicate_entity_leakage_checked</x:v>
      </x:c>
      <x:c r="E438" s="16" t="str">
        <x:f>'Experiment_Coding_KT004'!AB6</x:f>
        <x:v>NR</x:v>
      </x:c>
      <x:c r="F438" s="16" t="str">
        <x:f>'Experiment_Coding_KT004'!BR6</x:f>
        <x:v>Sec. 3 Datasets; Appendix A; Table 2; Table 1; Appendix B</x:v>
      </x:c>
      <x:c r="G438" s="16" t="str">
        <x:v>HIGH</x:v>
      </x:c>
      <x:c r="H438" s="16" t="str">
        <x:v>Y</x:v>
      </x:c>
      <x:c r="I438" s="16" t="str">
        <x:v>Coder A worked example</x:v>
      </x:c>
    </x:row>
    <x:row r="439">
      <x:c r="A439" s="16" t="n">
        <x:v>438</x:v>
      </x:c>
      <x:c r="B439" s="16" t="str">
        <x:v>EXPERIMENT</x:v>
      </x:c>
      <x:c r="C439" s="16" t="str">
        <x:f>'Experiment_Coding_KT004'!A6</x:f>
        <x:v>PILOT_01_E05</x:v>
      </x:c>
      <x:c r="D439" s="16" t="str">
        <x:v>sparsity_construct</x:v>
      </x:c>
      <x:c r="E439" s="16" t="str">
        <x:f>'Experiment_Coding_KT004'!AC6</x:f>
        <x:v>NO_EXPLICIT_FOCUS</x:v>
      </x:c>
      <x:c r="F439" s="16" t="str">
        <x:f>'Experiment_Coding_KT004'!BR6</x:f>
        <x:v>Sec. 3 Datasets; Appendix A; Table 2; Table 1; Appendix B</x:v>
      </x:c>
      <x:c r="G439" s="16" t="str">
        <x:v>HIGH</x:v>
      </x:c>
      <x:c r="H439" s="16" t="str">
        <x:v>Y</x:v>
      </x:c>
      <x:c r="I439" s="16" t="str">
        <x:v>Coder A worked example</x:v>
      </x:c>
    </x:row>
    <x:row r="440">
      <x:c r="A440" s="16" t="n">
        <x:v>439</x:v>
      </x:c>
      <x:c r="B440" s="16" t="str">
        <x:v>EXPERIMENT</x:v>
      </x:c>
      <x:c r="C440" s="16" t="str">
        <x:f>'Experiment_Coding_KT004'!A6</x:f>
        <x:v>PILOT_01_E05</x:v>
      </x:c>
      <x:c r="D440" s="16" t="str">
        <x:v>sparse_definition_original</x:v>
      </x:c>
      <x:c r="E440" s="16" t="str">
        <x:f>'Experiment_Coding_KT004'!AD6</x:f>
        <x:v>NA</x:v>
      </x:c>
      <x:c r="F440" s="16" t="str">
        <x:f>'Experiment_Coding_KT004'!BR6</x:f>
        <x:v>Sec. 3 Datasets; Appendix A; Table 2; Table 1; Appendix B</x:v>
      </x:c>
      <x:c r="G440" s="16" t="str">
        <x:v>HIGH</x:v>
      </x:c>
      <x:c r="H440" s="16" t="str">
        <x:v>N</x:v>
      </x:c>
      <x:c r="I440" s="16" t="str">
        <x:v>Coder A worked example</x:v>
      </x:c>
    </x:row>
    <x:row r="441">
      <x:c r="A441" s="16" t="n">
        <x:v>440</x:v>
      </x:c>
      <x:c r="B441" s="16" t="str">
        <x:v>EXPERIMENT</x:v>
      </x:c>
      <x:c r="C441" s="16" t="str">
        <x:f>'Experiment_Coding_KT004'!A6</x:f>
        <x:v>PILOT_01_E05</x:v>
      </x:c>
      <x:c r="D441" s="16" t="str">
        <x:v>sparse_threshold_original</x:v>
      </x:c>
      <x:c r="E441" s="16" t="str">
        <x:f>'Experiment_Coding_KT004'!AE6</x:f>
        <x:v>NA</x:v>
      </x:c>
      <x:c r="F441" s="16" t="str">
        <x:f>'Experiment_Coding_KT004'!BR6</x:f>
        <x:v>Sec. 3 Datasets; Appendix A; Table 2; Table 1; Appendix B</x:v>
      </x:c>
      <x:c r="G441" s="16" t="str">
        <x:v>HIGH</x:v>
      </x:c>
      <x:c r="H441" s="16" t="str">
        <x:v>N</x:v>
      </x:c>
      <x:c r="I441" s="16" t="str">
        <x:v>Coder A worked example</x:v>
      </x:c>
    </x:row>
    <x:row r="442">
      <x:c r="A442" s="16" t="n">
        <x:v>441</x:v>
      </x:c>
      <x:c r="B442" s="16" t="str">
        <x:v>EXPERIMENT</x:v>
      </x:c>
      <x:c r="C442" s="16" t="str">
        <x:f>'Experiment_Coding_KT004'!A6</x:f>
        <x:v>PILOT_01_E05</x:v>
      </x:c>
      <x:c r="D442" s="16" t="str">
        <x:v>threshold_source</x:v>
      </x:c>
      <x:c r="E442" s="16" t="str">
        <x:f>'Experiment_Coding_KT004'!AF6</x:f>
        <x:v>NA</x:v>
      </x:c>
      <x:c r="F442" s="16" t="str">
        <x:f>'Experiment_Coding_KT004'!BR6</x:f>
        <x:v>Sec. 3 Datasets; Appendix A; Table 2; Table 1; Appendix B</x:v>
      </x:c>
      <x:c r="G442" s="16" t="str">
        <x:v>HIGH</x:v>
      </x:c>
      <x:c r="H442" s="16" t="str">
        <x:v>Y</x:v>
      </x:c>
      <x:c r="I442" s="16" t="str">
        <x:v>Coder A worked example</x:v>
      </x:c>
    </x:row>
    <x:row r="443">
      <x:c r="A443" s="16" t="n">
        <x:v>442</x:v>
      </x:c>
      <x:c r="B443" s="16" t="str">
        <x:v>EXPERIMENT</x:v>
      </x:c>
      <x:c r="C443" s="16" t="str">
        <x:f>'Experiment_Coding_KT004'!A6</x:f>
        <x:v>PILOT_01_E05</x:v>
      </x:c>
      <x:c r="D443" s="16" t="str">
        <x:v>frequency_computed_on</x:v>
      </x:c>
      <x:c r="E443" s="16" t="str">
        <x:f>'Experiment_Coding_KT004'!AG6</x:f>
        <x:v>NA</x:v>
      </x:c>
      <x:c r="F443" s="16" t="str">
        <x:f>'Experiment_Coding_KT004'!BR6</x:f>
        <x:v>Sec. 3 Datasets; Appendix A; Table 2; Table 1; Appendix B</x:v>
      </x:c>
      <x:c r="G443" s="16" t="str">
        <x:v>HIGH</x:v>
      </x:c>
      <x:c r="H443" s="16" t="str">
        <x:v>Y</x:v>
      </x:c>
      <x:c r="I443" s="16" t="str">
        <x:v>Coder A worked example</x:v>
      </x:c>
    </x:row>
    <x:row r="444">
      <x:c r="A444" s="16" t="n">
        <x:v>443</x:v>
      </x:c>
      <x:c r="B444" s="16" t="str">
        <x:v>EXPERIMENT</x:v>
      </x:c>
      <x:c r="C444" s="16" t="str">
        <x:f>'Experiment_Coding_KT004'!A6</x:f>
        <x:v>PILOT_01_E05</x:v>
      </x:c>
      <x:c r="D444" s="16" t="str">
        <x:v>strict_zero_train_verified</x:v>
      </x:c>
      <x:c r="E444" s="16" t="str">
        <x:f>'Experiment_Coding_KT004'!AH6</x:f>
        <x:v>NA</x:v>
      </x:c>
      <x:c r="F444" s="16" t="str">
        <x:f>'Experiment_Coding_KT004'!BR6</x:f>
        <x:v>Sec. 3 Datasets; Appendix A; Table 2; Table 1; Appendix B</x:v>
      </x:c>
      <x:c r="G444" s="16" t="str">
        <x:v>HIGH</x:v>
      </x:c>
      <x:c r="H444" s="16" t="str">
        <x:v>Y</x:v>
      </x:c>
      <x:c r="I444" s="16" t="str">
        <x:v>Coder A worked example</x:v>
      </x:c>
    </x:row>
    <x:row r="445">
      <x:c r="A445" s="16" t="n">
        <x:v>444</x:v>
      </x:c>
      <x:c r="B445" s="16" t="str">
        <x:v>EXPERIMENT</x:v>
      </x:c>
      <x:c r="C445" s="16" t="str">
        <x:f>'Experiment_Coding_KT004'!A6</x:f>
        <x:v>PILOT_01_E05</x:v>
      </x:c>
      <x:c r="D445" s="16" t="str">
        <x:v>external_info_for_unseen_kc</x:v>
      </x:c>
      <x:c r="E445" s="16" t="str">
        <x:f>'Experiment_Coding_KT004'!AI6</x:f>
        <x:v>NA</x:v>
      </x:c>
      <x:c r="F445" s="16" t="str">
        <x:f>'Experiment_Coding_KT004'!BR6</x:f>
        <x:v>Sec. 3 Datasets; Appendix A; Table 2; Table 1; Appendix B</x:v>
      </x:c>
      <x:c r="G445" s="16" t="str">
        <x:v>HIGH</x:v>
      </x:c>
      <x:c r="H445" s="16" t="str">
        <x:v>Y</x:v>
      </x:c>
      <x:c r="I445" s="16" t="str">
        <x:v>Coder A worked example</x:v>
      </x:c>
    </x:row>
    <x:row r="446">
      <x:c r="A446" s="16" t="n">
        <x:v>445</x:v>
      </x:c>
      <x:c r="B446" s="16" t="str">
        <x:v>EXPERIMENT</x:v>
      </x:c>
      <x:c r="C446" s="16" t="str">
        <x:f>'Experiment_Coding_KT004'!A6</x:f>
        <x:v>PILOT_01_E05</x:v>
      </x:c>
      <x:c r="D446" s="16" t="str">
        <x:v>support_kcs</x:v>
      </x:c>
      <x:c r="E446" s="16" t="str">
        <x:f>'Experiment_Coding_KT004'!AJ6</x:f>
        <x:v>NA</x:v>
      </x:c>
      <x:c r="F446" s="16" t="str">
        <x:f>'Experiment_Coding_KT004'!BR6</x:f>
        <x:v>Sec. 3 Datasets; Appendix A; Table 2; Table 1; Appendix B</x:v>
      </x:c>
      <x:c r="G446" s="16" t="str">
        <x:v>HIGH</x:v>
      </x:c>
      <x:c r="H446" s="16" t="str">
        <x:v>N</x:v>
      </x:c>
      <x:c r="I446" s="16" t="str">
        <x:v>Coder A worked example</x:v>
      </x:c>
    </x:row>
    <x:row r="447">
      <x:c r="A447" s="16" t="n">
        <x:v>446</x:v>
      </x:c>
      <x:c r="B447" s="16" t="str">
        <x:v>EXPERIMENT</x:v>
      </x:c>
      <x:c r="C447" s="16" t="str">
        <x:f>'Experiment_Coding_KT004'!A6</x:f>
        <x:v>PILOT_01_E05</x:v>
      </x:c>
      <x:c r="D447" s="16" t="str">
        <x:v>support_learners</x:v>
      </x:c>
      <x:c r="E447" s="16" t="str">
        <x:f>'Experiment_Coding_KT004'!AK6</x:f>
        <x:v>NA</x:v>
      </x:c>
      <x:c r="F447" s="16" t="str">
        <x:f>'Experiment_Coding_KT004'!BR6</x:f>
        <x:v>Sec. 3 Datasets; Appendix A; Table 2; Table 1; Appendix B</x:v>
      </x:c>
      <x:c r="G447" s="16" t="str">
        <x:v>HIGH</x:v>
      </x:c>
      <x:c r="H447" s="16" t="str">
        <x:v>N</x:v>
      </x:c>
      <x:c r="I447" s="16" t="str">
        <x:v>Coder A worked example</x:v>
      </x:c>
    </x:row>
    <x:row r="448">
      <x:c r="A448" s="16" t="n">
        <x:v>447</x:v>
      </x:c>
      <x:c r="B448" s="16" t="str">
        <x:v>EXPERIMENT</x:v>
      </x:c>
      <x:c r="C448" s="16" t="str">
        <x:f>'Experiment_Coding_KT004'!A6</x:f>
        <x:v>PILOT_01_E05</x:v>
      </x:c>
      <x:c r="D448" s="16" t="str">
        <x:v>support_items</x:v>
      </x:c>
      <x:c r="E448" s="16" t="str">
        <x:f>'Experiment_Coding_KT004'!AL6</x:f>
        <x:v>NA</x:v>
      </x:c>
      <x:c r="F448" s="16" t="str">
        <x:f>'Experiment_Coding_KT004'!BR6</x:f>
        <x:v>Sec. 3 Datasets; Appendix A; Table 2; Table 1; Appendix B</x:v>
      </x:c>
      <x:c r="G448" s="16" t="str">
        <x:v>HIGH</x:v>
      </x:c>
      <x:c r="H448" s="16" t="str">
        <x:v>N</x:v>
      </x:c>
      <x:c r="I448" s="16" t="str">
        <x:v>Coder A worked example</x:v>
      </x:c>
    </x:row>
    <x:row r="449">
      <x:c r="A449" s="16" t="n">
        <x:v>448</x:v>
      </x:c>
      <x:c r="B449" s="16" t="str">
        <x:v>EXPERIMENT</x:v>
      </x:c>
      <x:c r="C449" s="16" t="str">
        <x:f>'Experiment_Coding_KT004'!A6</x:f>
        <x:v>PILOT_01_E05</x:v>
      </x:c>
      <x:c r="D449" s="16" t="str">
        <x:v>support_test_interactions</x:v>
      </x:c>
      <x:c r="E449" s="16" t="str">
        <x:f>'Experiment_Coding_KT004'!AM6</x:f>
        <x:v>NA</x:v>
      </x:c>
      <x:c r="F449" s="16" t="str">
        <x:f>'Experiment_Coding_KT004'!BR6</x:f>
        <x:v>Sec. 3 Datasets; Appendix A; Table 2; Table 1; Appendix B</x:v>
      </x:c>
      <x:c r="G449" s="16" t="str">
        <x:v>HIGH</x:v>
      </x:c>
      <x:c r="H449" s="16" t="str">
        <x:v>N</x:v>
      </x:c>
      <x:c r="I449" s="16" t="str">
        <x:v>Coder A worked example</x:v>
      </x:c>
    </x:row>
    <x:row r="450">
      <x:c r="A450" s="16" t="n">
        <x:v>449</x:v>
      </x:c>
      <x:c r="B450" s="16" t="str">
        <x:v>EXPERIMENT</x:v>
      </x:c>
      <x:c r="C450" s="16" t="str">
        <x:f>'Experiment_Coding_KT004'!A6</x:f>
        <x:v>PILOT_01_E05</x:v>
      </x:c>
      <x:c r="D450" s="16" t="str">
        <x:v>positive_count</x:v>
      </x:c>
      <x:c r="E450" s="16" t="str">
        <x:f>'Experiment_Coding_KT004'!AN6</x:f>
        <x:v>NA</x:v>
      </x:c>
      <x:c r="F450" s="16" t="str">
        <x:f>'Experiment_Coding_KT004'!BR6</x:f>
        <x:v>Sec. 3 Datasets; Appendix A; Table 2; Table 1; Appendix B</x:v>
      </x:c>
      <x:c r="G450" s="16" t="str">
        <x:v>HIGH</x:v>
      </x:c>
      <x:c r="H450" s="16" t="str">
        <x:v>N</x:v>
      </x:c>
      <x:c r="I450" s="16" t="str">
        <x:v>Coder A worked example</x:v>
      </x:c>
    </x:row>
    <x:row r="451">
      <x:c r="A451" s="16" t="n">
        <x:v>450</x:v>
      </x:c>
      <x:c r="B451" s="16" t="str">
        <x:v>EXPERIMENT</x:v>
      </x:c>
      <x:c r="C451" s="16" t="str">
        <x:f>'Experiment_Coding_KT004'!A6</x:f>
        <x:v>PILOT_01_E05</x:v>
      </x:c>
      <x:c r="D451" s="16" t="str">
        <x:v>negative_count</x:v>
      </x:c>
      <x:c r="E451" s="16" t="str">
        <x:f>'Experiment_Coding_KT004'!AO6</x:f>
        <x:v>NA</x:v>
      </x:c>
      <x:c r="F451" s="16" t="str">
        <x:f>'Experiment_Coding_KT004'!BR6</x:f>
        <x:v>Sec. 3 Datasets; Appendix A; Table 2; Table 1; Appendix B</x:v>
      </x:c>
      <x:c r="G451" s="16" t="str">
        <x:v>HIGH</x:v>
      </x:c>
      <x:c r="H451" s="16" t="str">
        <x:v>N</x:v>
      </x:c>
      <x:c r="I451" s="16" t="str">
        <x:v>Coder A worked example</x:v>
      </x:c>
    </x:row>
    <x:row r="452">
      <x:c r="A452" s="16" t="n">
        <x:v>451</x:v>
      </x:c>
      <x:c r="B452" s="16" t="str">
        <x:v>EXPERIMENT</x:v>
      </x:c>
      <x:c r="C452" s="16" t="str">
        <x:f>'Experiment_Coding_KT004'!A6</x:f>
        <x:v>PILOT_01_E05</x:v>
      </x:c>
      <x:c r="D452" s="16" t="str">
        <x:v>metric_name_original</x:v>
      </x:c>
      <x:c r="E452" s="16" t="str">
        <x:f>'Experiment_Coding_KT004'!AP6</x:f>
        <x:v>AUC</x:v>
      </x:c>
      <x:c r="F452" s="16" t="str">
        <x:f>'Experiment_Coding_KT004'!BR6</x:f>
        <x:v>Sec. 3 Datasets; Appendix A; Table 2; Table 1; Appendix B</x:v>
      </x:c>
      <x:c r="G452" s="16" t="str">
        <x:v>HIGH</x:v>
      </x:c>
      <x:c r="H452" s="16" t="str">
        <x:v>N</x:v>
      </x:c>
      <x:c r="I452" s="16" t="str">
        <x:v>Coder A worked example</x:v>
      </x:c>
    </x:row>
    <x:row r="453">
      <x:c r="A453" s="16" t="n">
        <x:v>452</x:v>
      </x:c>
      <x:c r="B453" s="16" t="str">
        <x:v>EXPERIMENT</x:v>
      </x:c>
      <x:c r="C453" s="16" t="str">
        <x:f>'Experiment_Coding_KT004'!A6</x:f>
        <x:v>PILOT_01_E05</x:v>
      </x:c>
      <x:c r="D453" s="16" t="str">
        <x:v>metric_value_original</x:v>
      </x:c>
      <x:c r="E453" s="16" t="n">
        <x:f>'Experiment_Coding_KT004'!AQ6</x:f>
        <x:v>0.723</x:v>
      </x:c>
      <x:c r="F453" s="16" t="str">
        <x:f>'Experiment_Coding_KT004'!BR6</x:f>
        <x:v>Sec. 3 Datasets; Appendix A; Table 2; Table 1; Appendix B</x:v>
      </x:c>
      <x:c r="G453" s="16" t="str">
        <x:v>HIGH</x:v>
      </x:c>
      <x:c r="H453" s="16" t="str">
        <x:v>N</x:v>
      </x:c>
      <x:c r="I453" s="16" t="str">
        <x:v>Coder A worked example</x:v>
      </x:c>
    </x:row>
    <x:row r="454">
      <x:c r="A454" s="16" t="n">
        <x:v>453</x:v>
      </x:c>
      <x:c r="B454" s="16" t="str">
        <x:v>EXPERIMENT</x:v>
      </x:c>
      <x:c r="C454" s="16" t="str">
        <x:f>'Experiment_Coding_KT004'!A6</x:f>
        <x:v>PILOT_01_E05</x:v>
      </x:c>
      <x:c r="D454" s="16" t="str">
        <x:v>metric_scope</x:v>
      </x:c>
      <x:c r="E454" s="16" t="str">
        <x:f>'Experiment_Coding_KT004'!AR6</x:f>
        <x:v>OVERALL</x:v>
      </x:c>
      <x:c r="F454" s="16" t="str">
        <x:f>'Experiment_Coding_KT004'!BR6</x:f>
        <x:v>Sec. 3 Datasets; Appendix A; Table 2; Table 1; Appendix B</x:v>
      </x:c>
      <x:c r="G454" s="16" t="str">
        <x:v>HIGH</x:v>
      </x:c>
      <x:c r="H454" s="16" t="str">
        <x:v>Y</x:v>
      </x:c>
      <x:c r="I454" s="16" t="str">
        <x:v>Coder A worked example</x:v>
      </x:c>
    </x:row>
    <x:row r="455">
      <x:c r="A455" s="16" t="n">
        <x:v>454</x:v>
      </x:c>
      <x:c r="B455" s="16" t="str">
        <x:v>EXPERIMENT</x:v>
      </x:c>
      <x:c r="C455" s="16" t="str">
        <x:f>'Experiment_Coding_KT004'!A6</x:f>
        <x:v>PILOT_01_E05</x:v>
      </x:c>
      <x:c r="D455" s="16" t="str">
        <x:v>n_seeds</x:v>
      </x:c>
      <x:c r="E455" s="16" t="str">
        <x:f>'Experiment_Coding_KT004'!AS6</x:f>
        <x:v>NR</x:v>
      </x:c>
      <x:c r="F455" s="16" t="str">
        <x:f>'Experiment_Coding_KT004'!BR6</x:f>
        <x:v>Sec. 3 Datasets; Appendix A; Table 2; Table 1; Appendix B</x:v>
      </x:c>
      <x:c r="G455" s="16" t="str">
        <x:v>HIGH</x:v>
      </x:c>
      <x:c r="H455" s="16" t="str">
        <x:v>N</x:v>
      </x:c>
      <x:c r="I455" s="16" t="str">
        <x:v>Coder A worked example</x:v>
      </x:c>
    </x:row>
    <x:row r="456">
      <x:c r="A456" s="16" t="n">
        <x:v>455</x:v>
      </x:c>
      <x:c r="B456" s="16" t="str">
        <x:v>EXPERIMENT</x:v>
      </x:c>
      <x:c r="C456" s="16" t="str">
        <x:f>'Experiment_Coding_KT004'!A6</x:f>
        <x:v>PILOT_01_E05</x:v>
      </x:c>
      <x:c r="D456" s="16" t="str">
        <x:v>seed_values_reported</x:v>
      </x:c>
      <x:c r="E456" s="16" t="str">
        <x:f>'Experiment_Coding_KT004'!AT6</x:f>
        <x:v>NR</x:v>
      </x:c>
      <x:c r="F456" s="16" t="str">
        <x:f>'Experiment_Coding_KT004'!BR6</x:f>
        <x:v>Sec. 3 Datasets; Appendix A; Table 2; Table 1; Appendix B</x:v>
      </x:c>
      <x:c r="G456" s="16" t="str">
        <x:v>HIGH</x:v>
      </x:c>
      <x:c r="H456" s="16" t="str">
        <x:v>N</x:v>
      </x:c>
      <x:c r="I456" s="16" t="str">
        <x:v>Coder A worked example</x:v>
      </x:c>
    </x:row>
    <x:row r="457">
      <x:c r="A457" s="16" t="n">
        <x:v>456</x:v>
      </x:c>
      <x:c r="B457" s="16" t="str">
        <x:v>EXPERIMENT</x:v>
      </x:c>
      <x:c r="C457" s="16" t="str">
        <x:f>'Experiment_Coding_KT004'!A6</x:f>
        <x:v>PILOT_01_E05</x:v>
      </x:c>
      <x:c r="D457" s="16" t="str">
        <x:v>mean_std_reported</x:v>
      </x:c>
      <x:c r="E457" s="16" t="str">
        <x:f>'Experiment_Coding_KT004'!AU6</x:f>
        <x:v>N</x:v>
      </x:c>
      <x:c r="F457" s="16" t="str">
        <x:f>'Experiment_Coding_KT004'!BR6</x:f>
        <x:v>Sec. 3 Datasets; Appendix A; Table 2; Table 1; Appendix B</x:v>
      </x:c>
      <x:c r="G457" s="16" t="str">
        <x:v>HIGH</x:v>
      </x:c>
      <x:c r="H457" s="16" t="str">
        <x:v>Y</x:v>
      </x:c>
      <x:c r="I457" s="16" t="str">
        <x:v>Coder A worked example</x:v>
      </x:c>
    </x:row>
    <x:row r="458">
      <x:c r="A458" s="16" t="n">
        <x:v>457</x:v>
      </x:c>
      <x:c r="B458" s="16" t="str">
        <x:v>EXPERIMENT</x:v>
      </x:c>
      <x:c r="C458" s="16" t="str">
        <x:f>'Experiment_Coding_KT004'!A6</x:f>
        <x:v>PILOT_01_E05</x:v>
      </x:c>
      <x:c r="D458" s="16" t="str">
        <x:v>confidence_interval</x:v>
      </x:c>
      <x:c r="E458" s="16" t="str">
        <x:f>'Experiment_Coding_KT004'!AV6</x:f>
        <x:v>NR</x:v>
      </x:c>
      <x:c r="F458" s="16" t="str">
        <x:f>'Experiment_Coding_KT004'!BR6</x:f>
        <x:v>Sec. 3 Datasets; Appendix A; Table 2; Table 1; Appendix B</x:v>
      </x:c>
      <x:c r="G458" s="16" t="str">
        <x:v>HIGH</x:v>
      </x:c>
      <x:c r="H458" s="16" t="str">
        <x:v>N</x:v>
      </x:c>
      <x:c r="I458" s="16" t="str">
        <x:v>Coder A worked example</x:v>
      </x:c>
    </x:row>
    <x:row r="459">
      <x:c r="A459" s="16" t="n">
        <x:v>458</x:v>
      </x:c>
      <x:c r="B459" s="16" t="str">
        <x:v>EXPERIMENT</x:v>
      </x:c>
      <x:c r="C459" s="16" t="str">
        <x:f>'Experiment_Coding_KT004'!A6</x:f>
        <x:v>PILOT_01_E05</x:v>
      </x:c>
      <x:c r="D459" s="16" t="str">
        <x:v>bootstrap_unit</x:v>
      </x:c>
      <x:c r="E459" s="16" t="str">
        <x:f>'Experiment_Coding_KT004'!AW6</x:f>
        <x:v>NA</x:v>
      </x:c>
      <x:c r="F459" s="16" t="str">
        <x:f>'Experiment_Coding_KT004'!BR6</x:f>
        <x:v>Sec. 3 Datasets; Appendix A; Table 2; Table 1; Appendix B</x:v>
      </x:c>
      <x:c r="G459" s="16" t="str">
        <x:v>HIGH</x:v>
      </x:c>
      <x:c r="H459" s="16" t="str">
        <x:v>Y</x:v>
      </x:c>
      <x:c r="I459" s="16" t="str">
        <x:v>Coder A worked example</x:v>
      </x:c>
    </x:row>
    <x:row r="460">
      <x:c r="A460" s="16" t="n">
        <x:v>459</x:v>
      </x:c>
      <x:c r="B460" s="16" t="str">
        <x:v>EXPERIMENT</x:v>
      </x:c>
      <x:c r="C460" s="16" t="str">
        <x:f>'Experiment_Coding_KT004'!A6</x:f>
        <x:v>PILOT_01_E05</x:v>
      </x:c>
      <x:c r="D460" s="16" t="str">
        <x:v>statistical_test</x:v>
      </x:c>
      <x:c r="E460" s="16" t="str">
        <x:f>'Experiment_Coding_KT004'!AX6</x:f>
        <x:v>NR</x:v>
      </x:c>
      <x:c r="F460" s="16" t="str">
        <x:f>'Experiment_Coding_KT004'!BR6</x:f>
        <x:v>Sec. 3 Datasets; Appendix A; Table 2; Table 1; Appendix B</x:v>
      </x:c>
      <x:c r="G460" s="16" t="str">
        <x:v>HIGH</x:v>
      </x:c>
      <x:c r="H460" s="16" t="str">
        <x:v>N</x:v>
      </x:c>
      <x:c r="I460" s="16" t="str">
        <x:v>Coder A worked example</x:v>
      </x:c>
    </x:row>
    <x:row r="461">
      <x:c r="A461" s="16" t="n">
        <x:v>460</x:v>
      </x:c>
      <x:c r="B461" s="16" t="str">
        <x:v>EXPERIMENT</x:v>
      </x:c>
      <x:c r="C461" s="16" t="str">
        <x:f>'Experiment_Coding_KT004'!A6</x:f>
        <x:v>PILOT_01_E05</x:v>
      </x:c>
      <x:c r="D461" s="16" t="str">
        <x:v>multiple_comparison_correction</x:v>
      </x:c>
      <x:c r="E461" s="16" t="str">
        <x:f>'Experiment_Coding_KT004'!AY6</x:f>
        <x:v>NR</x:v>
      </x:c>
      <x:c r="F461" s="16" t="str">
        <x:f>'Experiment_Coding_KT004'!BR6</x:f>
        <x:v>Sec. 3 Datasets; Appendix A; Table 2; Table 1; Appendix B</x:v>
      </x:c>
      <x:c r="G461" s="16" t="str">
        <x:v>HIGH</x:v>
      </x:c>
      <x:c r="H461" s="16" t="str">
        <x:v>N</x:v>
      </x:c>
      <x:c r="I461" s="16" t="str">
        <x:v>Coder A worked example</x:v>
      </x:c>
    </x:row>
    <x:row r="462">
      <x:c r="A462" s="16" t="n">
        <x:v>461</x:v>
      </x:c>
      <x:c r="B462" s="16" t="str">
        <x:v>EXPERIMENT</x:v>
      </x:c>
      <x:c r="C462" s="16" t="str">
        <x:f>'Experiment_Coding_KT004'!A6</x:f>
        <x:v>PILOT_01_E05</x:v>
      </x:c>
      <x:c r="D462" s="16" t="str">
        <x:v>effect_size</x:v>
      </x:c>
      <x:c r="E462" s="16" t="str">
        <x:f>'Experiment_Coding_KT004'!AZ6</x:f>
        <x:v>NR</x:v>
      </x:c>
      <x:c r="F462" s="16" t="str">
        <x:f>'Experiment_Coding_KT004'!BR6</x:f>
        <x:v>Sec. 3 Datasets; Appendix A; Table 2; Table 1; Appendix B</x:v>
      </x:c>
      <x:c r="G462" s="16" t="str">
        <x:v>HIGH</x:v>
      </x:c>
      <x:c r="H462" s="16" t="str">
        <x:v>N</x:v>
      </x:c>
      <x:c r="I462" s="16" t="str">
        <x:v>Coder A worked example</x:v>
      </x:c>
    </x:row>
    <x:row r="463">
      <x:c r="A463" s="16" t="n">
        <x:v>462</x:v>
      </x:c>
      <x:c r="B463" s="16" t="str">
        <x:v>EXPERIMENT</x:v>
      </x:c>
      <x:c r="C463" s="16" t="str">
        <x:f>'Experiment_Coding_KT004'!A6</x:f>
        <x:v>PILOT_01_E05</x:v>
      </x:c>
      <x:c r="D463" s="16" t="str">
        <x:v>paired_design</x:v>
      </x:c>
      <x:c r="E463" s="16" t="str">
        <x:f>'Experiment_Coding_KT004'!BA6</x:f>
        <x:v>NR</x:v>
      </x:c>
      <x:c r="F463" s="16" t="str">
        <x:f>'Experiment_Coding_KT004'!BR6</x:f>
        <x:v>Sec. 3 Datasets; Appendix A; Table 2; Table 1; Appendix B</x:v>
      </x:c>
      <x:c r="G463" s="16" t="str">
        <x:v>HIGH</x:v>
      </x:c>
      <x:c r="H463" s="16" t="str">
        <x:v>Y</x:v>
      </x:c>
      <x:c r="I463" s="16" t="str">
        <x:v>Coder A worked example</x:v>
      </x:c>
    </x:row>
    <x:row r="464">
      <x:c r="A464" s="16" t="n">
        <x:v>463</x:v>
      </x:c>
      <x:c r="B464" s="16" t="str">
        <x:v>EXPERIMENT</x:v>
      </x:c>
      <x:c r="C464" s="16" t="str">
        <x:f>'Experiment_Coding_KT004'!A6</x:f>
        <x:v>PILOT_01_E05</x:v>
      </x:c>
      <x:c r="D464" s="16" t="str">
        <x:v>significance_threshold</x:v>
      </x:c>
      <x:c r="E464" s="16" t="str">
        <x:f>'Experiment_Coding_KT004'!BB6</x:f>
        <x:v>NR</x:v>
      </x:c>
      <x:c r="F464" s="16" t="str">
        <x:f>'Experiment_Coding_KT004'!BR6</x:f>
        <x:v>Sec. 3 Datasets; Appendix A; Table 2; Table 1; Appendix B</x:v>
      </x:c>
      <x:c r="G464" s="16" t="str">
        <x:v>HIGH</x:v>
      </x:c>
      <x:c r="H464" s="16" t="str">
        <x:v>N</x:v>
      </x:c>
      <x:c r="I464" s="16" t="str">
        <x:v>Coder A worked example</x:v>
      </x:c>
    </x:row>
    <x:row r="465">
      <x:c r="A465" s="16" t="n">
        <x:v>464</x:v>
      </x:c>
      <x:c r="B465" s="16" t="str">
        <x:v>EXPERIMENT</x:v>
      </x:c>
      <x:c r="C465" s="16" t="str">
        <x:f>'Experiment_Coding_KT004'!A6</x:f>
        <x:v>PILOT_01_E05</x:v>
      </x:c>
      <x:c r="D465" s="16" t="str">
        <x:v>parameter_count</x:v>
      </x:c>
      <x:c r="E465" s="16" t="str">
        <x:f>'Experiment_Coding_KT004'!BC6</x:f>
        <x:v>NR</x:v>
      </x:c>
      <x:c r="F465" s="16" t="str">
        <x:f>'Experiment_Coding_KT004'!BR6</x:f>
        <x:v>Sec. 3 Datasets; Appendix A; Table 2; Table 1; Appendix B</x:v>
      </x:c>
      <x:c r="G465" s="16" t="str">
        <x:v>HIGH</x:v>
      </x:c>
      <x:c r="H465" s="16" t="str">
        <x:v>N</x:v>
      </x:c>
      <x:c r="I465" s="16" t="str">
        <x:v>Coder A worked example</x:v>
      </x:c>
    </x:row>
    <x:row r="466">
      <x:c r="A466" s="16" t="n">
        <x:v>465</x:v>
      </x:c>
      <x:c r="B466" s="16" t="str">
        <x:v>EXPERIMENT</x:v>
      </x:c>
      <x:c r="C466" s="16" t="str">
        <x:f>'Experiment_Coding_KT004'!A6</x:f>
        <x:v>PILOT_01_E05</x:v>
      </x:c>
      <x:c r="D466" s="16" t="str">
        <x:v>train_time</x:v>
      </x:c>
      <x:c r="E466" s="16" t="str">
        <x:f>'Experiment_Coding_KT004'!BD6</x:f>
        <x:v>NR</x:v>
      </x:c>
      <x:c r="F466" s="16" t="str">
        <x:f>'Experiment_Coding_KT004'!BR6</x:f>
        <x:v>Sec. 3 Datasets; Appendix A; Table 2; Table 1; Appendix B</x:v>
      </x:c>
      <x:c r="G466" s="16" t="str">
        <x:v>HIGH</x:v>
      </x:c>
      <x:c r="H466" s="16" t="str">
        <x:v>N</x:v>
      </x:c>
      <x:c r="I466" s="16" t="str">
        <x:v>Coder A worked example</x:v>
      </x:c>
    </x:row>
    <x:row r="467">
      <x:c r="A467" s="16" t="n">
        <x:v>466</x:v>
      </x:c>
      <x:c r="B467" s="16" t="str">
        <x:v>EXPERIMENT</x:v>
      </x:c>
      <x:c r="C467" s="16" t="str">
        <x:f>'Experiment_Coding_KT004'!A6</x:f>
        <x:v>PILOT_01_E05</x:v>
      </x:c>
      <x:c r="D467" s="16" t="str">
        <x:v>time_per_epoch</x:v>
      </x:c>
      <x:c r="E467" s="16" t="str">
        <x:f>'Experiment_Coding_KT004'!BE6</x:f>
        <x:v>NR</x:v>
      </x:c>
      <x:c r="F467" s="16" t="str">
        <x:f>'Experiment_Coding_KT004'!BR6</x:f>
        <x:v>Sec. 3 Datasets; Appendix A; Table 2; Table 1; Appendix B</x:v>
      </x:c>
      <x:c r="G467" s="16" t="str">
        <x:v>HIGH</x:v>
      </x:c>
      <x:c r="H467" s="16" t="str">
        <x:v>N</x:v>
      </x:c>
      <x:c r="I467" s="16" t="str">
        <x:v>Coder A worked example</x:v>
      </x:c>
    </x:row>
    <x:row r="468">
      <x:c r="A468" s="16" t="n">
        <x:v>467</x:v>
      </x:c>
      <x:c r="B468" s="16" t="str">
        <x:v>EXPERIMENT</x:v>
      </x:c>
      <x:c r="C468" s="16" t="str">
        <x:f>'Experiment_Coding_KT004'!A6</x:f>
        <x:v>PILOT_01_E05</x:v>
      </x:c>
      <x:c r="D468" s="16" t="str">
        <x:v>inference_latency</x:v>
      </x:c>
      <x:c r="E468" s="16" t="str">
        <x:f>'Experiment_Coding_KT004'!BF6</x:f>
        <x:v>NR</x:v>
      </x:c>
      <x:c r="F468" s="16" t="str">
        <x:f>'Experiment_Coding_KT004'!BR6</x:f>
        <x:v>Sec. 3 Datasets; Appendix A; Table 2; Table 1; Appendix B</x:v>
      </x:c>
      <x:c r="G468" s="16" t="str">
        <x:v>HIGH</x:v>
      </x:c>
      <x:c r="H468" s="16" t="str">
        <x:v>N</x:v>
      </x:c>
      <x:c r="I468" s="16" t="str">
        <x:v>Coder A worked example</x:v>
      </x:c>
    </x:row>
    <x:row r="469">
      <x:c r="A469" s="16" t="n">
        <x:v>468</x:v>
      </x:c>
      <x:c r="B469" s="16" t="str">
        <x:v>EXPERIMENT</x:v>
      </x:c>
      <x:c r="C469" s="16" t="str">
        <x:f>'Experiment_Coding_KT004'!A6</x:f>
        <x:v>PILOT_01_E05</x:v>
      </x:c>
      <x:c r="D469" s="16" t="str">
        <x:v>throughput</x:v>
      </x:c>
      <x:c r="E469" s="16" t="str">
        <x:f>'Experiment_Coding_KT004'!BG6</x:f>
        <x:v>NR</x:v>
      </x:c>
      <x:c r="F469" s="16" t="str">
        <x:f>'Experiment_Coding_KT004'!BR6</x:f>
        <x:v>Sec. 3 Datasets; Appendix A; Table 2; Table 1; Appendix B</x:v>
      </x:c>
      <x:c r="G469" s="16" t="str">
        <x:v>HIGH</x:v>
      </x:c>
      <x:c r="H469" s="16" t="str">
        <x:v>N</x:v>
      </x:c>
      <x:c r="I469" s="16" t="str">
        <x:v>Coder A worked example</x:v>
      </x:c>
    </x:row>
    <x:row r="470">
      <x:c r="A470" s="16" t="n">
        <x:v>469</x:v>
      </x:c>
      <x:c r="B470" s="16" t="str">
        <x:v>EXPERIMENT</x:v>
      </x:c>
      <x:c r="C470" s="16" t="str">
        <x:f>'Experiment_Coding_KT004'!A6</x:f>
        <x:v>PILOT_01_E05</x:v>
      </x:c>
      <x:c r="D470" s="16" t="str">
        <x:v>cpu_ram</x:v>
      </x:c>
      <x:c r="E470" s="16" t="str">
        <x:f>'Experiment_Coding_KT004'!BH6</x:f>
        <x:v>NR</x:v>
      </x:c>
      <x:c r="F470" s="16" t="str">
        <x:f>'Experiment_Coding_KT004'!BR6</x:f>
        <x:v>Sec. 3 Datasets; Appendix A; Table 2; Table 1; Appendix B</x:v>
      </x:c>
      <x:c r="G470" s="16" t="str">
        <x:v>HIGH</x:v>
      </x:c>
      <x:c r="H470" s="16" t="str">
        <x:v>N</x:v>
      </x:c>
      <x:c r="I470" s="16" t="str">
        <x:v>Coder A worked example</x:v>
      </x:c>
    </x:row>
    <x:row r="471">
      <x:c r="A471" s="16" t="n">
        <x:v>470</x:v>
      </x:c>
      <x:c r="B471" s="16" t="str">
        <x:v>EXPERIMENT</x:v>
      </x:c>
      <x:c r="C471" s="16" t="str">
        <x:f>'Experiment_Coding_KT004'!A6</x:f>
        <x:v>PILOT_01_E05</x:v>
      </x:c>
      <x:c r="D471" s="16" t="str">
        <x:v>gpu_vram</x:v>
      </x:c>
      <x:c r="E471" s="16" t="str">
        <x:f>'Experiment_Coding_KT004'!BI6</x:f>
        <x:v>NR</x:v>
      </x:c>
      <x:c r="F471" s="16" t="str">
        <x:f>'Experiment_Coding_KT004'!BR6</x:f>
        <x:v>Sec. 3 Datasets; Appendix A; Table 2; Table 1; Appendix B</x:v>
      </x:c>
      <x:c r="G471" s="16" t="str">
        <x:v>HIGH</x:v>
      </x:c>
      <x:c r="H471" s="16" t="str">
        <x:v>N</x:v>
      </x:c>
      <x:c r="I471" s="16" t="str">
        <x:v>Coder A worked example</x:v>
      </x:c>
    </x:row>
    <x:row r="472">
      <x:c r="A472" s="16" t="n">
        <x:v>471</x:v>
      </x:c>
      <x:c r="B472" s="16" t="str">
        <x:v>EXPERIMENT</x:v>
      </x:c>
      <x:c r="C472" s="16" t="str">
        <x:f>'Experiment_Coding_KT004'!A6</x:f>
        <x:v>PILOT_01_E05</x:v>
      </x:c>
      <x:c r="D472" s="16" t="str">
        <x:v>hardware</x:v>
      </x:c>
      <x:c r="E472" s="16" t="str">
        <x:f>'Experiment_Coding_KT004'!BJ6</x:f>
        <x:v>NR</x:v>
      </x:c>
      <x:c r="F472" s="16" t="str">
        <x:f>'Experiment_Coding_KT004'!BR6</x:f>
        <x:v>Sec. 3 Datasets; Appendix A; Table 2; Table 1; Appendix B</x:v>
      </x:c>
      <x:c r="G472" s="16" t="str">
        <x:v>HIGH</x:v>
      </x:c>
      <x:c r="H472" s="16" t="str">
        <x:v>N</x:v>
      </x:c>
      <x:c r="I472" s="16" t="str">
        <x:v>Coder A worked example</x:v>
      </x:c>
    </x:row>
    <x:row r="473">
      <x:c r="A473" s="16" t="n">
        <x:v>472</x:v>
      </x:c>
      <x:c r="B473" s="16" t="str">
        <x:v>EXPERIMENT</x:v>
      </x:c>
      <x:c r="C473" s="16" t="str">
        <x:f>'Experiment_Coding_KT004'!A6</x:f>
        <x:v>PILOT_01_E05</x:v>
      </x:c>
      <x:c r="D473" s="16" t="str">
        <x:v>graph_construction_time</x:v>
      </x:c>
      <x:c r="E473" s="16" t="str">
        <x:f>'Experiment_Coding_KT004'!BK6</x:f>
        <x:v>NR</x:v>
      </x:c>
      <x:c r="F473" s="16" t="str">
        <x:f>'Experiment_Coding_KT004'!BR6</x:f>
        <x:v>Sec. 3 Datasets; Appendix A; Table 2; Table 1; Appendix B</x:v>
      </x:c>
      <x:c r="G473" s="16" t="str">
        <x:v>HIGH</x:v>
      </x:c>
      <x:c r="H473" s="16" t="str">
        <x:v>N</x:v>
      </x:c>
      <x:c r="I473" s="16" t="str">
        <x:v>Coder A worked example</x:v>
      </x:c>
    </x:row>
    <x:row r="474">
      <x:c r="A474" s="16" t="n">
        <x:v>473</x:v>
      </x:c>
      <x:c r="B474" s="16" t="str">
        <x:v>EXPERIMENT</x:v>
      </x:c>
      <x:c r="C474" s="16" t="str">
        <x:f>'Experiment_Coding_KT004'!A6</x:f>
        <x:v>PILOT_01_E05</x:v>
      </x:c>
      <x:c r="D474" s="16" t="str">
        <x:v>complexity_formula</x:v>
      </x:c>
      <x:c r="E474" s="16" t="str">
        <x:f>'Experiment_Coding_KT004'!BL6</x:f>
        <x:v>NR</x:v>
      </x:c>
      <x:c r="F474" s="16" t="str">
        <x:f>'Experiment_Coding_KT004'!BR6</x:f>
        <x:v>Sec. 3 Datasets; Appendix A; Table 2; Table 1; Appendix B</x:v>
      </x:c>
      <x:c r="G474" s="16" t="str">
        <x:v>HIGH</x:v>
      </x:c>
      <x:c r="H474" s="16" t="str">
        <x:v>N</x:v>
      </x:c>
      <x:c r="I474" s="16" t="str">
        <x:v>Coder A worked example</x:v>
      </x:c>
    </x:row>
    <x:row r="475">
      <x:c r="A475" s="16" t="n">
        <x:v>474</x:v>
      </x:c>
      <x:c r="B475" s="16" t="str">
        <x:v>EXPERIMENT</x:v>
      </x:c>
      <x:c r="C475" s="16" t="str">
        <x:f>'Experiment_Coding_KT004'!A6</x:f>
        <x:v>PILOT_01_E05</x:v>
      </x:c>
      <x:c r="D475" s="16" t="str">
        <x:v>scale_up_experiment</x:v>
      </x:c>
      <x:c r="E475" s="16" t="str">
        <x:f>'Experiment_Coding_KT004'!BM6</x:f>
        <x:v>N</x:v>
      </x:c>
      <x:c r="F475" s="16" t="str">
        <x:f>'Experiment_Coding_KT004'!BR6</x:f>
        <x:v>Sec. 3 Datasets; Appendix A; Table 2; Table 1; Appendix B</x:v>
      </x:c>
      <x:c r="G475" s="16" t="str">
        <x:v>HIGH</x:v>
      </x:c>
      <x:c r="H475" s="16" t="str">
        <x:v>Y</x:v>
      </x:c>
      <x:c r="I475" s="16" t="str">
        <x:v>Coder A worked example</x:v>
      </x:c>
    </x:row>
    <x:row r="476">
      <x:c r="A476" s="16" t="n">
        <x:v>475</x:v>
      </x:c>
      <x:c r="B476" s="16" t="str">
        <x:v>EXPERIMENT</x:v>
      </x:c>
      <x:c r="C476" s="16" t="str">
        <x:f>'Experiment_Coding_KT004'!A6</x:f>
        <x:v>PILOT_01_E05</x:v>
      </x:c>
      <x:c r="D476" s="16" t="str">
        <x:v>oom_timeout_reported</x:v>
      </x:c>
      <x:c r="E476" s="16" t="str">
        <x:f>'Experiment_Coding_KT004'!BN6</x:f>
        <x:v>NR</x:v>
      </x:c>
      <x:c r="F476" s="16" t="str">
        <x:f>'Experiment_Coding_KT004'!BR6</x:f>
        <x:v>Sec. 3 Datasets; Appendix A; Table 2; Table 1; Appendix B</x:v>
      </x:c>
      <x:c r="G476" s="16" t="str">
        <x:v>HIGH</x:v>
      </x:c>
      <x:c r="H476" s="16" t="str">
        <x:v>Y</x:v>
      </x:c>
      <x:c r="I476" s="16" t="str">
        <x:v>Coder A worked example</x:v>
      </x:c>
    </x:row>
    <x:row r="477">
      <x:c r="A477" s="16" t="n">
        <x:v>476</x:v>
      </x:c>
      <x:c r="B477" s="16" t="str">
        <x:v>EXPERIMENT</x:v>
      </x:c>
      <x:c r="C477" s="16" t="str">
        <x:f>'Experiment_Coding_KT004'!A7</x:f>
        <x:v>PILOT_01_E06</x:v>
      </x:c>
      <x:c r="D477" s="16" t="str">
        <x:v>dataset_name</x:v>
      </x:c>
      <x:c r="E477" s="16" t="str">
        <x:f>'Experiment_Coding_KT004'!D7</x:f>
        <x:v>KDDCup</x:v>
      </x:c>
      <x:c r="F477" s="16" t="str">
        <x:f>'Experiment_Coding_KT004'!BR7</x:f>
        <x:v>Sec. 3 Datasets; Appendix A; Table 2; Table 1; Appendix B</x:v>
      </x:c>
      <x:c r="G477" s="16" t="str">
        <x:v>HIGH</x:v>
      </x:c>
      <x:c r="H477" s="16" t="str">
        <x:v>N</x:v>
      </x:c>
      <x:c r="I477" s="16" t="str">
        <x:v>Coder A worked example</x:v>
      </x:c>
    </x:row>
    <x:row r="478">
      <x:c r="A478" s="16" t="n">
        <x:v>477</x:v>
      </x:c>
      <x:c r="B478" s="16" t="str">
        <x:v>EXPERIMENT</x:v>
      </x:c>
      <x:c r="C478" s="16" t="str">
        <x:f>'Experiment_Coding_KT004'!A7</x:f>
        <x:v>PILOT_01_E06</x:v>
      </x:c>
      <x:c r="D478" s="16" t="str">
        <x:v>dataset_version</x:v>
      </x:c>
      <x:c r="E478" s="16" t="str">
        <x:f>'Experiment_Coding_KT004'!E7</x:f>
        <x:v>Bridge to Algebra 2006-2007</x:v>
      </x:c>
      <x:c r="F478" s="16" t="str">
        <x:f>'Experiment_Coding_KT004'!BR7</x:f>
        <x:v>Sec. 3 Datasets; Appendix A; Table 2; Table 1; Appendix B</x:v>
      </x:c>
      <x:c r="G478" s="16" t="str">
        <x:v>HIGH</x:v>
      </x:c>
      <x:c r="H478" s="16" t="str">
        <x:v>N</x:v>
      </x:c>
      <x:c r="I478" s="16" t="str">
        <x:v>Coder A worked example</x:v>
      </x:c>
    </x:row>
    <x:row r="479">
      <x:c r="A479" s="16" t="n">
        <x:v>478</x:v>
      </x:c>
      <x:c r="B479" s="16" t="str">
        <x:v>EXPERIMENT</x:v>
      </x:c>
      <x:c r="C479" s="16" t="str">
        <x:f>'Experiment_Coding_KT004'!A7</x:f>
        <x:v>PILOT_01_E06</x:v>
      </x:c>
      <x:c r="D479" s="16" t="str">
        <x:v>n_learners_reported</x:v>
      </x:c>
      <x:c r="E479" s="16" t="n">
        <x:f>'Experiment_Coding_KT004'!G7</x:f>
        <x:v>1000</x:v>
      </x:c>
      <x:c r="F479" s="16" t="str">
        <x:f>'Experiment_Coding_KT004'!BR7</x:f>
        <x:v>Sec. 3 Datasets; Appendix A; Table 2; Table 1; Appendix B</x:v>
      </x:c>
      <x:c r="G479" s="16" t="str">
        <x:v>HIGH</x:v>
      </x:c>
      <x:c r="H479" s="16" t="str">
        <x:v>N</x:v>
      </x:c>
      <x:c r="I479" s="16" t="str">
        <x:v>Coder A worked example</x:v>
      </x:c>
    </x:row>
    <x:row r="480">
      <x:c r="A480" s="16" t="n">
        <x:v>479</x:v>
      </x:c>
      <x:c r="B480" s="16" t="str">
        <x:v>EXPERIMENT</x:v>
      </x:c>
      <x:c r="C480" s="16" t="str">
        <x:f>'Experiment_Coding_KT004'!A7</x:f>
        <x:v>PILOT_01_E06</x:v>
      </x:c>
      <x:c r="D480" s="16" t="str">
        <x:v>n_items_reported</x:v>
      </x:c>
      <x:c r="E480" s="16" t="str">
        <x:f>'Experiment_Coding_KT004'!H7</x:f>
        <x:v>NR</x:v>
      </x:c>
      <x:c r="F480" s="16" t="str">
        <x:f>'Experiment_Coding_KT004'!BR7</x:f>
        <x:v>Sec. 3 Datasets; Appendix A; Table 2; Table 1; Appendix B</x:v>
      </x:c>
      <x:c r="G480" s="16" t="str">
        <x:v>HIGH</x:v>
      </x:c>
      <x:c r="H480" s="16" t="str">
        <x:v>N</x:v>
      </x:c>
      <x:c r="I480" s="16" t="str">
        <x:v>Coder A worked example</x:v>
      </x:c>
    </x:row>
    <x:row r="481">
      <x:c r="A481" s="16" t="n">
        <x:v>480</x:v>
      </x:c>
      <x:c r="B481" s="16" t="str">
        <x:v>EXPERIMENT</x:v>
      </x:c>
      <x:c r="C481" s="16" t="str">
        <x:f>'Experiment_Coding_KT004'!A7</x:f>
        <x:v>PILOT_01_E06</x:v>
      </x:c>
      <x:c r="D481" s="16" t="str">
        <x:v>n_kcs_reported</x:v>
      </x:c>
      <x:c r="E481" s="16" t="n">
        <x:f>'Experiment_Coding_KT004'!I7</x:f>
        <x:v>211</x:v>
      </x:c>
      <x:c r="F481" s="16" t="str">
        <x:f>'Experiment_Coding_KT004'!BR7</x:f>
        <x:v>Sec. 3 Datasets; Appendix A; Table 2; Table 1; Appendix B</x:v>
      </x:c>
      <x:c r="G481" s="16" t="str">
        <x:v>HIGH</x:v>
      </x:c>
      <x:c r="H481" s="16" t="str">
        <x:v>N</x:v>
      </x:c>
      <x:c r="I481" s="16" t="str">
        <x:v>Coder A worked example</x:v>
      </x:c>
    </x:row>
    <x:row r="482">
      <x:c r="A482" s="16" t="n">
        <x:v>481</x:v>
      </x:c>
      <x:c r="B482" s="16" t="str">
        <x:v>EXPERIMENT</x:v>
      </x:c>
      <x:c r="C482" s="16" t="str">
        <x:f>'Experiment_Coding_KT004'!A7</x:f>
        <x:v>PILOT_01_E06</x:v>
      </x:c>
      <x:c r="D482" s="16" t="str">
        <x:v>n_interactions_reported</x:v>
      </x:c>
      <x:c r="E482" s="16" t="n">
        <x:f>'Experiment_Coding_KT004'!J7</x:f>
        <x:v>98200</x:v>
      </x:c>
      <x:c r="F482" s="16" t="str">
        <x:f>'Experiment_Coding_KT004'!BR7</x:f>
        <x:v>Sec. 3 Datasets; Appendix A; Table 2; Table 1; Appendix B</x:v>
      </x:c>
      <x:c r="G482" s="16" t="str">
        <x:v>HIGH</x:v>
      </x:c>
      <x:c r="H482" s="16" t="str">
        <x:v>N</x:v>
      </x:c>
      <x:c r="I482" s="16" t="str">
        <x:v>Coder A worked example</x:v>
      </x:c>
    </x:row>
    <x:row r="483">
      <x:c r="A483" s="16" t="n">
        <x:v>482</x:v>
      </x:c>
      <x:c r="B483" s="16" t="str">
        <x:v>EXPERIMENT</x:v>
      </x:c>
      <x:c r="C483" s="16" t="str">
        <x:f>'Experiment_Coding_KT004'!A7</x:f>
        <x:v>PILOT_01_E06</x:v>
      </x:c>
      <x:c r="D483" s="16" t="str">
        <x:v>multi_skill_present</x:v>
      </x:c>
      <x:c r="E483" s="16" t="str">
        <x:f>'Experiment_Coding_KT004'!K7</x:f>
        <x:v>UNCLEAR</x:v>
      </x:c>
      <x:c r="F483" s="16" t="str">
        <x:f>'Experiment_Coding_KT004'!BR7</x:f>
        <x:v>Sec. 3 Datasets; Appendix A; Table 2; Table 1; Appendix B</x:v>
      </x:c>
      <x:c r="G483" s="16" t="str">
        <x:v>HIGH</x:v>
      </x:c>
      <x:c r="H483" s="16" t="str">
        <x:v>Y</x:v>
      </x:c>
      <x:c r="I483" s="16" t="str">
        <x:v>Coder A worked example</x:v>
      </x:c>
    </x:row>
    <x:row r="484">
      <x:c r="A484" s="16" t="n">
        <x:v>483</x:v>
      </x:c>
      <x:c r="B484" s="16" t="str">
        <x:v>EXPERIMENT</x:v>
      </x:c>
      <x:c r="C484" s="16" t="str">
        <x:f>'Experiment_Coding_KT004'!A7</x:f>
        <x:v>PILOT_01_E06</x:v>
      </x:c>
      <x:c r="D484" s="16" t="str">
        <x:v>multi_skill_handling</x:v>
      </x:c>
      <x:c r="E484" s="16" t="str">
        <x:f>'Experiment_Coding_KT004'!L7</x:f>
        <x:v>Combine simultaneous answer logs into one; extract named skill tags</x:v>
      </x:c>
      <x:c r="F484" s="16" t="str">
        <x:f>'Experiment_Coding_KT004'!BR7</x:f>
        <x:v>Sec. 3 Datasets; Appendix A; Table 2; Table 1; Appendix B</x:v>
      </x:c>
      <x:c r="G484" s="16" t="str">
        <x:v>HIGH</x:v>
      </x:c>
      <x:c r="H484" s="16" t="str">
        <x:v>N</x:v>
      </x:c>
      <x:c r="I484" s="16" t="str">
        <x:v>Coder A worked example</x:v>
      </x:c>
    </x:row>
    <x:row r="485">
      <x:c r="A485" s="16" t="n">
        <x:v>484</x:v>
      </x:c>
      <x:c r="B485" s="16" t="str">
        <x:v>EXPERIMENT</x:v>
      </x:c>
      <x:c r="C485" s="16" t="str">
        <x:f>'Experiment_Coding_KT004'!A7</x:f>
        <x:v>PILOT_01_E06</x:v>
      </x:c>
      <x:c r="D485" s="16" t="str">
        <x:v>sequence_truncation</x:v>
      </x:c>
      <x:c r="E485" s="16" t="str">
        <x:f>'Experiment_Coding_KT004'!M7</x:f>
        <x:v>NR</x:v>
      </x:c>
      <x:c r="F485" s="16" t="str">
        <x:f>'Experiment_Coding_KT004'!BR7</x:f>
        <x:v>Sec. 3 Datasets; Appendix A; Table 2; Table 1; Appendix B</x:v>
      </x:c>
      <x:c r="G485" s="16" t="str">
        <x:v>HIGH</x:v>
      </x:c>
      <x:c r="H485" s="16" t="str">
        <x:v>N</x:v>
      </x:c>
      <x:c r="I485" s="16" t="str">
        <x:v>Coder A worked example</x:v>
      </x:c>
    </x:row>
    <x:row r="486">
      <x:c r="A486" s="16" t="n">
        <x:v>485</x:v>
      </x:c>
      <x:c r="B486" s="16" t="str">
        <x:v>EXPERIMENT</x:v>
      </x:c>
      <x:c r="C486" s="16" t="str">
        <x:f>'Experiment_Coding_KT004'!A7</x:f>
        <x:v>PILOT_01_E06</x:v>
      </x:c>
      <x:c r="D486" s="16" t="str">
        <x:v>min_sequence_filter</x:v>
      </x:c>
      <x:c r="E486" s="16" t="str">
        <x:f>'Experiment_Coding_KT004'!N7</x:f>
        <x:v>NR</x:v>
      </x:c>
      <x:c r="F486" s="16" t="str">
        <x:f>'Experiment_Coding_KT004'!BR7</x:f>
        <x:v>Sec. 3 Datasets; Appendix A; Table 2; Table 1; Appendix B</x:v>
      </x:c>
      <x:c r="G486" s="16" t="str">
        <x:v>HIGH</x:v>
      </x:c>
      <x:c r="H486" s="16" t="str">
        <x:v>N</x:v>
      </x:c>
      <x:c r="I486" s="16" t="str">
        <x:v>Coder A worked example</x:v>
      </x:c>
    </x:row>
    <x:row r="487">
      <x:c r="A487" s="16" t="n">
        <x:v>486</x:v>
      </x:c>
      <x:c r="B487" s="16" t="str">
        <x:v>EXPERIMENT</x:v>
      </x:c>
      <x:c r="C487" s="16" t="str">
        <x:f>'Experiment_Coding_KT004'!A7</x:f>
        <x:v>PILOT_01_E06</x:v>
      </x:c>
      <x:c r="D487" s="16" t="str">
        <x:v>timestamp_used</x:v>
      </x:c>
      <x:c r="E487" s="16" t="str">
        <x:f>'Experiment_Coding_KT004'!O7</x:f>
        <x:v>UNCLEAR</x:v>
      </x:c>
      <x:c r="F487" s="16" t="str">
        <x:f>'Experiment_Coding_KT004'!BR7</x:f>
        <x:v>Sec. 3 Datasets; Appendix A; Table 2; Table 1; Appendix B</x:v>
      </x:c>
      <x:c r="G487" s="16" t="str">
        <x:v>HIGH</x:v>
      </x:c>
      <x:c r="H487" s="16" t="str">
        <x:v>Y</x:v>
      </x:c>
      <x:c r="I487" s="16" t="str">
        <x:v>Coder A worked example</x:v>
      </x:c>
    </x:row>
    <x:row r="488">
      <x:c r="A488" s="16" t="n">
        <x:v>487</x:v>
      </x:c>
      <x:c r="B488" s="16" t="str">
        <x:v>EXPERIMENT</x:v>
      </x:c>
      <x:c r="C488" s="16" t="str">
        <x:f>'Experiment_Coding_KT004'!A7</x:f>
        <x:v>PILOT_01_E06</x:v>
      </x:c>
      <x:c r="D488" s="16" t="str">
        <x:v>preprocessing_code_available</x:v>
      </x:c>
      <x:c r="E488" s="16" t="str">
        <x:f>'Experiment_Coding_KT004'!P7</x:f>
        <x:v>NR</x:v>
      </x:c>
      <x:c r="F488" s="16" t="str">
        <x:f>'Experiment_Coding_KT004'!BR7</x:f>
        <x:v>Sec. 3 Datasets; Appendix A; Table 2; Table 1; Appendix B</x:v>
      </x:c>
      <x:c r="G488" s="16" t="str">
        <x:v>HIGH</x:v>
      </x:c>
      <x:c r="H488" s="16" t="str">
        <x:v>Y</x:v>
      </x:c>
      <x:c r="I488" s="16" t="str">
        <x:v>Coder A worked example</x:v>
      </x:c>
    </x:row>
    <x:row r="489">
      <x:c r="A489" s="16" t="n">
        <x:v>488</x:v>
      </x:c>
      <x:c r="B489" s="16" t="str">
        <x:v>EXPERIMENT</x:v>
      </x:c>
      <x:c r="C489" s="16" t="str">
        <x:f>'Experiment_Coding_KT004'!A7</x:f>
        <x:v>PILOT_01_E06</x:v>
      </x:c>
      <x:c r="D489" s="16" t="str">
        <x:v>split_type</x:v>
      </x:c>
      <x:c r="E489" s="16" t="str">
        <x:f>'Experiment_Coding_KT004'!Q7</x:f>
        <x:v>LEARNER_BASED</x:v>
      </x:c>
      <x:c r="F489" s="16" t="str">
        <x:f>'Experiment_Coding_KT004'!BR7</x:f>
        <x:v>Sec. 3 Datasets; Appendix A; Table 2; Table 1; Appendix B</x:v>
      </x:c>
      <x:c r="G489" s="16" t="str">
        <x:v>HIGH</x:v>
      </x:c>
      <x:c r="H489" s="16" t="str">
        <x:v>Y</x:v>
      </x:c>
      <x:c r="I489" s="16" t="str">
        <x:v>Coder A worked example</x:v>
      </x:c>
    </x:row>
    <x:row r="490">
      <x:c r="A490" s="16" t="n">
        <x:v>489</x:v>
      </x:c>
      <x:c r="B490" s="16" t="str">
        <x:v>EXPERIMENT</x:v>
      </x:c>
      <x:c r="C490" s="16" t="str">
        <x:f>'Experiment_Coding_KT004'!A7</x:f>
        <x:v>PILOT_01_E06</x:v>
      </x:c>
      <x:c r="D490" s="16" t="str">
        <x:v>split_unit_original</x:v>
      </x:c>
      <x:c r="E490" s="16" t="str">
        <x:f>'Experiment_Coding_KT004'!R7</x:f>
        <x:v>students</x:v>
      </x:c>
      <x:c r="F490" s="16" t="str">
        <x:f>'Experiment_Coding_KT004'!BR7</x:f>
        <x:v>Sec. 3 Datasets; Appendix A; Table 2; Table 1; Appendix B</x:v>
      </x:c>
      <x:c r="G490" s="16" t="str">
        <x:v>HIGH</x:v>
      </x:c>
      <x:c r="H490" s="16" t="str">
        <x:v>N</x:v>
      </x:c>
      <x:c r="I490" s="16" t="str">
        <x:v>Coder A worked example</x:v>
      </x:c>
    </x:row>
    <x:row r="491">
      <x:c r="A491" s="16" t="n">
        <x:v>490</x:v>
      </x:c>
      <x:c r="B491" s="16" t="str">
        <x:v>EXPERIMENT</x:v>
      </x:c>
      <x:c r="C491" s="16" t="str">
        <x:f>'Experiment_Coding_KT004'!A7</x:f>
        <x:v>PILOT_01_E06</x:v>
      </x:c>
      <x:c r="D491" s="16" t="str">
        <x:v>train_fraction</x:v>
      </x:c>
      <x:c r="E491" s="16" t="n">
        <x:f>'Experiment_Coding_KT004'!S7</x:f>
        <x:v>0.8</x:v>
      </x:c>
      <x:c r="F491" s="16" t="str">
        <x:f>'Experiment_Coding_KT004'!BR7</x:f>
        <x:v>Sec. 3 Datasets; Appendix A; Table 2; Table 1; Appendix B</x:v>
      </x:c>
      <x:c r="G491" s="16" t="str">
        <x:v>HIGH</x:v>
      </x:c>
      <x:c r="H491" s="16" t="str">
        <x:v>N</x:v>
      </x:c>
      <x:c r="I491" s="16" t="str">
        <x:v>Coder A worked example</x:v>
      </x:c>
    </x:row>
    <x:row r="492">
      <x:c r="A492" s="16" t="n">
        <x:v>491</x:v>
      </x:c>
      <x:c r="B492" s="16" t="str">
        <x:v>EXPERIMENT</x:v>
      </x:c>
      <x:c r="C492" s="16" t="str">
        <x:f>'Experiment_Coding_KT004'!A7</x:f>
        <x:v>PILOT_01_E06</x:v>
      </x:c>
      <x:c r="D492" s="16" t="str">
        <x:v>validation_fraction</x:v>
      </x:c>
      <x:c r="E492" s="16" t="n">
        <x:f>'Experiment_Coding_KT004'!T7</x:f>
        <x:v>0.1</x:v>
      </x:c>
      <x:c r="F492" s="16" t="str">
        <x:f>'Experiment_Coding_KT004'!BR7</x:f>
        <x:v>Sec. 3 Datasets; Appendix A; Table 2; Table 1; Appendix B</x:v>
      </x:c>
      <x:c r="G492" s="16" t="str">
        <x:v>HIGH</x:v>
      </x:c>
      <x:c r="H492" s="16" t="str">
        <x:v>N</x:v>
      </x:c>
      <x:c r="I492" s="16" t="str">
        <x:v>Coder A worked example</x:v>
      </x:c>
    </x:row>
    <x:row r="493">
      <x:c r="A493" s="16" t="n">
        <x:v>492</x:v>
      </x:c>
      <x:c r="B493" s="16" t="str">
        <x:v>EXPERIMENT</x:v>
      </x:c>
      <x:c r="C493" s="16" t="str">
        <x:f>'Experiment_Coding_KT004'!A7</x:f>
        <x:v>PILOT_01_E06</x:v>
      </x:c>
      <x:c r="D493" s="16" t="str">
        <x:v>test_fraction</x:v>
      </x:c>
      <x:c r="E493" s="16" t="n">
        <x:f>'Experiment_Coding_KT004'!U7</x:f>
        <x:v>0.1</x:v>
      </x:c>
      <x:c r="F493" s="16" t="str">
        <x:f>'Experiment_Coding_KT004'!BR7</x:f>
        <x:v>Sec. 3 Datasets; Appendix A; Table 2; Table 1; Appendix B</x:v>
      </x:c>
      <x:c r="G493" s="16" t="str">
        <x:v>HIGH</x:v>
      </x:c>
      <x:c r="H493" s="16" t="str">
        <x:v>N</x:v>
      </x:c>
      <x:c r="I493" s="16" t="str">
        <x:v>Coder A worked example</x:v>
      </x:c>
    </x:row>
    <x:row r="494">
      <x:c r="A494" s="16" t="n">
        <x:v>493</x:v>
      </x:c>
      <x:c r="B494" s="16" t="str">
        <x:v>EXPERIMENT</x:v>
      </x:c>
      <x:c r="C494" s="16" t="str">
        <x:f>'Experiment_Coding_KT004'!A7</x:f>
        <x:v>PILOT_01_E06</x:v>
      </x:c>
      <x:c r="D494" s="16" t="str">
        <x:v>validation_set_separate</x:v>
      </x:c>
      <x:c r="E494" s="16" t="str">
        <x:f>'Experiment_Coding_KT004'!V7</x:f>
        <x:v>Y</x:v>
      </x:c>
      <x:c r="F494" s="16" t="str">
        <x:f>'Experiment_Coding_KT004'!BR7</x:f>
        <x:v>Sec. 3 Datasets; Appendix A; Table 2; Table 1; Appendix B</x:v>
      </x:c>
      <x:c r="G494" s="16" t="str">
        <x:v>HIGH</x:v>
      </x:c>
      <x:c r="H494" s="16" t="str">
        <x:v>Y</x:v>
      </x:c>
      <x:c r="I494" s="16" t="str">
        <x:v>Coder A worked example</x:v>
      </x:c>
    </x:row>
    <x:row r="495">
      <x:c r="A495" s="16" t="n">
        <x:v>494</x:v>
      </x:c>
      <x:c r="B495" s="16" t="str">
        <x:v>EXPERIMENT</x:v>
      </x:c>
      <x:c r="C495" s="16" t="str">
        <x:f>'Experiment_Coding_KT004'!A7</x:f>
        <x:v>PILOT_01_E06</x:v>
      </x:c>
      <x:c r="D495" s="16" t="str">
        <x:v>early_stopping_validation_only</x:v>
      </x:c>
      <x:c r="E495" s="16" t="str">
        <x:f>'Experiment_Coding_KT004'!W7</x:f>
        <x:v>UNCLEAR</x:v>
      </x:c>
      <x:c r="F495" s="16" t="str">
        <x:f>'Experiment_Coding_KT004'!BR7</x:f>
        <x:v>Sec. 3 Datasets; Appendix A; Table 2; Table 1; Appendix B</x:v>
      </x:c>
      <x:c r="G495" s="16" t="str">
        <x:v>HIGH</x:v>
      </x:c>
      <x:c r="H495" s="16" t="str">
        <x:v>Y</x:v>
      </x:c>
      <x:c r="I495" s="16" t="str">
        <x:v>Coder A worked example</x:v>
      </x:c>
    </x:row>
    <x:row r="496">
      <x:c r="A496" s="16" t="n">
        <x:v>495</x:v>
      </x:c>
      <x:c r="B496" s="16" t="str">
        <x:v>EXPERIMENT</x:v>
      </x:c>
      <x:c r="C496" s="16" t="str">
        <x:f>'Experiment_Coding_KT004'!A7</x:f>
        <x:v>PILOT_01_E06</x:v>
      </x:c>
      <x:c r="D496" s="16" t="str">
        <x:v>graph_train_only</x:v>
      </x:c>
      <x:c r="E496" s="16" t="str">
        <x:f>'Experiment_Coding_KT004'!X7</x:f>
        <x:v>UNCLEAR</x:v>
      </x:c>
      <x:c r="F496" s="16" t="str">
        <x:f>'Experiment_Coding_KT004'!BR7</x:f>
        <x:v>Sec. 3 Datasets; Appendix A; Table 2; Table 1; Appendix B</x:v>
      </x:c>
      <x:c r="G496" s="16" t="str">
        <x:v>HIGH</x:v>
      </x:c>
      <x:c r="H496" s="16" t="str">
        <x:v>Y</x:v>
      </x:c>
      <x:c r="I496" s="16" t="str">
        <x:v>Coder A worked example</x:v>
      </x:c>
    </x:row>
    <x:row r="497">
      <x:c r="A497" s="16" t="n">
        <x:v>496</x:v>
      </x:c>
      <x:c r="B497" s="16" t="str">
        <x:v>EXPERIMENT</x:v>
      </x:c>
      <x:c r="C497" s="16" t="str">
        <x:f>'Experiment_Coding_KT004'!A7</x:f>
        <x:v>PILOT_01_E06</x:v>
      </x:c>
      <x:c r="D497" s="16" t="str">
        <x:v>normalization_train_only</x:v>
      </x:c>
      <x:c r="E497" s="16" t="str">
        <x:f>'Experiment_Coding_KT004'!Y7</x:f>
        <x:v>NR</x:v>
      </x:c>
      <x:c r="F497" s="16" t="str">
        <x:f>'Experiment_Coding_KT004'!BR7</x:f>
        <x:v>Sec. 3 Datasets; Appendix A; Table 2; Table 1; Appendix B</x:v>
      </x:c>
      <x:c r="G497" s="16" t="str">
        <x:v>HIGH</x:v>
      </x:c>
      <x:c r="H497" s="16" t="str">
        <x:v>Y</x:v>
      </x:c>
      <x:c r="I497" s="16" t="str">
        <x:v>Coder A worked example</x:v>
      </x:c>
    </x:row>
    <x:row r="498">
      <x:c r="A498" s="16" t="n">
        <x:v>497</x:v>
      </x:c>
      <x:c r="B498" s="16" t="str">
        <x:v>EXPERIMENT</x:v>
      </x:c>
      <x:c r="C498" s="16" t="str">
        <x:f>'Experiment_Coding_KT004'!A7</x:f>
        <x:v>PILOT_01_E06</x:v>
      </x:c>
      <x:c r="D498" s="16" t="str">
        <x:v>sparse_strata_train_only</x:v>
      </x:c>
      <x:c r="E498" s="16" t="str">
        <x:f>'Experiment_Coding_KT004'!Z7</x:f>
        <x:v>NA</x:v>
      </x:c>
      <x:c r="F498" s="16" t="str">
        <x:f>'Experiment_Coding_KT004'!BR7</x:f>
        <x:v>Sec. 3 Datasets; Appendix A; Table 2; Table 1; Appendix B</x:v>
      </x:c>
      <x:c r="G498" s="16" t="str">
        <x:v>HIGH</x:v>
      </x:c>
      <x:c r="H498" s="16" t="str">
        <x:v>Y</x:v>
      </x:c>
      <x:c r="I498" s="16" t="str">
        <x:v>Coder A worked example</x:v>
      </x:c>
    </x:row>
    <x:row r="499">
      <x:c r="A499" s="16" t="n">
        <x:v>498</x:v>
      </x:c>
      <x:c r="B499" s="16" t="str">
        <x:v>EXPERIMENT</x:v>
      </x:c>
      <x:c r="C499" s="16" t="str">
        <x:f>'Experiment_Coding_KT004'!A7</x:f>
        <x:v>PILOT_01_E06</x:v>
      </x:c>
      <x:c r="D499" s="16" t="str">
        <x:v>temporal_alignment_audited</x:v>
      </x:c>
      <x:c r="E499" s="16" t="str">
        <x:f>'Experiment_Coding_KT004'!AA7</x:f>
        <x:v>NR</x:v>
      </x:c>
      <x:c r="F499" s="16" t="str">
        <x:f>'Experiment_Coding_KT004'!BR7</x:f>
        <x:v>Sec. 3 Datasets; Appendix A; Table 2; Table 1; Appendix B</x:v>
      </x:c>
      <x:c r="G499" s="16" t="str">
        <x:v>HIGH</x:v>
      </x:c>
      <x:c r="H499" s="16" t="str">
        <x:v>Y</x:v>
      </x:c>
      <x:c r="I499" s="16" t="str">
        <x:v>Coder A worked example</x:v>
      </x:c>
    </x:row>
    <x:row r="500">
      <x:c r="A500" s="16" t="n">
        <x:v>499</x:v>
      </x:c>
      <x:c r="B500" s="16" t="str">
        <x:v>EXPERIMENT</x:v>
      </x:c>
      <x:c r="C500" s="16" t="str">
        <x:f>'Experiment_Coding_KT004'!A7</x:f>
        <x:v>PILOT_01_E06</x:v>
      </x:c>
      <x:c r="D500" s="16" t="str">
        <x:v>duplicate_entity_leakage_checked</x:v>
      </x:c>
      <x:c r="E500" s="16" t="str">
        <x:f>'Experiment_Coding_KT004'!AB7</x:f>
        <x:v>NR</x:v>
      </x:c>
      <x:c r="F500" s="16" t="str">
        <x:f>'Experiment_Coding_KT004'!BR7</x:f>
        <x:v>Sec. 3 Datasets; Appendix A; Table 2; Table 1; Appendix B</x:v>
      </x:c>
      <x:c r="G500" s="16" t="str">
        <x:v>HIGH</x:v>
      </x:c>
      <x:c r="H500" s="16" t="str">
        <x:v>Y</x:v>
      </x:c>
      <x:c r="I500" s="16" t="str">
        <x:v>Coder A worked example</x:v>
      </x:c>
    </x:row>
    <x:row r="501">
      <x:c r="A501" s="16" t="n">
        <x:v>500</x:v>
      </x:c>
      <x:c r="B501" s="16" t="str">
        <x:v>EXPERIMENT</x:v>
      </x:c>
      <x:c r="C501" s="16" t="str">
        <x:f>'Experiment_Coding_KT004'!A7</x:f>
        <x:v>PILOT_01_E06</x:v>
      </x:c>
      <x:c r="D501" s="16" t="str">
        <x:v>sparsity_construct</x:v>
      </x:c>
      <x:c r="E501" s="16" t="str">
        <x:f>'Experiment_Coding_KT004'!AC7</x:f>
        <x:v>NO_EXPLICIT_FOCUS</x:v>
      </x:c>
      <x:c r="F501" s="16" t="str">
        <x:f>'Experiment_Coding_KT004'!BR7</x:f>
        <x:v>Sec. 3 Datasets; Appendix A; Table 2; Table 1; Appendix B</x:v>
      </x:c>
      <x:c r="G501" s="16" t="str">
        <x:v>HIGH</x:v>
      </x:c>
      <x:c r="H501" s="16" t="str">
        <x:v>Y</x:v>
      </x:c>
      <x:c r="I501" s="16" t="str">
        <x:v>Coder A worked example</x:v>
      </x:c>
    </x:row>
    <x:row r="502">
      <x:c r="A502" s="16" t="n">
        <x:v>501</x:v>
      </x:c>
      <x:c r="B502" s="16" t="str">
        <x:v>EXPERIMENT</x:v>
      </x:c>
      <x:c r="C502" s="16" t="str">
        <x:f>'Experiment_Coding_KT004'!A7</x:f>
        <x:v>PILOT_01_E06</x:v>
      </x:c>
      <x:c r="D502" s="16" t="str">
        <x:v>sparse_definition_original</x:v>
      </x:c>
      <x:c r="E502" s="16" t="str">
        <x:f>'Experiment_Coding_KT004'!AD7</x:f>
        <x:v>NA</x:v>
      </x:c>
      <x:c r="F502" s="16" t="str">
        <x:f>'Experiment_Coding_KT004'!BR7</x:f>
        <x:v>Sec. 3 Datasets; Appendix A; Table 2; Table 1; Appendix B</x:v>
      </x:c>
      <x:c r="G502" s="16" t="str">
        <x:v>HIGH</x:v>
      </x:c>
      <x:c r="H502" s="16" t="str">
        <x:v>N</x:v>
      </x:c>
      <x:c r="I502" s="16" t="str">
        <x:v>Coder A worked example</x:v>
      </x:c>
    </x:row>
    <x:row r="503">
      <x:c r="A503" s="16" t="n">
        <x:v>502</x:v>
      </x:c>
      <x:c r="B503" s="16" t="str">
        <x:v>EXPERIMENT</x:v>
      </x:c>
      <x:c r="C503" s="16" t="str">
        <x:f>'Experiment_Coding_KT004'!A7</x:f>
        <x:v>PILOT_01_E06</x:v>
      </x:c>
      <x:c r="D503" s="16" t="str">
        <x:v>sparse_threshold_original</x:v>
      </x:c>
      <x:c r="E503" s="16" t="str">
        <x:f>'Experiment_Coding_KT004'!AE7</x:f>
        <x:v>NA</x:v>
      </x:c>
      <x:c r="F503" s="16" t="str">
        <x:f>'Experiment_Coding_KT004'!BR7</x:f>
        <x:v>Sec. 3 Datasets; Appendix A; Table 2; Table 1; Appendix B</x:v>
      </x:c>
      <x:c r="G503" s="16" t="str">
        <x:v>HIGH</x:v>
      </x:c>
      <x:c r="H503" s="16" t="str">
        <x:v>N</x:v>
      </x:c>
      <x:c r="I503" s="16" t="str">
        <x:v>Coder A worked example</x:v>
      </x:c>
    </x:row>
    <x:row r="504">
      <x:c r="A504" s="16" t="n">
        <x:v>503</x:v>
      </x:c>
      <x:c r="B504" s="16" t="str">
        <x:v>EXPERIMENT</x:v>
      </x:c>
      <x:c r="C504" s="16" t="str">
        <x:f>'Experiment_Coding_KT004'!A7</x:f>
        <x:v>PILOT_01_E06</x:v>
      </x:c>
      <x:c r="D504" s="16" t="str">
        <x:v>threshold_source</x:v>
      </x:c>
      <x:c r="E504" s="16" t="str">
        <x:f>'Experiment_Coding_KT004'!AF7</x:f>
        <x:v>NA</x:v>
      </x:c>
      <x:c r="F504" s="16" t="str">
        <x:f>'Experiment_Coding_KT004'!BR7</x:f>
        <x:v>Sec. 3 Datasets; Appendix A; Table 2; Table 1; Appendix B</x:v>
      </x:c>
      <x:c r="G504" s="16" t="str">
        <x:v>HIGH</x:v>
      </x:c>
      <x:c r="H504" s="16" t="str">
        <x:v>Y</x:v>
      </x:c>
      <x:c r="I504" s="16" t="str">
        <x:v>Coder A worked example</x:v>
      </x:c>
    </x:row>
    <x:row r="505">
      <x:c r="A505" s="16" t="n">
        <x:v>504</x:v>
      </x:c>
      <x:c r="B505" s="16" t="str">
        <x:v>EXPERIMENT</x:v>
      </x:c>
      <x:c r="C505" s="16" t="str">
        <x:f>'Experiment_Coding_KT004'!A7</x:f>
        <x:v>PILOT_01_E06</x:v>
      </x:c>
      <x:c r="D505" s="16" t="str">
        <x:v>frequency_computed_on</x:v>
      </x:c>
      <x:c r="E505" s="16" t="str">
        <x:f>'Experiment_Coding_KT004'!AG7</x:f>
        <x:v>NA</x:v>
      </x:c>
      <x:c r="F505" s="16" t="str">
        <x:f>'Experiment_Coding_KT004'!BR7</x:f>
        <x:v>Sec. 3 Datasets; Appendix A; Table 2; Table 1; Appendix B</x:v>
      </x:c>
      <x:c r="G505" s="16" t="str">
        <x:v>HIGH</x:v>
      </x:c>
      <x:c r="H505" s="16" t="str">
        <x:v>Y</x:v>
      </x:c>
      <x:c r="I505" s="16" t="str">
        <x:v>Coder A worked example</x:v>
      </x:c>
    </x:row>
    <x:row r="506">
      <x:c r="A506" s="16" t="n">
        <x:v>505</x:v>
      </x:c>
      <x:c r="B506" s="16" t="str">
        <x:v>EXPERIMENT</x:v>
      </x:c>
      <x:c r="C506" s="16" t="str">
        <x:f>'Experiment_Coding_KT004'!A7</x:f>
        <x:v>PILOT_01_E06</x:v>
      </x:c>
      <x:c r="D506" s="16" t="str">
        <x:v>strict_zero_train_verified</x:v>
      </x:c>
      <x:c r="E506" s="16" t="str">
        <x:f>'Experiment_Coding_KT004'!AH7</x:f>
        <x:v>NA</x:v>
      </x:c>
      <x:c r="F506" s="16" t="str">
        <x:f>'Experiment_Coding_KT004'!BR7</x:f>
        <x:v>Sec. 3 Datasets; Appendix A; Table 2; Table 1; Appendix B</x:v>
      </x:c>
      <x:c r="G506" s="16" t="str">
        <x:v>HIGH</x:v>
      </x:c>
      <x:c r="H506" s="16" t="str">
        <x:v>Y</x:v>
      </x:c>
      <x:c r="I506" s="16" t="str">
        <x:v>Coder A worked example</x:v>
      </x:c>
    </x:row>
    <x:row r="507">
      <x:c r="A507" s="16" t="n">
        <x:v>506</x:v>
      </x:c>
      <x:c r="B507" s="16" t="str">
        <x:v>EXPERIMENT</x:v>
      </x:c>
      <x:c r="C507" s="16" t="str">
        <x:f>'Experiment_Coding_KT004'!A7</x:f>
        <x:v>PILOT_01_E06</x:v>
      </x:c>
      <x:c r="D507" s="16" t="str">
        <x:v>external_info_for_unseen_kc</x:v>
      </x:c>
      <x:c r="E507" s="16" t="str">
        <x:f>'Experiment_Coding_KT004'!AI7</x:f>
        <x:v>NA</x:v>
      </x:c>
      <x:c r="F507" s="16" t="str">
        <x:f>'Experiment_Coding_KT004'!BR7</x:f>
        <x:v>Sec. 3 Datasets; Appendix A; Table 2; Table 1; Appendix B</x:v>
      </x:c>
      <x:c r="G507" s="16" t="str">
        <x:v>HIGH</x:v>
      </x:c>
      <x:c r="H507" s="16" t="str">
        <x:v>Y</x:v>
      </x:c>
      <x:c r="I507" s="16" t="str">
        <x:v>Coder A worked example</x:v>
      </x:c>
    </x:row>
    <x:row r="508">
      <x:c r="A508" s="16" t="n">
        <x:v>507</x:v>
      </x:c>
      <x:c r="B508" s="16" t="str">
        <x:v>EXPERIMENT</x:v>
      </x:c>
      <x:c r="C508" s="16" t="str">
        <x:f>'Experiment_Coding_KT004'!A7</x:f>
        <x:v>PILOT_01_E06</x:v>
      </x:c>
      <x:c r="D508" s="16" t="str">
        <x:v>support_kcs</x:v>
      </x:c>
      <x:c r="E508" s="16" t="str">
        <x:f>'Experiment_Coding_KT004'!AJ7</x:f>
        <x:v>NA</x:v>
      </x:c>
      <x:c r="F508" s="16" t="str">
        <x:f>'Experiment_Coding_KT004'!BR7</x:f>
        <x:v>Sec. 3 Datasets; Appendix A; Table 2; Table 1; Appendix B</x:v>
      </x:c>
      <x:c r="G508" s="16" t="str">
        <x:v>HIGH</x:v>
      </x:c>
      <x:c r="H508" s="16" t="str">
        <x:v>N</x:v>
      </x:c>
      <x:c r="I508" s="16" t="str">
        <x:v>Coder A worked example</x:v>
      </x:c>
    </x:row>
    <x:row r="509">
      <x:c r="A509" s="16" t="n">
        <x:v>508</x:v>
      </x:c>
      <x:c r="B509" s="16" t="str">
        <x:v>EXPERIMENT</x:v>
      </x:c>
      <x:c r="C509" s="16" t="str">
        <x:f>'Experiment_Coding_KT004'!A7</x:f>
        <x:v>PILOT_01_E06</x:v>
      </x:c>
      <x:c r="D509" s="16" t="str">
        <x:v>support_learners</x:v>
      </x:c>
      <x:c r="E509" s="16" t="str">
        <x:f>'Experiment_Coding_KT004'!AK7</x:f>
        <x:v>NA</x:v>
      </x:c>
      <x:c r="F509" s="16" t="str">
        <x:f>'Experiment_Coding_KT004'!BR7</x:f>
        <x:v>Sec. 3 Datasets; Appendix A; Table 2; Table 1; Appendix B</x:v>
      </x:c>
      <x:c r="G509" s="16" t="str">
        <x:v>HIGH</x:v>
      </x:c>
      <x:c r="H509" s="16" t="str">
        <x:v>N</x:v>
      </x:c>
      <x:c r="I509" s="16" t="str">
        <x:v>Coder A worked example</x:v>
      </x:c>
    </x:row>
    <x:row r="510">
      <x:c r="A510" s="16" t="n">
        <x:v>509</x:v>
      </x:c>
      <x:c r="B510" s="16" t="str">
        <x:v>EXPERIMENT</x:v>
      </x:c>
      <x:c r="C510" s="16" t="str">
        <x:f>'Experiment_Coding_KT004'!A7</x:f>
        <x:v>PILOT_01_E06</x:v>
      </x:c>
      <x:c r="D510" s="16" t="str">
        <x:v>support_items</x:v>
      </x:c>
      <x:c r="E510" s="16" t="str">
        <x:f>'Experiment_Coding_KT004'!AL7</x:f>
        <x:v>NA</x:v>
      </x:c>
      <x:c r="F510" s="16" t="str">
        <x:f>'Experiment_Coding_KT004'!BR7</x:f>
        <x:v>Sec. 3 Datasets; Appendix A; Table 2; Table 1; Appendix B</x:v>
      </x:c>
      <x:c r="G510" s="16" t="str">
        <x:v>HIGH</x:v>
      </x:c>
      <x:c r="H510" s="16" t="str">
        <x:v>N</x:v>
      </x:c>
      <x:c r="I510" s="16" t="str">
        <x:v>Coder A worked example</x:v>
      </x:c>
    </x:row>
    <x:row r="511">
      <x:c r="A511" s="16" t="n">
        <x:v>510</x:v>
      </x:c>
      <x:c r="B511" s="16" t="str">
        <x:v>EXPERIMENT</x:v>
      </x:c>
      <x:c r="C511" s="16" t="str">
        <x:f>'Experiment_Coding_KT004'!A7</x:f>
        <x:v>PILOT_01_E06</x:v>
      </x:c>
      <x:c r="D511" s="16" t="str">
        <x:v>support_test_interactions</x:v>
      </x:c>
      <x:c r="E511" s="16" t="str">
        <x:f>'Experiment_Coding_KT004'!AM7</x:f>
        <x:v>NA</x:v>
      </x:c>
      <x:c r="F511" s="16" t="str">
        <x:f>'Experiment_Coding_KT004'!BR7</x:f>
        <x:v>Sec. 3 Datasets; Appendix A; Table 2; Table 1; Appendix B</x:v>
      </x:c>
      <x:c r="G511" s="16" t="str">
        <x:v>HIGH</x:v>
      </x:c>
      <x:c r="H511" s="16" t="str">
        <x:v>N</x:v>
      </x:c>
      <x:c r="I511" s="16" t="str">
        <x:v>Coder A worked example</x:v>
      </x:c>
    </x:row>
    <x:row r="512">
      <x:c r="A512" s="16" t="n">
        <x:v>511</x:v>
      </x:c>
      <x:c r="B512" s="16" t="str">
        <x:v>EXPERIMENT</x:v>
      </x:c>
      <x:c r="C512" s="16" t="str">
        <x:f>'Experiment_Coding_KT004'!A7</x:f>
        <x:v>PILOT_01_E06</x:v>
      </x:c>
      <x:c r="D512" s="16" t="str">
        <x:v>positive_count</x:v>
      </x:c>
      <x:c r="E512" s="16" t="str">
        <x:f>'Experiment_Coding_KT004'!AN7</x:f>
        <x:v>NA</x:v>
      </x:c>
      <x:c r="F512" s="16" t="str">
        <x:f>'Experiment_Coding_KT004'!BR7</x:f>
        <x:v>Sec. 3 Datasets; Appendix A; Table 2; Table 1; Appendix B</x:v>
      </x:c>
      <x:c r="G512" s="16" t="str">
        <x:v>HIGH</x:v>
      </x:c>
      <x:c r="H512" s="16" t="str">
        <x:v>N</x:v>
      </x:c>
      <x:c r="I512" s="16" t="str">
        <x:v>Coder A worked example</x:v>
      </x:c>
    </x:row>
    <x:row r="513">
      <x:c r="A513" s="16" t="n">
        <x:v>512</x:v>
      </x:c>
      <x:c r="B513" s="16" t="str">
        <x:v>EXPERIMENT</x:v>
      </x:c>
      <x:c r="C513" s="16" t="str">
        <x:f>'Experiment_Coding_KT004'!A7</x:f>
        <x:v>PILOT_01_E06</x:v>
      </x:c>
      <x:c r="D513" s="16" t="str">
        <x:v>negative_count</x:v>
      </x:c>
      <x:c r="E513" s="16" t="str">
        <x:f>'Experiment_Coding_KT004'!AO7</x:f>
        <x:v>NA</x:v>
      </x:c>
      <x:c r="F513" s="16" t="str">
        <x:f>'Experiment_Coding_KT004'!BR7</x:f>
        <x:v>Sec. 3 Datasets; Appendix A; Table 2; Table 1; Appendix B</x:v>
      </x:c>
      <x:c r="G513" s="16" t="str">
        <x:v>HIGH</x:v>
      </x:c>
      <x:c r="H513" s="16" t="str">
        <x:v>N</x:v>
      </x:c>
      <x:c r="I513" s="16" t="str">
        <x:v>Coder A worked example</x:v>
      </x:c>
    </x:row>
    <x:row r="514">
      <x:c r="A514" s="16" t="n">
        <x:v>513</x:v>
      </x:c>
      <x:c r="B514" s="16" t="str">
        <x:v>EXPERIMENT</x:v>
      </x:c>
      <x:c r="C514" s="16" t="str">
        <x:f>'Experiment_Coding_KT004'!A7</x:f>
        <x:v>PILOT_01_E06</x:v>
      </x:c>
      <x:c r="D514" s="16" t="str">
        <x:v>metric_name_original</x:v>
      </x:c>
      <x:c r="E514" s="16" t="str">
        <x:f>'Experiment_Coding_KT004'!AP7</x:f>
        <x:v>AUC</x:v>
      </x:c>
      <x:c r="F514" s="16" t="str">
        <x:f>'Experiment_Coding_KT004'!BR7</x:f>
        <x:v>Sec. 3 Datasets; Appendix A; Table 2; Table 1; Appendix B</x:v>
      </x:c>
      <x:c r="G514" s="16" t="str">
        <x:v>HIGH</x:v>
      </x:c>
      <x:c r="H514" s="16" t="str">
        <x:v>N</x:v>
      </x:c>
      <x:c r="I514" s="16" t="str">
        <x:v>Coder A worked example</x:v>
      </x:c>
    </x:row>
    <x:row r="515">
      <x:c r="A515" s="16" t="n">
        <x:v>514</x:v>
      </x:c>
      <x:c r="B515" s="16" t="str">
        <x:v>EXPERIMENT</x:v>
      </x:c>
      <x:c r="C515" s="16" t="str">
        <x:f>'Experiment_Coding_KT004'!A7</x:f>
        <x:v>PILOT_01_E06</x:v>
      </x:c>
      <x:c r="D515" s="16" t="str">
        <x:v>metric_value_original</x:v>
      </x:c>
      <x:c r="E515" s="16" t="n">
        <x:f>'Experiment_Coding_KT004'!AQ7</x:f>
        <x:v>0.764</x:v>
      </x:c>
      <x:c r="F515" s="16" t="str">
        <x:f>'Experiment_Coding_KT004'!BR7</x:f>
        <x:v>Sec. 3 Datasets; Appendix A; Table 2; Table 1; Appendix B</x:v>
      </x:c>
      <x:c r="G515" s="16" t="str">
        <x:v>HIGH</x:v>
      </x:c>
      <x:c r="H515" s="16" t="str">
        <x:v>N</x:v>
      </x:c>
      <x:c r="I515" s="16" t="str">
        <x:v>Coder A worked example</x:v>
      </x:c>
    </x:row>
    <x:row r="516">
      <x:c r="A516" s="16" t="n">
        <x:v>515</x:v>
      </x:c>
      <x:c r="B516" s="16" t="str">
        <x:v>EXPERIMENT</x:v>
      </x:c>
      <x:c r="C516" s="16" t="str">
        <x:f>'Experiment_Coding_KT004'!A7</x:f>
        <x:v>PILOT_01_E06</x:v>
      </x:c>
      <x:c r="D516" s="16" t="str">
        <x:v>metric_scope</x:v>
      </x:c>
      <x:c r="E516" s="16" t="str">
        <x:f>'Experiment_Coding_KT004'!AR7</x:f>
        <x:v>OVERALL</x:v>
      </x:c>
      <x:c r="F516" s="16" t="str">
        <x:f>'Experiment_Coding_KT004'!BR7</x:f>
        <x:v>Sec. 3 Datasets; Appendix A; Table 2; Table 1; Appendix B</x:v>
      </x:c>
      <x:c r="G516" s="16" t="str">
        <x:v>HIGH</x:v>
      </x:c>
      <x:c r="H516" s="16" t="str">
        <x:v>Y</x:v>
      </x:c>
      <x:c r="I516" s="16" t="str">
        <x:v>Coder A worked example</x:v>
      </x:c>
    </x:row>
    <x:row r="517">
      <x:c r="A517" s="16" t="n">
        <x:v>516</x:v>
      </x:c>
      <x:c r="B517" s="16" t="str">
        <x:v>EXPERIMENT</x:v>
      </x:c>
      <x:c r="C517" s="16" t="str">
        <x:f>'Experiment_Coding_KT004'!A7</x:f>
        <x:v>PILOT_01_E06</x:v>
      </x:c>
      <x:c r="D517" s="16" t="str">
        <x:v>n_seeds</x:v>
      </x:c>
      <x:c r="E517" s="16" t="str">
        <x:f>'Experiment_Coding_KT004'!AS7</x:f>
        <x:v>NR</x:v>
      </x:c>
      <x:c r="F517" s="16" t="str">
        <x:f>'Experiment_Coding_KT004'!BR7</x:f>
        <x:v>Sec. 3 Datasets; Appendix A; Table 2; Table 1; Appendix B</x:v>
      </x:c>
      <x:c r="G517" s="16" t="str">
        <x:v>HIGH</x:v>
      </x:c>
      <x:c r="H517" s="16" t="str">
        <x:v>N</x:v>
      </x:c>
      <x:c r="I517" s="16" t="str">
        <x:v>Coder A worked example</x:v>
      </x:c>
    </x:row>
    <x:row r="518">
      <x:c r="A518" s="16" t="n">
        <x:v>517</x:v>
      </x:c>
      <x:c r="B518" s="16" t="str">
        <x:v>EXPERIMENT</x:v>
      </x:c>
      <x:c r="C518" s="16" t="str">
        <x:f>'Experiment_Coding_KT004'!A7</x:f>
        <x:v>PILOT_01_E06</x:v>
      </x:c>
      <x:c r="D518" s="16" t="str">
        <x:v>seed_values_reported</x:v>
      </x:c>
      <x:c r="E518" s="16" t="str">
        <x:f>'Experiment_Coding_KT004'!AT7</x:f>
        <x:v>NR</x:v>
      </x:c>
      <x:c r="F518" s="16" t="str">
        <x:f>'Experiment_Coding_KT004'!BR7</x:f>
        <x:v>Sec. 3 Datasets; Appendix A; Table 2; Table 1; Appendix B</x:v>
      </x:c>
      <x:c r="G518" s="16" t="str">
        <x:v>HIGH</x:v>
      </x:c>
      <x:c r="H518" s="16" t="str">
        <x:v>N</x:v>
      </x:c>
      <x:c r="I518" s="16" t="str">
        <x:v>Coder A worked example</x:v>
      </x:c>
    </x:row>
    <x:row r="519">
      <x:c r="A519" s="16" t="n">
        <x:v>518</x:v>
      </x:c>
      <x:c r="B519" s="16" t="str">
        <x:v>EXPERIMENT</x:v>
      </x:c>
      <x:c r="C519" s="16" t="str">
        <x:f>'Experiment_Coding_KT004'!A7</x:f>
        <x:v>PILOT_01_E06</x:v>
      </x:c>
      <x:c r="D519" s="16" t="str">
        <x:v>mean_std_reported</x:v>
      </x:c>
      <x:c r="E519" s="16" t="str">
        <x:f>'Experiment_Coding_KT004'!AU7</x:f>
        <x:v>N</x:v>
      </x:c>
      <x:c r="F519" s="16" t="str">
        <x:f>'Experiment_Coding_KT004'!BR7</x:f>
        <x:v>Sec. 3 Datasets; Appendix A; Table 2; Table 1; Appendix B</x:v>
      </x:c>
      <x:c r="G519" s="16" t="str">
        <x:v>HIGH</x:v>
      </x:c>
      <x:c r="H519" s="16" t="str">
        <x:v>Y</x:v>
      </x:c>
      <x:c r="I519" s="16" t="str">
        <x:v>Coder A worked example</x:v>
      </x:c>
    </x:row>
    <x:row r="520">
      <x:c r="A520" s="16" t="n">
        <x:v>519</x:v>
      </x:c>
      <x:c r="B520" s="16" t="str">
        <x:v>EXPERIMENT</x:v>
      </x:c>
      <x:c r="C520" s="16" t="str">
        <x:f>'Experiment_Coding_KT004'!A7</x:f>
        <x:v>PILOT_01_E06</x:v>
      </x:c>
      <x:c r="D520" s="16" t="str">
        <x:v>confidence_interval</x:v>
      </x:c>
      <x:c r="E520" s="16" t="str">
        <x:f>'Experiment_Coding_KT004'!AV7</x:f>
        <x:v>NR</x:v>
      </x:c>
      <x:c r="F520" s="16" t="str">
        <x:f>'Experiment_Coding_KT004'!BR7</x:f>
        <x:v>Sec. 3 Datasets; Appendix A; Table 2; Table 1; Appendix B</x:v>
      </x:c>
      <x:c r="G520" s="16" t="str">
        <x:v>HIGH</x:v>
      </x:c>
      <x:c r="H520" s="16" t="str">
        <x:v>N</x:v>
      </x:c>
      <x:c r="I520" s="16" t="str">
        <x:v>Coder A worked example</x:v>
      </x:c>
    </x:row>
    <x:row r="521">
      <x:c r="A521" s="16" t="n">
        <x:v>520</x:v>
      </x:c>
      <x:c r="B521" s="16" t="str">
        <x:v>EXPERIMENT</x:v>
      </x:c>
      <x:c r="C521" s="16" t="str">
        <x:f>'Experiment_Coding_KT004'!A7</x:f>
        <x:v>PILOT_01_E06</x:v>
      </x:c>
      <x:c r="D521" s="16" t="str">
        <x:v>bootstrap_unit</x:v>
      </x:c>
      <x:c r="E521" s="16" t="str">
        <x:f>'Experiment_Coding_KT004'!AW7</x:f>
        <x:v>NA</x:v>
      </x:c>
      <x:c r="F521" s="16" t="str">
        <x:f>'Experiment_Coding_KT004'!BR7</x:f>
        <x:v>Sec. 3 Datasets; Appendix A; Table 2; Table 1; Appendix B</x:v>
      </x:c>
      <x:c r="G521" s="16" t="str">
        <x:v>HIGH</x:v>
      </x:c>
      <x:c r="H521" s="16" t="str">
        <x:v>Y</x:v>
      </x:c>
      <x:c r="I521" s="16" t="str">
        <x:v>Coder A worked example</x:v>
      </x:c>
    </x:row>
    <x:row r="522">
      <x:c r="A522" s="16" t="n">
        <x:v>521</x:v>
      </x:c>
      <x:c r="B522" s="16" t="str">
        <x:v>EXPERIMENT</x:v>
      </x:c>
      <x:c r="C522" s="16" t="str">
        <x:f>'Experiment_Coding_KT004'!A7</x:f>
        <x:v>PILOT_01_E06</x:v>
      </x:c>
      <x:c r="D522" s="16" t="str">
        <x:v>statistical_test</x:v>
      </x:c>
      <x:c r="E522" s="16" t="str">
        <x:f>'Experiment_Coding_KT004'!AX7</x:f>
        <x:v>NR</x:v>
      </x:c>
      <x:c r="F522" s="16" t="str">
        <x:f>'Experiment_Coding_KT004'!BR7</x:f>
        <x:v>Sec. 3 Datasets; Appendix A; Table 2; Table 1; Appendix B</x:v>
      </x:c>
      <x:c r="G522" s="16" t="str">
        <x:v>HIGH</x:v>
      </x:c>
      <x:c r="H522" s="16" t="str">
        <x:v>N</x:v>
      </x:c>
      <x:c r="I522" s="16" t="str">
        <x:v>Coder A worked example</x:v>
      </x:c>
    </x:row>
    <x:row r="523">
      <x:c r="A523" s="16" t="n">
        <x:v>522</x:v>
      </x:c>
      <x:c r="B523" s="16" t="str">
        <x:v>EXPERIMENT</x:v>
      </x:c>
      <x:c r="C523" s="16" t="str">
        <x:f>'Experiment_Coding_KT004'!A7</x:f>
        <x:v>PILOT_01_E06</x:v>
      </x:c>
      <x:c r="D523" s="16" t="str">
        <x:v>multiple_comparison_correction</x:v>
      </x:c>
      <x:c r="E523" s="16" t="str">
        <x:f>'Experiment_Coding_KT004'!AY7</x:f>
        <x:v>NR</x:v>
      </x:c>
      <x:c r="F523" s="16" t="str">
        <x:f>'Experiment_Coding_KT004'!BR7</x:f>
        <x:v>Sec. 3 Datasets; Appendix A; Table 2; Table 1; Appendix B</x:v>
      </x:c>
      <x:c r="G523" s="16" t="str">
        <x:v>HIGH</x:v>
      </x:c>
      <x:c r="H523" s="16" t="str">
        <x:v>N</x:v>
      </x:c>
      <x:c r="I523" s="16" t="str">
        <x:v>Coder A worked example</x:v>
      </x:c>
    </x:row>
    <x:row r="524">
      <x:c r="A524" s="16" t="n">
        <x:v>523</x:v>
      </x:c>
      <x:c r="B524" s="16" t="str">
        <x:v>EXPERIMENT</x:v>
      </x:c>
      <x:c r="C524" s="16" t="str">
        <x:f>'Experiment_Coding_KT004'!A7</x:f>
        <x:v>PILOT_01_E06</x:v>
      </x:c>
      <x:c r="D524" s="16" t="str">
        <x:v>effect_size</x:v>
      </x:c>
      <x:c r="E524" s="16" t="str">
        <x:f>'Experiment_Coding_KT004'!AZ7</x:f>
        <x:v>NR</x:v>
      </x:c>
      <x:c r="F524" s="16" t="str">
        <x:f>'Experiment_Coding_KT004'!BR7</x:f>
        <x:v>Sec. 3 Datasets; Appendix A; Table 2; Table 1; Appendix B</x:v>
      </x:c>
      <x:c r="G524" s="16" t="str">
        <x:v>HIGH</x:v>
      </x:c>
      <x:c r="H524" s="16" t="str">
        <x:v>N</x:v>
      </x:c>
      <x:c r="I524" s="16" t="str">
        <x:v>Coder A worked example</x:v>
      </x:c>
    </x:row>
    <x:row r="525">
      <x:c r="A525" s="16" t="n">
        <x:v>524</x:v>
      </x:c>
      <x:c r="B525" s="16" t="str">
        <x:v>EXPERIMENT</x:v>
      </x:c>
      <x:c r="C525" s="16" t="str">
        <x:f>'Experiment_Coding_KT004'!A7</x:f>
        <x:v>PILOT_01_E06</x:v>
      </x:c>
      <x:c r="D525" s="16" t="str">
        <x:v>paired_design</x:v>
      </x:c>
      <x:c r="E525" s="16" t="str">
        <x:f>'Experiment_Coding_KT004'!BA7</x:f>
        <x:v>NR</x:v>
      </x:c>
      <x:c r="F525" s="16" t="str">
        <x:f>'Experiment_Coding_KT004'!BR7</x:f>
        <x:v>Sec. 3 Datasets; Appendix A; Table 2; Table 1; Appendix B</x:v>
      </x:c>
      <x:c r="G525" s="16" t="str">
        <x:v>HIGH</x:v>
      </x:c>
      <x:c r="H525" s="16" t="str">
        <x:v>Y</x:v>
      </x:c>
      <x:c r="I525" s="16" t="str">
        <x:v>Coder A worked example</x:v>
      </x:c>
    </x:row>
    <x:row r="526">
      <x:c r="A526" s="16" t="n">
        <x:v>525</x:v>
      </x:c>
      <x:c r="B526" s="16" t="str">
        <x:v>EXPERIMENT</x:v>
      </x:c>
      <x:c r="C526" s="16" t="str">
        <x:f>'Experiment_Coding_KT004'!A7</x:f>
        <x:v>PILOT_01_E06</x:v>
      </x:c>
      <x:c r="D526" s="16" t="str">
        <x:v>significance_threshold</x:v>
      </x:c>
      <x:c r="E526" s="16" t="str">
        <x:f>'Experiment_Coding_KT004'!BB7</x:f>
        <x:v>NR</x:v>
      </x:c>
      <x:c r="F526" s="16" t="str">
        <x:f>'Experiment_Coding_KT004'!BR7</x:f>
        <x:v>Sec. 3 Datasets; Appendix A; Table 2; Table 1; Appendix B</x:v>
      </x:c>
      <x:c r="G526" s="16" t="str">
        <x:v>HIGH</x:v>
      </x:c>
      <x:c r="H526" s="16" t="str">
        <x:v>N</x:v>
      </x:c>
      <x:c r="I526" s="16" t="str">
        <x:v>Coder A worked example</x:v>
      </x:c>
    </x:row>
    <x:row r="527">
      <x:c r="A527" s="16" t="n">
        <x:v>526</x:v>
      </x:c>
      <x:c r="B527" s="16" t="str">
        <x:v>EXPERIMENT</x:v>
      </x:c>
      <x:c r="C527" s="16" t="str">
        <x:f>'Experiment_Coding_KT004'!A7</x:f>
        <x:v>PILOT_01_E06</x:v>
      </x:c>
      <x:c r="D527" s="16" t="str">
        <x:v>parameter_count</x:v>
      </x:c>
      <x:c r="E527" s="16" t="str">
        <x:f>'Experiment_Coding_KT004'!BC7</x:f>
        <x:v>NR</x:v>
      </x:c>
      <x:c r="F527" s="16" t="str">
        <x:f>'Experiment_Coding_KT004'!BR7</x:f>
        <x:v>Sec. 3 Datasets; Appendix A; Table 2; Table 1; Appendix B</x:v>
      </x:c>
      <x:c r="G527" s="16" t="str">
        <x:v>HIGH</x:v>
      </x:c>
      <x:c r="H527" s="16" t="str">
        <x:v>N</x:v>
      </x:c>
      <x:c r="I527" s="16" t="str">
        <x:v>Coder A worked example</x:v>
      </x:c>
    </x:row>
    <x:row r="528">
      <x:c r="A528" s="16" t="n">
        <x:v>527</x:v>
      </x:c>
      <x:c r="B528" s="16" t="str">
        <x:v>EXPERIMENT</x:v>
      </x:c>
      <x:c r="C528" s="16" t="str">
        <x:f>'Experiment_Coding_KT004'!A7</x:f>
        <x:v>PILOT_01_E06</x:v>
      </x:c>
      <x:c r="D528" s="16" t="str">
        <x:v>train_time</x:v>
      </x:c>
      <x:c r="E528" s="16" t="str">
        <x:f>'Experiment_Coding_KT004'!BD7</x:f>
        <x:v>NR</x:v>
      </x:c>
      <x:c r="F528" s="16" t="str">
        <x:f>'Experiment_Coding_KT004'!BR7</x:f>
        <x:v>Sec. 3 Datasets; Appendix A; Table 2; Table 1; Appendix B</x:v>
      </x:c>
      <x:c r="G528" s="16" t="str">
        <x:v>HIGH</x:v>
      </x:c>
      <x:c r="H528" s="16" t="str">
        <x:v>N</x:v>
      </x:c>
      <x:c r="I528" s="16" t="str">
        <x:v>Coder A worked example</x:v>
      </x:c>
    </x:row>
    <x:row r="529">
      <x:c r="A529" s="16" t="n">
        <x:v>528</x:v>
      </x:c>
      <x:c r="B529" s="16" t="str">
        <x:v>EXPERIMENT</x:v>
      </x:c>
      <x:c r="C529" s="16" t="str">
        <x:f>'Experiment_Coding_KT004'!A7</x:f>
        <x:v>PILOT_01_E06</x:v>
      </x:c>
      <x:c r="D529" s="16" t="str">
        <x:v>time_per_epoch</x:v>
      </x:c>
      <x:c r="E529" s="16" t="str">
        <x:f>'Experiment_Coding_KT004'!BE7</x:f>
        <x:v>NR</x:v>
      </x:c>
      <x:c r="F529" s="16" t="str">
        <x:f>'Experiment_Coding_KT004'!BR7</x:f>
        <x:v>Sec. 3 Datasets; Appendix A; Table 2; Table 1; Appendix B</x:v>
      </x:c>
      <x:c r="G529" s="16" t="str">
        <x:v>HIGH</x:v>
      </x:c>
      <x:c r="H529" s="16" t="str">
        <x:v>N</x:v>
      </x:c>
      <x:c r="I529" s="16" t="str">
        <x:v>Coder A worked example</x:v>
      </x:c>
    </x:row>
    <x:row r="530">
      <x:c r="A530" s="16" t="n">
        <x:v>529</x:v>
      </x:c>
      <x:c r="B530" s="16" t="str">
        <x:v>EXPERIMENT</x:v>
      </x:c>
      <x:c r="C530" s="16" t="str">
        <x:f>'Experiment_Coding_KT004'!A7</x:f>
        <x:v>PILOT_01_E06</x:v>
      </x:c>
      <x:c r="D530" s="16" t="str">
        <x:v>inference_latency</x:v>
      </x:c>
      <x:c r="E530" s="16" t="str">
        <x:f>'Experiment_Coding_KT004'!BF7</x:f>
        <x:v>NR</x:v>
      </x:c>
      <x:c r="F530" s="16" t="str">
        <x:f>'Experiment_Coding_KT004'!BR7</x:f>
        <x:v>Sec. 3 Datasets; Appendix A; Table 2; Table 1; Appendix B</x:v>
      </x:c>
      <x:c r="G530" s="16" t="str">
        <x:v>HIGH</x:v>
      </x:c>
      <x:c r="H530" s="16" t="str">
        <x:v>N</x:v>
      </x:c>
      <x:c r="I530" s="16" t="str">
        <x:v>Coder A worked example</x:v>
      </x:c>
    </x:row>
    <x:row r="531">
      <x:c r="A531" s="16" t="n">
        <x:v>530</x:v>
      </x:c>
      <x:c r="B531" s="16" t="str">
        <x:v>EXPERIMENT</x:v>
      </x:c>
      <x:c r="C531" s="16" t="str">
        <x:f>'Experiment_Coding_KT004'!A7</x:f>
        <x:v>PILOT_01_E06</x:v>
      </x:c>
      <x:c r="D531" s="16" t="str">
        <x:v>throughput</x:v>
      </x:c>
      <x:c r="E531" s="16" t="str">
        <x:f>'Experiment_Coding_KT004'!BG7</x:f>
        <x:v>NR</x:v>
      </x:c>
      <x:c r="F531" s="16" t="str">
        <x:f>'Experiment_Coding_KT004'!BR7</x:f>
        <x:v>Sec. 3 Datasets; Appendix A; Table 2; Table 1; Appendix B</x:v>
      </x:c>
      <x:c r="G531" s="16" t="str">
        <x:v>HIGH</x:v>
      </x:c>
      <x:c r="H531" s="16" t="str">
        <x:v>N</x:v>
      </x:c>
      <x:c r="I531" s="16" t="str">
        <x:v>Coder A worked example</x:v>
      </x:c>
    </x:row>
    <x:row r="532">
      <x:c r="A532" s="16" t="n">
        <x:v>531</x:v>
      </x:c>
      <x:c r="B532" s="16" t="str">
        <x:v>EXPERIMENT</x:v>
      </x:c>
      <x:c r="C532" s="16" t="str">
        <x:f>'Experiment_Coding_KT004'!A7</x:f>
        <x:v>PILOT_01_E06</x:v>
      </x:c>
      <x:c r="D532" s="16" t="str">
        <x:v>cpu_ram</x:v>
      </x:c>
      <x:c r="E532" s="16" t="str">
        <x:f>'Experiment_Coding_KT004'!BH7</x:f>
        <x:v>NR</x:v>
      </x:c>
      <x:c r="F532" s="16" t="str">
        <x:f>'Experiment_Coding_KT004'!BR7</x:f>
        <x:v>Sec. 3 Datasets; Appendix A; Table 2; Table 1; Appendix B</x:v>
      </x:c>
      <x:c r="G532" s="16" t="str">
        <x:v>HIGH</x:v>
      </x:c>
      <x:c r="H532" s="16" t="str">
        <x:v>N</x:v>
      </x:c>
      <x:c r="I532" s="16" t="str">
        <x:v>Coder A worked example</x:v>
      </x:c>
    </x:row>
    <x:row r="533">
      <x:c r="A533" s="16" t="n">
        <x:v>532</x:v>
      </x:c>
      <x:c r="B533" s="16" t="str">
        <x:v>EXPERIMENT</x:v>
      </x:c>
      <x:c r="C533" s="16" t="str">
        <x:f>'Experiment_Coding_KT004'!A7</x:f>
        <x:v>PILOT_01_E06</x:v>
      </x:c>
      <x:c r="D533" s="16" t="str">
        <x:v>gpu_vram</x:v>
      </x:c>
      <x:c r="E533" s="16" t="str">
        <x:f>'Experiment_Coding_KT004'!BI7</x:f>
        <x:v>NR</x:v>
      </x:c>
      <x:c r="F533" s="16" t="str">
        <x:f>'Experiment_Coding_KT004'!BR7</x:f>
        <x:v>Sec. 3 Datasets; Appendix A; Table 2; Table 1; Appendix B</x:v>
      </x:c>
      <x:c r="G533" s="16" t="str">
        <x:v>HIGH</x:v>
      </x:c>
      <x:c r="H533" s="16" t="str">
        <x:v>N</x:v>
      </x:c>
      <x:c r="I533" s="16" t="str">
        <x:v>Coder A worked example</x:v>
      </x:c>
    </x:row>
    <x:row r="534">
      <x:c r="A534" s="16" t="n">
        <x:v>533</x:v>
      </x:c>
      <x:c r="B534" s="16" t="str">
        <x:v>EXPERIMENT</x:v>
      </x:c>
      <x:c r="C534" s="16" t="str">
        <x:f>'Experiment_Coding_KT004'!A7</x:f>
        <x:v>PILOT_01_E06</x:v>
      </x:c>
      <x:c r="D534" s="16" t="str">
        <x:v>hardware</x:v>
      </x:c>
      <x:c r="E534" s="16" t="str">
        <x:f>'Experiment_Coding_KT004'!BJ7</x:f>
        <x:v>NR</x:v>
      </x:c>
      <x:c r="F534" s="16" t="str">
        <x:f>'Experiment_Coding_KT004'!BR7</x:f>
        <x:v>Sec. 3 Datasets; Appendix A; Table 2; Table 1; Appendix B</x:v>
      </x:c>
      <x:c r="G534" s="16" t="str">
        <x:v>HIGH</x:v>
      </x:c>
      <x:c r="H534" s="16" t="str">
        <x:v>N</x:v>
      </x:c>
      <x:c r="I534" s="16" t="str">
        <x:v>Coder A worked example</x:v>
      </x:c>
    </x:row>
    <x:row r="535">
      <x:c r="A535" s="16" t="n">
        <x:v>534</x:v>
      </x:c>
      <x:c r="B535" s="16" t="str">
        <x:v>EXPERIMENT</x:v>
      </x:c>
      <x:c r="C535" s="16" t="str">
        <x:f>'Experiment_Coding_KT004'!A7</x:f>
        <x:v>PILOT_01_E06</x:v>
      </x:c>
      <x:c r="D535" s="16" t="str">
        <x:v>graph_construction_time</x:v>
      </x:c>
      <x:c r="E535" s="16" t="str">
        <x:f>'Experiment_Coding_KT004'!BK7</x:f>
        <x:v>NR</x:v>
      </x:c>
      <x:c r="F535" s="16" t="str">
        <x:f>'Experiment_Coding_KT004'!BR7</x:f>
        <x:v>Sec. 3 Datasets; Appendix A; Table 2; Table 1; Appendix B</x:v>
      </x:c>
      <x:c r="G535" s="16" t="str">
        <x:v>HIGH</x:v>
      </x:c>
      <x:c r="H535" s="16" t="str">
        <x:v>N</x:v>
      </x:c>
      <x:c r="I535" s="16" t="str">
        <x:v>Coder A worked example</x:v>
      </x:c>
    </x:row>
    <x:row r="536">
      <x:c r="A536" s="16" t="n">
        <x:v>535</x:v>
      </x:c>
      <x:c r="B536" s="16" t="str">
        <x:v>EXPERIMENT</x:v>
      </x:c>
      <x:c r="C536" s="16" t="str">
        <x:f>'Experiment_Coding_KT004'!A7</x:f>
        <x:v>PILOT_01_E06</x:v>
      </x:c>
      <x:c r="D536" s="16" t="str">
        <x:v>complexity_formula</x:v>
      </x:c>
      <x:c r="E536" s="16" t="str">
        <x:f>'Experiment_Coding_KT004'!BL7</x:f>
        <x:v>NR</x:v>
      </x:c>
      <x:c r="F536" s="16" t="str">
        <x:f>'Experiment_Coding_KT004'!BR7</x:f>
        <x:v>Sec. 3 Datasets; Appendix A; Table 2; Table 1; Appendix B</x:v>
      </x:c>
      <x:c r="G536" s="16" t="str">
        <x:v>HIGH</x:v>
      </x:c>
      <x:c r="H536" s="16" t="str">
        <x:v>N</x:v>
      </x:c>
      <x:c r="I536" s="16" t="str">
        <x:v>Coder A worked example</x:v>
      </x:c>
    </x:row>
    <x:row r="537">
      <x:c r="A537" s="16" t="n">
        <x:v>536</x:v>
      </x:c>
      <x:c r="B537" s="16" t="str">
        <x:v>EXPERIMENT</x:v>
      </x:c>
      <x:c r="C537" s="16" t="str">
        <x:f>'Experiment_Coding_KT004'!A7</x:f>
        <x:v>PILOT_01_E06</x:v>
      </x:c>
      <x:c r="D537" s="16" t="str">
        <x:v>scale_up_experiment</x:v>
      </x:c>
      <x:c r="E537" s="16" t="str">
        <x:f>'Experiment_Coding_KT004'!BM7</x:f>
        <x:v>N</x:v>
      </x:c>
      <x:c r="F537" s="16" t="str">
        <x:f>'Experiment_Coding_KT004'!BR7</x:f>
        <x:v>Sec. 3 Datasets; Appendix A; Table 2; Table 1; Appendix B</x:v>
      </x:c>
      <x:c r="G537" s="16" t="str">
        <x:v>HIGH</x:v>
      </x:c>
      <x:c r="H537" s="16" t="str">
        <x:v>Y</x:v>
      </x:c>
      <x:c r="I537" s="16" t="str">
        <x:v>Coder A worked example</x:v>
      </x:c>
    </x:row>
    <x:row r="538">
      <x:c r="A538" s="16" t="n">
        <x:v>537</x:v>
      </x:c>
      <x:c r="B538" s="16" t="str">
        <x:v>EXPERIMENT</x:v>
      </x:c>
      <x:c r="C538" s="16" t="str">
        <x:f>'Experiment_Coding_KT004'!A7</x:f>
        <x:v>PILOT_01_E06</x:v>
      </x:c>
      <x:c r="D538" s="16" t="str">
        <x:v>oom_timeout_reported</x:v>
      </x:c>
      <x:c r="E538" s="16" t="str">
        <x:f>'Experiment_Coding_KT004'!BN7</x:f>
        <x:v>NR</x:v>
      </x:c>
      <x:c r="F538" s="16" t="str">
        <x:f>'Experiment_Coding_KT004'!BR7</x:f>
        <x:v>Sec. 3 Datasets; Appendix A; Table 2; Table 1; Appendix B</x:v>
      </x:c>
      <x:c r="G538" s="16" t="str">
        <x:v>HIGH</x:v>
      </x:c>
      <x:c r="H538" s="16" t="str">
        <x:v>Y</x:v>
      </x:c>
      <x:c r="I538" s="16" t="str">
        <x:v>Coder A worked example</x:v>
      </x:c>
    </x:row>
    <x:row r="539">
      <x:c r="A539" s="16" t="n">
        <x:v>538</x:v>
      </x:c>
      <x:c r="B539" s="16" t="str">
        <x:v>EXPERIMENT</x:v>
      </x:c>
      <x:c r="C539" s="16" t="str">
        <x:f>'Experiment_Coding_KT004'!A8</x:f>
        <x:v>PILOT_01_E07</x:v>
      </x:c>
      <x:c r="D539" s="16" t="str">
        <x:v>dataset_name</x:v>
      </x:c>
      <x:c r="E539" s="16" t="str">
        <x:f>'Experiment_Coding_KT004'!D8</x:f>
        <x:v>ASSISTments</x:v>
      </x:c>
      <x:c r="F539" s="16" t="str">
        <x:f>'Experiment_Coding_KT004'!BR8</x:f>
        <x:v>Sec. 3 Datasets; Appendix A; Table 2; Table 1; Appendix B</x:v>
      </x:c>
      <x:c r="G539" s="16" t="str">
        <x:v>HIGH</x:v>
      </x:c>
      <x:c r="H539" s="16" t="str">
        <x:v>N</x:v>
      </x:c>
      <x:c r="I539" s="16" t="str">
        <x:v>Coder A worked example</x:v>
      </x:c>
    </x:row>
    <x:row r="540">
      <x:c r="A540" s="16" t="n">
        <x:v>539</x:v>
      </x:c>
      <x:c r="B540" s="16" t="str">
        <x:v>EXPERIMENT</x:v>
      </x:c>
      <x:c r="C540" s="16" t="str">
        <x:f>'Experiment_Coding_KT004'!A8</x:f>
        <x:v>PILOT_01_E07</x:v>
      </x:c>
      <x:c r="D540" s="16" t="str">
        <x:v>dataset_version</x:v>
      </x:c>
      <x:c r="E540" s="16" t="str">
        <x:f>'Experiment_Coding_KT004'!E8</x:f>
        <x:v>2009-2010 Skill Builder</x:v>
      </x:c>
      <x:c r="F540" s="16" t="str">
        <x:f>'Experiment_Coding_KT004'!BR8</x:f>
        <x:v>Sec. 3 Datasets; Appendix A; Table 2; Table 1; Appendix B</x:v>
      </x:c>
      <x:c r="G540" s="16" t="str">
        <x:v>HIGH</x:v>
      </x:c>
      <x:c r="H540" s="16" t="str">
        <x:v>N</x:v>
      </x:c>
      <x:c r="I540" s="16" t="str">
        <x:v>Coder A worked example</x:v>
      </x:c>
    </x:row>
    <x:row r="541">
      <x:c r="A541" s="16" t="n">
        <x:v>540</x:v>
      </x:c>
      <x:c r="B541" s="16" t="str">
        <x:v>EXPERIMENT</x:v>
      </x:c>
      <x:c r="C541" s="16" t="str">
        <x:f>'Experiment_Coding_KT004'!A8</x:f>
        <x:v>PILOT_01_E07</x:v>
      </x:c>
      <x:c r="D541" s="16" t="str">
        <x:v>n_learners_reported</x:v>
      </x:c>
      <x:c r="E541" s="16" t="n">
        <x:f>'Experiment_Coding_KT004'!G8</x:f>
        <x:v>1000</x:v>
      </x:c>
      <x:c r="F541" s="16" t="str">
        <x:f>'Experiment_Coding_KT004'!BR8</x:f>
        <x:v>Sec. 3 Datasets; Appendix A; Table 2; Table 1; Appendix B</x:v>
      </x:c>
      <x:c r="G541" s="16" t="str">
        <x:v>HIGH</x:v>
      </x:c>
      <x:c r="H541" s="16" t="str">
        <x:v>N</x:v>
      </x:c>
      <x:c r="I541" s="16" t="str">
        <x:v>Coder A worked example</x:v>
      </x:c>
    </x:row>
    <x:row r="542">
      <x:c r="A542" s="16" t="n">
        <x:v>541</x:v>
      </x:c>
      <x:c r="B542" s="16" t="str">
        <x:v>EXPERIMENT</x:v>
      </x:c>
      <x:c r="C542" s="16" t="str">
        <x:f>'Experiment_Coding_KT004'!A8</x:f>
        <x:v>PILOT_01_E07</x:v>
      </x:c>
      <x:c r="D542" s="16" t="str">
        <x:v>n_items_reported</x:v>
      </x:c>
      <x:c r="E542" s="16" t="str">
        <x:f>'Experiment_Coding_KT004'!H8</x:f>
        <x:v>NR</x:v>
      </x:c>
      <x:c r="F542" s="16" t="str">
        <x:f>'Experiment_Coding_KT004'!BR8</x:f>
        <x:v>Sec. 3 Datasets; Appendix A; Table 2; Table 1; Appendix B</x:v>
      </x:c>
      <x:c r="G542" s="16" t="str">
        <x:v>HIGH</x:v>
      </x:c>
      <x:c r="H542" s="16" t="str">
        <x:v>N</x:v>
      </x:c>
      <x:c r="I542" s="16" t="str">
        <x:v>Coder A worked example</x:v>
      </x:c>
    </x:row>
    <x:row r="543">
      <x:c r="A543" s="16" t="n">
        <x:v>542</x:v>
      </x:c>
      <x:c r="B543" s="16" t="str">
        <x:v>EXPERIMENT</x:v>
      </x:c>
      <x:c r="C543" s="16" t="str">
        <x:f>'Experiment_Coding_KT004'!A8</x:f>
        <x:v>PILOT_01_E07</x:v>
      </x:c>
      <x:c r="D543" s="16" t="str">
        <x:v>n_kcs_reported</x:v>
      </x:c>
      <x:c r="E543" s="16" t="n">
        <x:f>'Experiment_Coding_KT004'!I8</x:f>
        <x:v>101</x:v>
      </x:c>
      <x:c r="F543" s="16" t="str">
        <x:f>'Experiment_Coding_KT004'!BR8</x:f>
        <x:v>Sec. 3 Datasets; Appendix A; Table 2; Table 1; Appendix B</x:v>
      </x:c>
      <x:c r="G543" s="16" t="str">
        <x:v>HIGH</x:v>
      </x:c>
      <x:c r="H543" s="16" t="str">
        <x:v>N</x:v>
      </x:c>
      <x:c r="I543" s="16" t="str">
        <x:v>Coder A worked example</x:v>
      </x:c>
    </x:row>
    <x:row r="544">
      <x:c r="A544" s="16" t="n">
        <x:v>543</x:v>
      </x:c>
      <x:c r="B544" s="16" t="str">
        <x:v>EXPERIMENT</x:v>
      </x:c>
      <x:c r="C544" s="16" t="str">
        <x:f>'Experiment_Coding_KT004'!A8</x:f>
        <x:v>PILOT_01_E07</x:v>
      </x:c>
      <x:c r="D544" s="16" t="str">
        <x:v>n_interactions_reported</x:v>
      </x:c>
      <x:c r="E544" s="16" t="n">
        <x:f>'Experiment_Coding_KT004'!J8</x:f>
        <x:v>62955</x:v>
      </x:c>
      <x:c r="F544" s="16" t="str">
        <x:f>'Experiment_Coding_KT004'!BR8</x:f>
        <x:v>Sec. 3 Datasets; Appendix A; Table 2; Table 1; Appendix B</x:v>
      </x:c>
      <x:c r="G544" s="16" t="str">
        <x:v>HIGH</x:v>
      </x:c>
      <x:c r="H544" s="16" t="str">
        <x:v>N</x:v>
      </x:c>
      <x:c r="I544" s="16" t="str">
        <x:v>Coder A worked example</x:v>
      </x:c>
    </x:row>
    <x:row r="545">
      <x:c r="A545" s="16" t="n">
        <x:v>544</x:v>
      </x:c>
      <x:c r="B545" s="16" t="str">
        <x:v>EXPERIMENT</x:v>
      </x:c>
      <x:c r="C545" s="16" t="str">
        <x:f>'Experiment_Coding_KT004'!A8</x:f>
        <x:v>PILOT_01_E07</x:v>
      </x:c>
      <x:c r="D545" s="16" t="str">
        <x:v>multi_skill_present</x:v>
      </x:c>
      <x:c r="E545" s="16" t="str">
        <x:f>'Experiment_Coding_KT004'!K8</x:f>
        <x:v>UNCLEAR</x:v>
      </x:c>
      <x:c r="F545" s="16" t="str">
        <x:f>'Experiment_Coding_KT004'!BR8</x:f>
        <x:v>Sec. 3 Datasets; Appendix A; Table 2; Table 1; Appendix B</x:v>
      </x:c>
      <x:c r="G545" s="16" t="str">
        <x:v>HIGH</x:v>
      </x:c>
      <x:c r="H545" s="16" t="str">
        <x:v>Y</x:v>
      </x:c>
      <x:c r="I545" s="16" t="str">
        <x:v>Coder A worked example</x:v>
      </x:c>
    </x:row>
    <x:row r="546">
      <x:c r="A546" s="16" t="n">
        <x:v>545</x:v>
      </x:c>
      <x:c r="B546" s="16" t="str">
        <x:v>EXPERIMENT</x:v>
      </x:c>
      <x:c r="C546" s="16" t="str">
        <x:f>'Experiment_Coding_KT004'!A8</x:f>
        <x:v>PILOT_01_E07</x:v>
      </x:c>
      <x:c r="D546" s="16" t="str">
        <x:v>multi_skill_handling</x:v>
      </x:c>
      <x:c r="E546" s="16" t="str">
        <x:f>'Experiment_Coding_KT004'!L8</x:f>
        <x:v>Combine simultaneous answer logs into one; extract named skill tags</x:v>
      </x:c>
      <x:c r="F546" s="16" t="str">
        <x:f>'Experiment_Coding_KT004'!BR8</x:f>
        <x:v>Sec. 3 Datasets; Appendix A; Table 2; Table 1; Appendix B</x:v>
      </x:c>
      <x:c r="G546" s="16" t="str">
        <x:v>HIGH</x:v>
      </x:c>
      <x:c r="H546" s="16" t="str">
        <x:v>N</x:v>
      </x:c>
      <x:c r="I546" s="16" t="str">
        <x:v>Coder A worked example</x:v>
      </x:c>
    </x:row>
    <x:row r="547">
      <x:c r="A547" s="16" t="n">
        <x:v>546</x:v>
      </x:c>
      <x:c r="B547" s="16" t="str">
        <x:v>EXPERIMENT</x:v>
      </x:c>
      <x:c r="C547" s="16" t="str">
        <x:f>'Experiment_Coding_KT004'!A8</x:f>
        <x:v>PILOT_01_E07</x:v>
      </x:c>
      <x:c r="D547" s="16" t="str">
        <x:v>sequence_truncation</x:v>
      </x:c>
      <x:c r="E547" s="16" t="str">
        <x:f>'Experiment_Coding_KT004'!M8</x:f>
        <x:v>NR</x:v>
      </x:c>
      <x:c r="F547" s="16" t="str">
        <x:f>'Experiment_Coding_KT004'!BR8</x:f>
        <x:v>Sec. 3 Datasets; Appendix A; Table 2; Table 1; Appendix B</x:v>
      </x:c>
      <x:c r="G547" s="16" t="str">
        <x:v>HIGH</x:v>
      </x:c>
      <x:c r="H547" s="16" t="str">
        <x:v>N</x:v>
      </x:c>
      <x:c r="I547" s="16" t="str">
        <x:v>Coder A worked example</x:v>
      </x:c>
    </x:row>
    <x:row r="548">
      <x:c r="A548" s="16" t="n">
        <x:v>547</x:v>
      </x:c>
      <x:c r="B548" s="16" t="str">
        <x:v>EXPERIMENT</x:v>
      </x:c>
      <x:c r="C548" s="16" t="str">
        <x:f>'Experiment_Coding_KT004'!A8</x:f>
        <x:v>PILOT_01_E07</x:v>
      </x:c>
      <x:c r="D548" s="16" t="str">
        <x:v>min_sequence_filter</x:v>
      </x:c>
      <x:c r="E548" s="16" t="str">
        <x:f>'Experiment_Coding_KT004'!N8</x:f>
        <x:v>NR</x:v>
      </x:c>
      <x:c r="F548" s="16" t="str">
        <x:f>'Experiment_Coding_KT004'!BR8</x:f>
        <x:v>Sec. 3 Datasets; Appendix A; Table 2; Table 1; Appendix B</x:v>
      </x:c>
      <x:c r="G548" s="16" t="str">
        <x:v>HIGH</x:v>
      </x:c>
      <x:c r="H548" s="16" t="str">
        <x:v>N</x:v>
      </x:c>
      <x:c r="I548" s="16" t="str">
        <x:v>Coder A worked example</x:v>
      </x:c>
    </x:row>
    <x:row r="549">
      <x:c r="A549" s="16" t="n">
        <x:v>548</x:v>
      </x:c>
      <x:c r="B549" s="16" t="str">
        <x:v>EXPERIMENT</x:v>
      </x:c>
      <x:c r="C549" s="16" t="str">
        <x:f>'Experiment_Coding_KT004'!A8</x:f>
        <x:v>PILOT_01_E07</x:v>
      </x:c>
      <x:c r="D549" s="16" t="str">
        <x:v>timestamp_used</x:v>
      </x:c>
      <x:c r="E549" s="16" t="str">
        <x:f>'Experiment_Coding_KT004'!O8</x:f>
        <x:v>UNCLEAR</x:v>
      </x:c>
      <x:c r="F549" s="16" t="str">
        <x:f>'Experiment_Coding_KT004'!BR8</x:f>
        <x:v>Sec. 3 Datasets; Appendix A; Table 2; Table 1; Appendix B</x:v>
      </x:c>
      <x:c r="G549" s="16" t="str">
        <x:v>HIGH</x:v>
      </x:c>
      <x:c r="H549" s="16" t="str">
        <x:v>Y</x:v>
      </x:c>
      <x:c r="I549" s="16" t="str">
        <x:v>Coder A worked example</x:v>
      </x:c>
    </x:row>
    <x:row r="550">
      <x:c r="A550" s="16" t="n">
        <x:v>549</x:v>
      </x:c>
      <x:c r="B550" s="16" t="str">
        <x:v>EXPERIMENT</x:v>
      </x:c>
      <x:c r="C550" s="16" t="str">
        <x:f>'Experiment_Coding_KT004'!A8</x:f>
        <x:v>PILOT_01_E07</x:v>
      </x:c>
      <x:c r="D550" s="16" t="str">
        <x:v>preprocessing_code_available</x:v>
      </x:c>
      <x:c r="E550" s="16" t="str">
        <x:f>'Experiment_Coding_KT004'!P8</x:f>
        <x:v>NR</x:v>
      </x:c>
      <x:c r="F550" s="16" t="str">
        <x:f>'Experiment_Coding_KT004'!BR8</x:f>
        <x:v>Sec. 3 Datasets; Appendix A; Table 2; Table 1; Appendix B</x:v>
      </x:c>
      <x:c r="G550" s="16" t="str">
        <x:v>HIGH</x:v>
      </x:c>
      <x:c r="H550" s="16" t="str">
        <x:v>Y</x:v>
      </x:c>
      <x:c r="I550" s="16" t="str">
        <x:v>Coder A worked example</x:v>
      </x:c>
    </x:row>
    <x:row r="551">
      <x:c r="A551" s="16" t="n">
        <x:v>550</x:v>
      </x:c>
      <x:c r="B551" s="16" t="str">
        <x:v>EXPERIMENT</x:v>
      </x:c>
      <x:c r="C551" s="16" t="str">
        <x:f>'Experiment_Coding_KT004'!A8</x:f>
        <x:v>PILOT_01_E07</x:v>
      </x:c>
      <x:c r="D551" s="16" t="str">
        <x:v>split_type</x:v>
      </x:c>
      <x:c r="E551" s="16" t="str">
        <x:f>'Experiment_Coding_KT004'!Q8</x:f>
        <x:v>LEARNER_BASED</x:v>
      </x:c>
      <x:c r="F551" s="16" t="str">
        <x:f>'Experiment_Coding_KT004'!BR8</x:f>
        <x:v>Sec. 3 Datasets; Appendix A; Table 2; Table 1; Appendix B</x:v>
      </x:c>
      <x:c r="G551" s="16" t="str">
        <x:v>HIGH</x:v>
      </x:c>
      <x:c r="H551" s="16" t="str">
        <x:v>Y</x:v>
      </x:c>
      <x:c r="I551" s="16" t="str">
        <x:v>Coder A worked example</x:v>
      </x:c>
    </x:row>
    <x:row r="552">
      <x:c r="A552" s="16" t="n">
        <x:v>551</x:v>
      </x:c>
      <x:c r="B552" s="16" t="str">
        <x:v>EXPERIMENT</x:v>
      </x:c>
      <x:c r="C552" s="16" t="str">
        <x:f>'Experiment_Coding_KT004'!A8</x:f>
        <x:v>PILOT_01_E07</x:v>
      </x:c>
      <x:c r="D552" s="16" t="str">
        <x:v>split_unit_original</x:v>
      </x:c>
      <x:c r="E552" s="16" t="str">
        <x:f>'Experiment_Coding_KT004'!R8</x:f>
        <x:v>students</x:v>
      </x:c>
      <x:c r="F552" s="16" t="str">
        <x:f>'Experiment_Coding_KT004'!BR8</x:f>
        <x:v>Sec. 3 Datasets; Appendix A; Table 2; Table 1; Appendix B</x:v>
      </x:c>
      <x:c r="G552" s="16" t="str">
        <x:v>HIGH</x:v>
      </x:c>
      <x:c r="H552" s="16" t="str">
        <x:v>N</x:v>
      </x:c>
      <x:c r="I552" s="16" t="str">
        <x:v>Coder A worked example</x:v>
      </x:c>
    </x:row>
    <x:row r="553">
      <x:c r="A553" s="16" t="n">
        <x:v>552</x:v>
      </x:c>
      <x:c r="B553" s="16" t="str">
        <x:v>EXPERIMENT</x:v>
      </x:c>
      <x:c r="C553" s="16" t="str">
        <x:f>'Experiment_Coding_KT004'!A8</x:f>
        <x:v>PILOT_01_E07</x:v>
      </x:c>
      <x:c r="D553" s="16" t="str">
        <x:v>train_fraction</x:v>
      </x:c>
      <x:c r="E553" s="16" t="n">
        <x:f>'Experiment_Coding_KT004'!S8</x:f>
        <x:v>0.8</x:v>
      </x:c>
      <x:c r="F553" s="16" t="str">
        <x:f>'Experiment_Coding_KT004'!BR8</x:f>
        <x:v>Sec. 3 Datasets; Appendix A; Table 2; Table 1; Appendix B</x:v>
      </x:c>
      <x:c r="G553" s="16" t="str">
        <x:v>HIGH</x:v>
      </x:c>
      <x:c r="H553" s="16" t="str">
        <x:v>N</x:v>
      </x:c>
      <x:c r="I553" s="16" t="str">
        <x:v>Coder A worked example</x:v>
      </x:c>
    </x:row>
    <x:row r="554">
      <x:c r="A554" s="16" t="n">
        <x:v>553</x:v>
      </x:c>
      <x:c r="B554" s="16" t="str">
        <x:v>EXPERIMENT</x:v>
      </x:c>
      <x:c r="C554" s="16" t="str">
        <x:f>'Experiment_Coding_KT004'!A8</x:f>
        <x:v>PILOT_01_E07</x:v>
      </x:c>
      <x:c r="D554" s="16" t="str">
        <x:v>validation_fraction</x:v>
      </x:c>
      <x:c r="E554" s="16" t="n">
        <x:f>'Experiment_Coding_KT004'!T8</x:f>
        <x:v>0.1</x:v>
      </x:c>
      <x:c r="F554" s="16" t="str">
        <x:f>'Experiment_Coding_KT004'!BR8</x:f>
        <x:v>Sec. 3 Datasets; Appendix A; Table 2; Table 1; Appendix B</x:v>
      </x:c>
      <x:c r="G554" s="16" t="str">
        <x:v>HIGH</x:v>
      </x:c>
      <x:c r="H554" s="16" t="str">
        <x:v>N</x:v>
      </x:c>
      <x:c r="I554" s="16" t="str">
        <x:v>Coder A worked example</x:v>
      </x:c>
    </x:row>
    <x:row r="555">
      <x:c r="A555" s="16" t="n">
        <x:v>554</x:v>
      </x:c>
      <x:c r="B555" s="16" t="str">
        <x:v>EXPERIMENT</x:v>
      </x:c>
      <x:c r="C555" s="16" t="str">
        <x:f>'Experiment_Coding_KT004'!A8</x:f>
        <x:v>PILOT_01_E07</x:v>
      </x:c>
      <x:c r="D555" s="16" t="str">
        <x:v>test_fraction</x:v>
      </x:c>
      <x:c r="E555" s="16" t="n">
        <x:f>'Experiment_Coding_KT004'!U8</x:f>
        <x:v>0.1</x:v>
      </x:c>
      <x:c r="F555" s="16" t="str">
        <x:f>'Experiment_Coding_KT004'!BR8</x:f>
        <x:v>Sec. 3 Datasets; Appendix A; Table 2; Table 1; Appendix B</x:v>
      </x:c>
      <x:c r="G555" s="16" t="str">
        <x:v>HIGH</x:v>
      </x:c>
      <x:c r="H555" s="16" t="str">
        <x:v>N</x:v>
      </x:c>
      <x:c r="I555" s="16" t="str">
        <x:v>Coder A worked example</x:v>
      </x:c>
    </x:row>
    <x:row r="556">
      <x:c r="A556" s="16" t="n">
        <x:v>555</x:v>
      </x:c>
      <x:c r="B556" s="16" t="str">
        <x:v>EXPERIMENT</x:v>
      </x:c>
      <x:c r="C556" s="16" t="str">
        <x:f>'Experiment_Coding_KT004'!A8</x:f>
        <x:v>PILOT_01_E07</x:v>
      </x:c>
      <x:c r="D556" s="16" t="str">
        <x:v>validation_set_separate</x:v>
      </x:c>
      <x:c r="E556" s="16" t="str">
        <x:f>'Experiment_Coding_KT004'!V8</x:f>
        <x:v>Y</x:v>
      </x:c>
      <x:c r="F556" s="16" t="str">
        <x:f>'Experiment_Coding_KT004'!BR8</x:f>
        <x:v>Sec. 3 Datasets; Appendix A; Table 2; Table 1; Appendix B</x:v>
      </x:c>
      <x:c r="G556" s="16" t="str">
        <x:v>HIGH</x:v>
      </x:c>
      <x:c r="H556" s="16" t="str">
        <x:v>Y</x:v>
      </x:c>
      <x:c r="I556" s="16" t="str">
        <x:v>Coder A worked example</x:v>
      </x:c>
    </x:row>
    <x:row r="557">
      <x:c r="A557" s="16" t="n">
        <x:v>556</x:v>
      </x:c>
      <x:c r="B557" s="16" t="str">
        <x:v>EXPERIMENT</x:v>
      </x:c>
      <x:c r="C557" s="16" t="str">
        <x:f>'Experiment_Coding_KT004'!A8</x:f>
        <x:v>PILOT_01_E07</x:v>
      </x:c>
      <x:c r="D557" s="16" t="str">
        <x:v>early_stopping_validation_only</x:v>
      </x:c>
      <x:c r="E557" s="16" t="str">
        <x:f>'Experiment_Coding_KT004'!W8</x:f>
        <x:v>UNCLEAR</x:v>
      </x:c>
      <x:c r="F557" s="16" t="str">
        <x:f>'Experiment_Coding_KT004'!BR8</x:f>
        <x:v>Sec. 3 Datasets; Appendix A; Table 2; Table 1; Appendix B</x:v>
      </x:c>
      <x:c r="G557" s="16" t="str">
        <x:v>HIGH</x:v>
      </x:c>
      <x:c r="H557" s="16" t="str">
        <x:v>Y</x:v>
      </x:c>
      <x:c r="I557" s="16" t="str">
        <x:v>Coder A worked example</x:v>
      </x:c>
    </x:row>
    <x:row r="558">
      <x:c r="A558" s="16" t="n">
        <x:v>557</x:v>
      </x:c>
      <x:c r="B558" s="16" t="str">
        <x:v>EXPERIMENT</x:v>
      </x:c>
      <x:c r="C558" s="16" t="str">
        <x:f>'Experiment_Coding_KT004'!A8</x:f>
        <x:v>PILOT_01_E07</x:v>
      </x:c>
      <x:c r="D558" s="16" t="str">
        <x:v>graph_train_only</x:v>
      </x:c>
      <x:c r="E558" s="16" t="str">
        <x:f>'Experiment_Coding_KT004'!X8</x:f>
        <x:v>Y</x:v>
      </x:c>
      <x:c r="F558" s="16" t="str">
        <x:f>'Experiment_Coding_KT004'!BR8</x:f>
        <x:v>Sec. 3 Datasets; Appendix A; Table 2; Table 1; Appendix B</x:v>
      </x:c>
      <x:c r="G558" s="16" t="str">
        <x:v>HIGH</x:v>
      </x:c>
      <x:c r="H558" s="16" t="str">
        <x:v>Y</x:v>
      </x:c>
      <x:c r="I558" s="16" t="str">
        <x:v>Coder A worked example</x:v>
      </x:c>
    </x:row>
    <x:row r="559">
      <x:c r="A559" s="16" t="n">
        <x:v>558</x:v>
      </x:c>
      <x:c r="B559" s="16" t="str">
        <x:v>EXPERIMENT</x:v>
      </x:c>
      <x:c r="C559" s="16" t="str">
        <x:f>'Experiment_Coding_KT004'!A8</x:f>
        <x:v>PILOT_01_E07</x:v>
      </x:c>
      <x:c r="D559" s="16" t="str">
        <x:v>normalization_train_only</x:v>
      </x:c>
      <x:c r="E559" s="16" t="str">
        <x:f>'Experiment_Coding_KT004'!Y8</x:f>
        <x:v>NR</x:v>
      </x:c>
      <x:c r="F559" s="16" t="str">
        <x:f>'Experiment_Coding_KT004'!BR8</x:f>
        <x:v>Sec. 3 Datasets; Appendix A; Table 2; Table 1; Appendix B</x:v>
      </x:c>
      <x:c r="G559" s="16" t="str">
        <x:v>HIGH</x:v>
      </x:c>
      <x:c r="H559" s="16" t="str">
        <x:v>Y</x:v>
      </x:c>
      <x:c r="I559" s="16" t="str">
        <x:v>Coder A worked example</x:v>
      </x:c>
    </x:row>
    <x:row r="560">
      <x:c r="A560" s="16" t="n">
        <x:v>559</x:v>
      </x:c>
      <x:c r="B560" s="16" t="str">
        <x:v>EXPERIMENT</x:v>
      </x:c>
      <x:c r="C560" s="16" t="str">
        <x:f>'Experiment_Coding_KT004'!A8</x:f>
        <x:v>PILOT_01_E07</x:v>
      </x:c>
      <x:c r="D560" s="16" t="str">
        <x:v>sparse_strata_train_only</x:v>
      </x:c>
      <x:c r="E560" s="16" t="str">
        <x:f>'Experiment_Coding_KT004'!Z8</x:f>
        <x:v>NA</x:v>
      </x:c>
      <x:c r="F560" s="16" t="str">
        <x:f>'Experiment_Coding_KT004'!BR8</x:f>
        <x:v>Sec. 3 Datasets; Appendix A; Table 2; Table 1; Appendix B</x:v>
      </x:c>
      <x:c r="G560" s="16" t="str">
        <x:v>HIGH</x:v>
      </x:c>
      <x:c r="H560" s="16" t="str">
        <x:v>Y</x:v>
      </x:c>
      <x:c r="I560" s="16" t="str">
        <x:v>Coder A worked example</x:v>
      </x:c>
    </x:row>
    <x:row r="561">
      <x:c r="A561" s="16" t="n">
        <x:v>560</x:v>
      </x:c>
      <x:c r="B561" s="16" t="str">
        <x:v>EXPERIMENT</x:v>
      </x:c>
      <x:c r="C561" s="16" t="str">
        <x:f>'Experiment_Coding_KT004'!A8</x:f>
        <x:v>PILOT_01_E07</x:v>
      </x:c>
      <x:c r="D561" s="16" t="str">
        <x:v>temporal_alignment_audited</x:v>
      </x:c>
      <x:c r="E561" s="16" t="str">
        <x:f>'Experiment_Coding_KT004'!AA8</x:f>
        <x:v>NR</x:v>
      </x:c>
      <x:c r="F561" s="16" t="str">
        <x:f>'Experiment_Coding_KT004'!BR8</x:f>
        <x:v>Sec. 3 Datasets; Appendix A; Table 2; Table 1; Appendix B</x:v>
      </x:c>
      <x:c r="G561" s="16" t="str">
        <x:v>HIGH</x:v>
      </x:c>
      <x:c r="H561" s="16" t="str">
        <x:v>Y</x:v>
      </x:c>
      <x:c r="I561" s="16" t="str">
        <x:v>Coder A worked example</x:v>
      </x:c>
    </x:row>
    <x:row r="562">
      <x:c r="A562" s="16" t="n">
        <x:v>561</x:v>
      </x:c>
      <x:c r="B562" s="16" t="str">
        <x:v>EXPERIMENT</x:v>
      </x:c>
      <x:c r="C562" s="16" t="str">
        <x:f>'Experiment_Coding_KT004'!A8</x:f>
        <x:v>PILOT_01_E07</x:v>
      </x:c>
      <x:c r="D562" s="16" t="str">
        <x:v>duplicate_entity_leakage_checked</x:v>
      </x:c>
      <x:c r="E562" s="16" t="str">
        <x:f>'Experiment_Coding_KT004'!AB8</x:f>
        <x:v>NR</x:v>
      </x:c>
      <x:c r="F562" s="16" t="str">
        <x:f>'Experiment_Coding_KT004'!BR8</x:f>
        <x:v>Sec. 3 Datasets; Appendix A; Table 2; Table 1; Appendix B</x:v>
      </x:c>
      <x:c r="G562" s="16" t="str">
        <x:v>HIGH</x:v>
      </x:c>
      <x:c r="H562" s="16" t="str">
        <x:v>Y</x:v>
      </x:c>
      <x:c r="I562" s="16" t="str">
        <x:v>Coder A worked example</x:v>
      </x:c>
    </x:row>
    <x:row r="563">
      <x:c r="A563" s="16" t="n">
        <x:v>562</x:v>
      </x:c>
      <x:c r="B563" s="16" t="str">
        <x:v>EXPERIMENT</x:v>
      </x:c>
      <x:c r="C563" s="16" t="str">
        <x:f>'Experiment_Coding_KT004'!A8</x:f>
        <x:v>PILOT_01_E07</x:v>
      </x:c>
      <x:c r="D563" s="16" t="str">
        <x:v>sparsity_construct</x:v>
      </x:c>
      <x:c r="E563" s="16" t="str">
        <x:f>'Experiment_Coding_KT004'!AC8</x:f>
        <x:v>NO_EXPLICIT_FOCUS</x:v>
      </x:c>
      <x:c r="F563" s="16" t="str">
        <x:f>'Experiment_Coding_KT004'!BR8</x:f>
        <x:v>Sec. 3 Datasets; Appendix A; Table 2; Table 1; Appendix B</x:v>
      </x:c>
      <x:c r="G563" s="16" t="str">
        <x:v>HIGH</x:v>
      </x:c>
      <x:c r="H563" s="16" t="str">
        <x:v>Y</x:v>
      </x:c>
      <x:c r="I563" s="16" t="str">
        <x:v>Coder A worked example</x:v>
      </x:c>
    </x:row>
    <x:row r="564">
      <x:c r="A564" s="16" t="n">
        <x:v>563</x:v>
      </x:c>
      <x:c r="B564" s="16" t="str">
        <x:v>EXPERIMENT</x:v>
      </x:c>
      <x:c r="C564" s="16" t="str">
        <x:f>'Experiment_Coding_KT004'!A8</x:f>
        <x:v>PILOT_01_E07</x:v>
      </x:c>
      <x:c r="D564" s="16" t="str">
        <x:v>sparse_definition_original</x:v>
      </x:c>
      <x:c r="E564" s="16" t="str">
        <x:f>'Experiment_Coding_KT004'!AD8</x:f>
        <x:v>NA</x:v>
      </x:c>
      <x:c r="F564" s="16" t="str">
        <x:f>'Experiment_Coding_KT004'!BR8</x:f>
        <x:v>Sec. 3 Datasets; Appendix A; Table 2; Table 1; Appendix B</x:v>
      </x:c>
      <x:c r="G564" s="16" t="str">
        <x:v>HIGH</x:v>
      </x:c>
      <x:c r="H564" s="16" t="str">
        <x:v>N</x:v>
      </x:c>
      <x:c r="I564" s="16" t="str">
        <x:v>Coder A worked example</x:v>
      </x:c>
    </x:row>
    <x:row r="565">
      <x:c r="A565" s="16" t="n">
        <x:v>564</x:v>
      </x:c>
      <x:c r="B565" s="16" t="str">
        <x:v>EXPERIMENT</x:v>
      </x:c>
      <x:c r="C565" s="16" t="str">
        <x:f>'Experiment_Coding_KT004'!A8</x:f>
        <x:v>PILOT_01_E07</x:v>
      </x:c>
      <x:c r="D565" s="16" t="str">
        <x:v>sparse_threshold_original</x:v>
      </x:c>
      <x:c r="E565" s="16" t="str">
        <x:f>'Experiment_Coding_KT004'!AE8</x:f>
        <x:v>NA</x:v>
      </x:c>
      <x:c r="F565" s="16" t="str">
        <x:f>'Experiment_Coding_KT004'!BR8</x:f>
        <x:v>Sec. 3 Datasets; Appendix A; Table 2; Table 1; Appendix B</x:v>
      </x:c>
      <x:c r="G565" s="16" t="str">
        <x:v>HIGH</x:v>
      </x:c>
      <x:c r="H565" s="16" t="str">
        <x:v>N</x:v>
      </x:c>
      <x:c r="I565" s="16" t="str">
        <x:v>Coder A worked example</x:v>
      </x:c>
    </x:row>
    <x:row r="566">
      <x:c r="A566" s="16" t="n">
        <x:v>565</x:v>
      </x:c>
      <x:c r="B566" s="16" t="str">
        <x:v>EXPERIMENT</x:v>
      </x:c>
      <x:c r="C566" s="16" t="str">
        <x:f>'Experiment_Coding_KT004'!A8</x:f>
        <x:v>PILOT_01_E07</x:v>
      </x:c>
      <x:c r="D566" s="16" t="str">
        <x:v>threshold_source</x:v>
      </x:c>
      <x:c r="E566" s="16" t="str">
        <x:f>'Experiment_Coding_KT004'!AF8</x:f>
        <x:v>NA</x:v>
      </x:c>
      <x:c r="F566" s="16" t="str">
        <x:f>'Experiment_Coding_KT004'!BR8</x:f>
        <x:v>Sec. 3 Datasets; Appendix A; Table 2; Table 1; Appendix B</x:v>
      </x:c>
      <x:c r="G566" s="16" t="str">
        <x:v>HIGH</x:v>
      </x:c>
      <x:c r="H566" s="16" t="str">
        <x:v>Y</x:v>
      </x:c>
      <x:c r="I566" s="16" t="str">
        <x:v>Coder A worked example</x:v>
      </x:c>
    </x:row>
    <x:row r="567">
      <x:c r="A567" s="16" t="n">
        <x:v>566</x:v>
      </x:c>
      <x:c r="B567" s="16" t="str">
        <x:v>EXPERIMENT</x:v>
      </x:c>
      <x:c r="C567" s="16" t="str">
        <x:f>'Experiment_Coding_KT004'!A8</x:f>
        <x:v>PILOT_01_E07</x:v>
      </x:c>
      <x:c r="D567" s="16" t="str">
        <x:v>frequency_computed_on</x:v>
      </x:c>
      <x:c r="E567" s="16" t="str">
        <x:f>'Experiment_Coding_KT004'!AG8</x:f>
        <x:v>NA</x:v>
      </x:c>
      <x:c r="F567" s="16" t="str">
        <x:f>'Experiment_Coding_KT004'!BR8</x:f>
        <x:v>Sec. 3 Datasets; Appendix A; Table 2; Table 1; Appendix B</x:v>
      </x:c>
      <x:c r="G567" s="16" t="str">
        <x:v>HIGH</x:v>
      </x:c>
      <x:c r="H567" s="16" t="str">
        <x:v>Y</x:v>
      </x:c>
      <x:c r="I567" s="16" t="str">
        <x:v>Coder A worked example</x:v>
      </x:c>
    </x:row>
    <x:row r="568">
      <x:c r="A568" s="16" t="n">
        <x:v>567</x:v>
      </x:c>
      <x:c r="B568" s="16" t="str">
        <x:v>EXPERIMENT</x:v>
      </x:c>
      <x:c r="C568" s="16" t="str">
        <x:f>'Experiment_Coding_KT004'!A8</x:f>
        <x:v>PILOT_01_E07</x:v>
      </x:c>
      <x:c r="D568" s="16" t="str">
        <x:v>strict_zero_train_verified</x:v>
      </x:c>
      <x:c r="E568" s="16" t="str">
        <x:f>'Experiment_Coding_KT004'!AH8</x:f>
        <x:v>NA</x:v>
      </x:c>
      <x:c r="F568" s="16" t="str">
        <x:f>'Experiment_Coding_KT004'!BR8</x:f>
        <x:v>Sec. 3 Datasets; Appendix A; Table 2; Table 1; Appendix B</x:v>
      </x:c>
      <x:c r="G568" s="16" t="str">
        <x:v>HIGH</x:v>
      </x:c>
      <x:c r="H568" s="16" t="str">
        <x:v>Y</x:v>
      </x:c>
      <x:c r="I568" s="16" t="str">
        <x:v>Coder A worked example</x:v>
      </x:c>
    </x:row>
    <x:row r="569">
      <x:c r="A569" s="16" t="n">
        <x:v>568</x:v>
      </x:c>
      <x:c r="B569" s="16" t="str">
        <x:v>EXPERIMENT</x:v>
      </x:c>
      <x:c r="C569" s="16" t="str">
        <x:f>'Experiment_Coding_KT004'!A8</x:f>
        <x:v>PILOT_01_E07</x:v>
      </x:c>
      <x:c r="D569" s="16" t="str">
        <x:v>external_info_for_unseen_kc</x:v>
      </x:c>
      <x:c r="E569" s="16" t="str">
        <x:f>'Experiment_Coding_KT004'!AI8</x:f>
        <x:v>NA</x:v>
      </x:c>
      <x:c r="F569" s="16" t="str">
        <x:f>'Experiment_Coding_KT004'!BR8</x:f>
        <x:v>Sec. 3 Datasets; Appendix A; Table 2; Table 1; Appendix B</x:v>
      </x:c>
      <x:c r="G569" s="16" t="str">
        <x:v>HIGH</x:v>
      </x:c>
      <x:c r="H569" s="16" t="str">
        <x:v>Y</x:v>
      </x:c>
      <x:c r="I569" s="16" t="str">
        <x:v>Coder A worked example</x:v>
      </x:c>
    </x:row>
    <x:row r="570">
      <x:c r="A570" s="16" t="n">
        <x:v>569</x:v>
      </x:c>
      <x:c r="B570" s="16" t="str">
        <x:v>EXPERIMENT</x:v>
      </x:c>
      <x:c r="C570" s="16" t="str">
        <x:f>'Experiment_Coding_KT004'!A8</x:f>
        <x:v>PILOT_01_E07</x:v>
      </x:c>
      <x:c r="D570" s="16" t="str">
        <x:v>support_kcs</x:v>
      </x:c>
      <x:c r="E570" s="16" t="str">
        <x:f>'Experiment_Coding_KT004'!AJ8</x:f>
        <x:v>NA</x:v>
      </x:c>
      <x:c r="F570" s="16" t="str">
        <x:f>'Experiment_Coding_KT004'!BR8</x:f>
        <x:v>Sec. 3 Datasets; Appendix A; Table 2; Table 1; Appendix B</x:v>
      </x:c>
      <x:c r="G570" s="16" t="str">
        <x:v>HIGH</x:v>
      </x:c>
      <x:c r="H570" s="16" t="str">
        <x:v>N</x:v>
      </x:c>
      <x:c r="I570" s="16" t="str">
        <x:v>Coder A worked example</x:v>
      </x:c>
    </x:row>
    <x:row r="571">
      <x:c r="A571" s="16" t="n">
        <x:v>570</x:v>
      </x:c>
      <x:c r="B571" s="16" t="str">
        <x:v>EXPERIMENT</x:v>
      </x:c>
      <x:c r="C571" s="16" t="str">
        <x:f>'Experiment_Coding_KT004'!A8</x:f>
        <x:v>PILOT_01_E07</x:v>
      </x:c>
      <x:c r="D571" s="16" t="str">
        <x:v>support_learners</x:v>
      </x:c>
      <x:c r="E571" s="16" t="str">
        <x:f>'Experiment_Coding_KT004'!AK8</x:f>
        <x:v>NA</x:v>
      </x:c>
      <x:c r="F571" s="16" t="str">
        <x:f>'Experiment_Coding_KT004'!BR8</x:f>
        <x:v>Sec. 3 Datasets; Appendix A; Table 2; Table 1; Appendix B</x:v>
      </x:c>
      <x:c r="G571" s="16" t="str">
        <x:v>HIGH</x:v>
      </x:c>
      <x:c r="H571" s="16" t="str">
        <x:v>N</x:v>
      </x:c>
      <x:c r="I571" s="16" t="str">
        <x:v>Coder A worked example</x:v>
      </x:c>
    </x:row>
    <x:row r="572">
      <x:c r="A572" s="16" t="n">
        <x:v>571</x:v>
      </x:c>
      <x:c r="B572" s="16" t="str">
        <x:v>EXPERIMENT</x:v>
      </x:c>
      <x:c r="C572" s="16" t="str">
        <x:f>'Experiment_Coding_KT004'!A8</x:f>
        <x:v>PILOT_01_E07</x:v>
      </x:c>
      <x:c r="D572" s="16" t="str">
        <x:v>support_items</x:v>
      </x:c>
      <x:c r="E572" s="16" t="str">
        <x:f>'Experiment_Coding_KT004'!AL8</x:f>
        <x:v>NA</x:v>
      </x:c>
      <x:c r="F572" s="16" t="str">
        <x:f>'Experiment_Coding_KT004'!BR8</x:f>
        <x:v>Sec. 3 Datasets; Appendix A; Table 2; Table 1; Appendix B</x:v>
      </x:c>
      <x:c r="G572" s="16" t="str">
        <x:v>HIGH</x:v>
      </x:c>
      <x:c r="H572" s="16" t="str">
        <x:v>N</x:v>
      </x:c>
      <x:c r="I572" s="16" t="str">
        <x:v>Coder A worked example</x:v>
      </x:c>
    </x:row>
    <x:row r="573">
      <x:c r="A573" s="16" t="n">
        <x:v>572</x:v>
      </x:c>
      <x:c r="B573" s="16" t="str">
        <x:v>EXPERIMENT</x:v>
      </x:c>
      <x:c r="C573" s="16" t="str">
        <x:f>'Experiment_Coding_KT004'!A8</x:f>
        <x:v>PILOT_01_E07</x:v>
      </x:c>
      <x:c r="D573" s="16" t="str">
        <x:v>support_test_interactions</x:v>
      </x:c>
      <x:c r="E573" s="16" t="str">
        <x:f>'Experiment_Coding_KT004'!AM8</x:f>
        <x:v>NA</x:v>
      </x:c>
      <x:c r="F573" s="16" t="str">
        <x:f>'Experiment_Coding_KT004'!BR8</x:f>
        <x:v>Sec. 3 Datasets; Appendix A; Table 2; Table 1; Appendix B</x:v>
      </x:c>
      <x:c r="G573" s="16" t="str">
        <x:v>HIGH</x:v>
      </x:c>
      <x:c r="H573" s="16" t="str">
        <x:v>N</x:v>
      </x:c>
      <x:c r="I573" s="16" t="str">
        <x:v>Coder A worked example</x:v>
      </x:c>
    </x:row>
    <x:row r="574">
      <x:c r="A574" s="16" t="n">
        <x:v>573</x:v>
      </x:c>
      <x:c r="B574" s="16" t="str">
        <x:v>EXPERIMENT</x:v>
      </x:c>
      <x:c r="C574" s="16" t="str">
        <x:f>'Experiment_Coding_KT004'!A8</x:f>
        <x:v>PILOT_01_E07</x:v>
      </x:c>
      <x:c r="D574" s="16" t="str">
        <x:v>positive_count</x:v>
      </x:c>
      <x:c r="E574" s="16" t="str">
        <x:f>'Experiment_Coding_KT004'!AN8</x:f>
        <x:v>NA</x:v>
      </x:c>
      <x:c r="F574" s="16" t="str">
        <x:f>'Experiment_Coding_KT004'!BR8</x:f>
        <x:v>Sec. 3 Datasets; Appendix A; Table 2; Table 1; Appendix B</x:v>
      </x:c>
      <x:c r="G574" s="16" t="str">
        <x:v>HIGH</x:v>
      </x:c>
      <x:c r="H574" s="16" t="str">
        <x:v>N</x:v>
      </x:c>
      <x:c r="I574" s="16" t="str">
        <x:v>Coder A worked example</x:v>
      </x:c>
    </x:row>
    <x:row r="575">
      <x:c r="A575" s="16" t="n">
        <x:v>574</x:v>
      </x:c>
      <x:c r="B575" s="16" t="str">
        <x:v>EXPERIMENT</x:v>
      </x:c>
      <x:c r="C575" s="16" t="str">
        <x:f>'Experiment_Coding_KT004'!A8</x:f>
        <x:v>PILOT_01_E07</x:v>
      </x:c>
      <x:c r="D575" s="16" t="str">
        <x:v>negative_count</x:v>
      </x:c>
      <x:c r="E575" s="16" t="str">
        <x:f>'Experiment_Coding_KT004'!AO8</x:f>
        <x:v>NA</x:v>
      </x:c>
      <x:c r="F575" s="16" t="str">
        <x:f>'Experiment_Coding_KT004'!BR8</x:f>
        <x:v>Sec. 3 Datasets; Appendix A; Table 2; Table 1; Appendix B</x:v>
      </x:c>
      <x:c r="G575" s="16" t="str">
        <x:v>HIGH</x:v>
      </x:c>
      <x:c r="H575" s="16" t="str">
        <x:v>N</x:v>
      </x:c>
      <x:c r="I575" s="16" t="str">
        <x:v>Coder A worked example</x:v>
      </x:c>
    </x:row>
    <x:row r="576">
      <x:c r="A576" s="16" t="n">
        <x:v>575</x:v>
      </x:c>
      <x:c r="B576" s="16" t="str">
        <x:v>EXPERIMENT</x:v>
      </x:c>
      <x:c r="C576" s="16" t="str">
        <x:f>'Experiment_Coding_KT004'!A8</x:f>
        <x:v>PILOT_01_E07</x:v>
      </x:c>
      <x:c r="D576" s="16" t="str">
        <x:v>metric_name_original</x:v>
      </x:c>
      <x:c r="E576" s="16" t="str">
        <x:f>'Experiment_Coding_KT004'!AP8</x:f>
        <x:v>AUC</x:v>
      </x:c>
      <x:c r="F576" s="16" t="str">
        <x:f>'Experiment_Coding_KT004'!BR8</x:f>
        <x:v>Sec. 3 Datasets; Appendix A; Table 2; Table 1; Appendix B</x:v>
      </x:c>
      <x:c r="G576" s="16" t="str">
        <x:v>HIGH</x:v>
      </x:c>
      <x:c r="H576" s="16" t="str">
        <x:v>N</x:v>
      </x:c>
      <x:c r="I576" s="16" t="str">
        <x:v>Coder A worked example</x:v>
      </x:c>
    </x:row>
    <x:row r="577">
      <x:c r="A577" s="16" t="n">
        <x:v>576</x:v>
      </x:c>
      <x:c r="B577" s="16" t="str">
        <x:v>EXPERIMENT</x:v>
      </x:c>
      <x:c r="C577" s="16" t="str">
        <x:f>'Experiment_Coding_KT004'!A8</x:f>
        <x:v>PILOT_01_E07</x:v>
      </x:c>
      <x:c r="D577" s="16" t="str">
        <x:v>metric_value_original</x:v>
      </x:c>
      <x:c r="E577" s="16" t="n">
        <x:f>'Experiment_Coding_KT004'!AQ8</x:f>
        <x:v>0.719</x:v>
      </x:c>
      <x:c r="F577" s="16" t="str">
        <x:f>'Experiment_Coding_KT004'!BR8</x:f>
        <x:v>Sec. 3 Datasets; Appendix A; Table 2; Table 1; Appendix B</x:v>
      </x:c>
      <x:c r="G577" s="16" t="str">
        <x:v>HIGH</x:v>
      </x:c>
      <x:c r="H577" s="16" t="str">
        <x:v>N</x:v>
      </x:c>
      <x:c r="I577" s="16" t="str">
        <x:v>Coder A worked example</x:v>
      </x:c>
    </x:row>
    <x:row r="578">
      <x:c r="A578" s="16" t="n">
        <x:v>577</x:v>
      </x:c>
      <x:c r="B578" s="16" t="str">
        <x:v>EXPERIMENT</x:v>
      </x:c>
      <x:c r="C578" s="16" t="str">
        <x:f>'Experiment_Coding_KT004'!A8</x:f>
        <x:v>PILOT_01_E07</x:v>
      </x:c>
      <x:c r="D578" s="16" t="str">
        <x:v>metric_scope</x:v>
      </x:c>
      <x:c r="E578" s="16" t="str">
        <x:f>'Experiment_Coding_KT004'!AR8</x:f>
        <x:v>OVERALL</x:v>
      </x:c>
      <x:c r="F578" s="16" t="str">
        <x:f>'Experiment_Coding_KT004'!BR8</x:f>
        <x:v>Sec. 3 Datasets; Appendix A; Table 2; Table 1; Appendix B</x:v>
      </x:c>
      <x:c r="G578" s="16" t="str">
        <x:v>HIGH</x:v>
      </x:c>
      <x:c r="H578" s="16" t="str">
        <x:v>Y</x:v>
      </x:c>
      <x:c r="I578" s="16" t="str">
        <x:v>Coder A worked example</x:v>
      </x:c>
    </x:row>
    <x:row r="579">
      <x:c r="A579" s="16" t="n">
        <x:v>578</x:v>
      </x:c>
      <x:c r="B579" s="16" t="str">
        <x:v>EXPERIMENT</x:v>
      </x:c>
      <x:c r="C579" s="16" t="str">
        <x:f>'Experiment_Coding_KT004'!A8</x:f>
        <x:v>PILOT_01_E07</x:v>
      </x:c>
      <x:c r="D579" s="16" t="str">
        <x:v>n_seeds</x:v>
      </x:c>
      <x:c r="E579" s="16" t="str">
        <x:f>'Experiment_Coding_KT004'!AS8</x:f>
        <x:v>NR</x:v>
      </x:c>
      <x:c r="F579" s="16" t="str">
        <x:f>'Experiment_Coding_KT004'!BR8</x:f>
        <x:v>Sec. 3 Datasets; Appendix A; Table 2; Table 1; Appendix B</x:v>
      </x:c>
      <x:c r="G579" s="16" t="str">
        <x:v>HIGH</x:v>
      </x:c>
      <x:c r="H579" s="16" t="str">
        <x:v>N</x:v>
      </x:c>
      <x:c r="I579" s="16" t="str">
        <x:v>Coder A worked example</x:v>
      </x:c>
    </x:row>
    <x:row r="580">
      <x:c r="A580" s="16" t="n">
        <x:v>579</x:v>
      </x:c>
      <x:c r="B580" s="16" t="str">
        <x:v>EXPERIMENT</x:v>
      </x:c>
      <x:c r="C580" s="16" t="str">
        <x:f>'Experiment_Coding_KT004'!A8</x:f>
        <x:v>PILOT_01_E07</x:v>
      </x:c>
      <x:c r="D580" s="16" t="str">
        <x:v>seed_values_reported</x:v>
      </x:c>
      <x:c r="E580" s="16" t="str">
        <x:f>'Experiment_Coding_KT004'!AT8</x:f>
        <x:v>NR</x:v>
      </x:c>
      <x:c r="F580" s="16" t="str">
        <x:f>'Experiment_Coding_KT004'!BR8</x:f>
        <x:v>Sec. 3 Datasets; Appendix A; Table 2; Table 1; Appendix B</x:v>
      </x:c>
      <x:c r="G580" s="16" t="str">
        <x:v>HIGH</x:v>
      </x:c>
      <x:c r="H580" s="16" t="str">
        <x:v>N</x:v>
      </x:c>
      <x:c r="I580" s="16" t="str">
        <x:v>Coder A worked example</x:v>
      </x:c>
    </x:row>
    <x:row r="581">
      <x:c r="A581" s="16" t="n">
        <x:v>580</x:v>
      </x:c>
      <x:c r="B581" s="16" t="str">
        <x:v>EXPERIMENT</x:v>
      </x:c>
      <x:c r="C581" s="16" t="str">
        <x:f>'Experiment_Coding_KT004'!A8</x:f>
        <x:v>PILOT_01_E07</x:v>
      </x:c>
      <x:c r="D581" s="16" t="str">
        <x:v>mean_std_reported</x:v>
      </x:c>
      <x:c r="E581" s="16" t="str">
        <x:f>'Experiment_Coding_KT004'!AU8</x:f>
        <x:v>N</x:v>
      </x:c>
      <x:c r="F581" s="16" t="str">
        <x:f>'Experiment_Coding_KT004'!BR8</x:f>
        <x:v>Sec. 3 Datasets; Appendix A; Table 2; Table 1; Appendix B</x:v>
      </x:c>
      <x:c r="G581" s="16" t="str">
        <x:v>HIGH</x:v>
      </x:c>
      <x:c r="H581" s="16" t="str">
        <x:v>Y</x:v>
      </x:c>
      <x:c r="I581" s="16" t="str">
        <x:v>Coder A worked example</x:v>
      </x:c>
    </x:row>
    <x:row r="582">
      <x:c r="A582" s="16" t="n">
        <x:v>581</x:v>
      </x:c>
      <x:c r="B582" s="16" t="str">
        <x:v>EXPERIMENT</x:v>
      </x:c>
      <x:c r="C582" s="16" t="str">
        <x:f>'Experiment_Coding_KT004'!A8</x:f>
        <x:v>PILOT_01_E07</x:v>
      </x:c>
      <x:c r="D582" s="16" t="str">
        <x:v>confidence_interval</x:v>
      </x:c>
      <x:c r="E582" s="16" t="str">
        <x:f>'Experiment_Coding_KT004'!AV8</x:f>
        <x:v>NR</x:v>
      </x:c>
      <x:c r="F582" s="16" t="str">
        <x:f>'Experiment_Coding_KT004'!BR8</x:f>
        <x:v>Sec. 3 Datasets; Appendix A; Table 2; Table 1; Appendix B</x:v>
      </x:c>
      <x:c r="G582" s="16" t="str">
        <x:v>HIGH</x:v>
      </x:c>
      <x:c r="H582" s="16" t="str">
        <x:v>N</x:v>
      </x:c>
      <x:c r="I582" s="16" t="str">
        <x:v>Coder A worked example</x:v>
      </x:c>
    </x:row>
    <x:row r="583">
      <x:c r="A583" s="16" t="n">
        <x:v>582</x:v>
      </x:c>
      <x:c r="B583" s="16" t="str">
        <x:v>EXPERIMENT</x:v>
      </x:c>
      <x:c r="C583" s="16" t="str">
        <x:f>'Experiment_Coding_KT004'!A8</x:f>
        <x:v>PILOT_01_E07</x:v>
      </x:c>
      <x:c r="D583" s="16" t="str">
        <x:v>bootstrap_unit</x:v>
      </x:c>
      <x:c r="E583" s="16" t="str">
        <x:f>'Experiment_Coding_KT004'!AW8</x:f>
        <x:v>NA</x:v>
      </x:c>
      <x:c r="F583" s="16" t="str">
        <x:f>'Experiment_Coding_KT004'!BR8</x:f>
        <x:v>Sec. 3 Datasets; Appendix A; Table 2; Table 1; Appendix B</x:v>
      </x:c>
      <x:c r="G583" s="16" t="str">
        <x:v>HIGH</x:v>
      </x:c>
      <x:c r="H583" s="16" t="str">
        <x:v>Y</x:v>
      </x:c>
      <x:c r="I583" s="16" t="str">
        <x:v>Coder A worked example</x:v>
      </x:c>
    </x:row>
    <x:row r="584">
      <x:c r="A584" s="16" t="n">
        <x:v>583</x:v>
      </x:c>
      <x:c r="B584" s="16" t="str">
        <x:v>EXPERIMENT</x:v>
      </x:c>
      <x:c r="C584" s="16" t="str">
        <x:f>'Experiment_Coding_KT004'!A8</x:f>
        <x:v>PILOT_01_E07</x:v>
      </x:c>
      <x:c r="D584" s="16" t="str">
        <x:v>statistical_test</x:v>
      </x:c>
      <x:c r="E584" s="16" t="str">
        <x:f>'Experiment_Coding_KT004'!AX8</x:f>
        <x:v>NR</x:v>
      </x:c>
      <x:c r="F584" s="16" t="str">
        <x:f>'Experiment_Coding_KT004'!BR8</x:f>
        <x:v>Sec. 3 Datasets; Appendix A; Table 2; Table 1; Appendix B</x:v>
      </x:c>
      <x:c r="G584" s="16" t="str">
        <x:v>HIGH</x:v>
      </x:c>
      <x:c r="H584" s="16" t="str">
        <x:v>N</x:v>
      </x:c>
      <x:c r="I584" s="16" t="str">
        <x:v>Coder A worked example</x:v>
      </x:c>
    </x:row>
    <x:row r="585">
      <x:c r="A585" s="16" t="n">
        <x:v>584</x:v>
      </x:c>
      <x:c r="B585" s="16" t="str">
        <x:v>EXPERIMENT</x:v>
      </x:c>
      <x:c r="C585" s="16" t="str">
        <x:f>'Experiment_Coding_KT004'!A8</x:f>
        <x:v>PILOT_01_E07</x:v>
      </x:c>
      <x:c r="D585" s="16" t="str">
        <x:v>multiple_comparison_correction</x:v>
      </x:c>
      <x:c r="E585" s="16" t="str">
        <x:f>'Experiment_Coding_KT004'!AY8</x:f>
        <x:v>NR</x:v>
      </x:c>
      <x:c r="F585" s="16" t="str">
        <x:f>'Experiment_Coding_KT004'!BR8</x:f>
        <x:v>Sec. 3 Datasets; Appendix A; Table 2; Table 1; Appendix B</x:v>
      </x:c>
      <x:c r="G585" s="16" t="str">
        <x:v>HIGH</x:v>
      </x:c>
      <x:c r="H585" s="16" t="str">
        <x:v>N</x:v>
      </x:c>
      <x:c r="I585" s="16" t="str">
        <x:v>Coder A worked example</x:v>
      </x:c>
    </x:row>
    <x:row r="586">
      <x:c r="A586" s="16" t="n">
        <x:v>585</x:v>
      </x:c>
      <x:c r="B586" s="16" t="str">
        <x:v>EXPERIMENT</x:v>
      </x:c>
      <x:c r="C586" s="16" t="str">
        <x:f>'Experiment_Coding_KT004'!A8</x:f>
        <x:v>PILOT_01_E07</x:v>
      </x:c>
      <x:c r="D586" s="16" t="str">
        <x:v>effect_size</x:v>
      </x:c>
      <x:c r="E586" s="16" t="str">
        <x:f>'Experiment_Coding_KT004'!AZ8</x:f>
        <x:v>NR</x:v>
      </x:c>
      <x:c r="F586" s="16" t="str">
        <x:f>'Experiment_Coding_KT004'!BR8</x:f>
        <x:v>Sec. 3 Datasets; Appendix A; Table 2; Table 1; Appendix B</x:v>
      </x:c>
      <x:c r="G586" s="16" t="str">
        <x:v>HIGH</x:v>
      </x:c>
      <x:c r="H586" s="16" t="str">
        <x:v>N</x:v>
      </x:c>
      <x:c r="I586" s="16" t="str">
        <x:v>Coder A worked example</x:v>
      </x:c>
    </x:row>
    <x:row r="587">
      <x:c r="A587" s="16" t="n">
        <x:v>586</x:v>
      </x:c>
      <x:c r="B587" s="16" t="str">
        <x:v>EXPERIMENT</x:v>
      </x:c>
      <x:c r="C587" s="16" t="str">
        <x:f>'Experiment_Coding_KT004'!A8</x:f>
        <x:v>PILOT_01_E07</x:v>
      </x:c>
      <x:c r="D587" s="16" t="str">
        <x:v>paired_design</x:v>
      </x:c>
      <x:c r="E587" s="16" t="str">
        <x:f>'Experiment_Coding_KT004'!BA8</x:f>
        <x:v>NR</x:v>
      </x:c>
      <x:c r="F587" s="16" t="str">
        <x:f>'Experiment_Coding_KT004'!BR8</x:f>
        <x:v>Sec. 3 Datasets; Appendix A; Table 2; Table 1; Appendix B</x:v>
      </x:c>
      <x:c r="G587" s="16" t="str">
        <x:v>HIGH</x:v>
      </x:c>
      <x:c r="H587" s="16" t="str">
        <x:v>Y</x:v>
      </x:c>
      <x:c r="I587" s="16" t="str">
        <x:v>Coder A worked example</x:v>
      </x:c>
    </x:row>
    <x:row r="588">
      <x:c r="A588" s="16" t="n">
        <x:v>587</x:v>
      </x:c>
      <x:c r="B588" s="16" t="str">
        <x:v>EXPERIMENT</x:v>
      </x:c>
      <x:c r="C588" s="16" t="str">
        <x:f>'Experiment_Coding_KT004'!A8</x:f>
        <x:v>PILOT_01_E07</x:v>
      </x:c>
      <x:c r="D588" s="16" t="str">
        <x:v>significance_threshold</x:v>
      </x:c>
      <x:c r="E588" s="16" t="str">
        <x:f>'Experiment_Coding_KT004'!BB8</x:f>
        <x:v>NR</x:v>
      </x:c>
      <x:c r="F588" s="16" t="str">
        <x:f>'Experiment_Coding_KT004'!BR8</x:f>
        <x:v>Sec. 3 Datasets; Appendix A; Table 2; Table 1; Appendix B</x:v>
      </x:c>
      <x:c r="G588" s="16" t="str">
        <x:v>HIGH</x:v>
      </x:c>
      <x:c r="H588" s="16" t="str">
        <x:v>N</x:v>
      </x:c>
      <x:c r="I588" s="16" t="str">
        <x:v>Coder A worked example</x:v>
      </x:c>
    </x:row>
    <x:row r="589">
      <x:c r="A589" s="16" t="n">
        <x:v>588</x:v>
      </x:c>
      <x:c r="B589" s="16" t="str">
        <x:v>EXPERIMENT</x:v>
      </x:c>
      <x:c r="C589" s="16" t="str">
        <x:f>'Experiment_Coding_KT004'!A8</x:f>
        <x:v>PILOT_01_E07</x:v>
      </x:c>
      <x:c r="D589" s="16" t="str">
        <x:v>parameter_count</x:v>
      </x:c>
      <x:c r="E589" s="16" t="str">
        <x:f>'Experiment_Coding_KT004'!BC8</x:f>
        <x:v>NR</x:v>
      </x:c>
      <x:c r="F589" s="16" t="str">
        <x:f>'Experiment_Coding_KT004'!BR8</x:f>
        <x:v>Sec. 3 Datasets; Appendix A; Table 2; Table 1; Appendix B</x:v>
      </x:c>
      <x:c r="G589" s="16" t="str">
        <x:v>HIGH</x:v>
      </x:c>
      <x:c r="H589" s="16" t="str">
        <x:v>N</x:v>
      </x:c>
      <x:c r="I589" s="16" t="str">
        <x:v>Coder A worked example</x:v>
      </x:c>
    </x:row>
    <x:row r="590">
      <x:c r="A590" s="16" t="n">
        <x:v>589</x:v>
      </x:c>
      <x:c r="B590" s="16" t="str">
        <x:v>EXPERIMENT</x:v>
      </x:c>
      <x:c r="C590" s="16" t="str">
        <x:f>'Experiment_Coding_KT004'!A8</x:f>
        <x:v>PILOT_01_E07</x:v>
      </x:c>
      <x:c r="D590" s="16" t="str">
        <x:v>train_time</x:v>
      </x:c>
      <x:c r="E590" s="16" t="str">
        <x:f>'Experiment_Coding_KT004'!BD8</x:f>
        <x:v>NR</x:v>
      </x:c>
      <x:c r="F590" s="16" t="str">
        <x:f>'Experiment_Coding_KT004'!BR8</x:f>
        <x:v>Sec. 3 Datasets; Appendix A; Table 2; Table 1; Appendix B</x:v>
      </x:c>
      <x:c r="G590" s="16" t="str">
        <x:v>HIGH</x:v>
      </x:c>
      <x:c r="H590" s="16" t="str">
        <x:v>N</x:v>
      </x:c>
      <x:c r="I590" s="16" t="str">
        <x:v>Coder A worked example</x:v>
      </x:c>
    </x:row>
    <x:row r="591">
      <x:c r="A591" s="16" t="n">
        <x:v>590</x:v>
      </x:c>
      <x:c r="B591" s="16" t="str">
        <x:v>EXPERIMENT</x:v>
      </x:c>
      <x:c r="C591" s="16" t="str">
        <x:f>'Experiment_Coding_KT004'!A8</x:f>
        <x:v>PILOT_01_E07</x:v>
      </x:c>
      <x:c r="D591" s="16" t="str">
        <x:v>time_per_epoch</x:v>
      </x:c>
      <x:c r="E591" s="16" t="str">
        <x:f>'Experiment_Coding_KT004'!BE8</x:f>
        <x:v>NR</x:v>
      </x:c>
      <x:c r="F591" s="16" t="str">
        <x:f>'Experiment_Coding_KT004'!BR8</x:f>
        <x:v>Sec. 3 Datasets; Appendix A; Table 2; Table 1; Appendix B</x:v>
      </x:c>
      <x:c r="G591" s="16" t="str">
        <x:v>HIGH</x:v>
      </x:c>
      <x:c r="H591" s="16" t="str">
        <x:v>N</x:v>
      </x:c>
      <x:c r="I591" s="16" t="str">
        <x:v>Coder A worked example</x:v>
      </x:c>
    </x:row>
    <x:row r="592">
      <x:c r="A592" s="16" t="n">
        <x:v>591</x:v>
      </x:c>
      <x:c r="B592" s="16" t="str">
        <x:v>EXPERIMENT</x:v>
      </x:c>
      <x:c r="C592" s="16" t="str">
        <x:f>'Experiment_Coding_KT004'!A8</x:f>
        <x:v>PILOT_01_E07</x:v>
      </x:c>
      <x:c r="D592" s="16" t="str">
        <x:v>inference_latency</x:v>
      </x:c>
      <x:c r="E592" s="16" t="str">
        <x:f>'Experiment_Coding_KT004'!BF8</x:f>
        <x:v>NR</x:v>
      </x:c>
      <x:c r="F592" s="16" t="str">
        <x:f>'Experiment_Coding_KT004'!BR8</x:f>
        <x:v>Sec. 3 Datasets; Appendix A; Table 2; Table 1; Appendix B</x:v>
      </x:c>
      <x:c r="G592" s="16" t="str">
        <x:v>HIGH</x:v>
      </x:c>
      <x:c r="H592" s="16" t="str">
        <x:v>N</x:v>
      </x:c>
      <x:c r="I592" s="16" t="str">
        <x:v>Coder A worked example</x:v>
      </x:c>
    </x:row>
    <x:row r="593">
      <x:c r="A593" s="16" t="n">
        <x:v>592</x:v>
      </x:c>
      <x:c r="B593" s="16" t="str">
        <x:v>EXPERIMENT</x:v>
      </x:c>
      <x:c r="C593" s="16" t="str">
        <x:f>'Experiment_Coding_KT004'!A8</x:f>
        <x:v>PILOT_01_E07</x:v>
      </x:c>
      <x:c r="D593" s="16" t="str">
        <x:v>throughput</x:v>
      </x:c>
      <x:c r="E593" s="16" t="str">
        <x:f>'Experiment_Coding_KT004'!BG8</x:f>
        <x:v>NR</x:v>
      </x:c>
      <x:c r="F593" s="16" t="str">
        <x:f>'Experiment_Coding_KT004'!BR8</x:f>
        <x:v>Sec. 3 Datasets; Appendix A; Table 2; Table 1; Appendix B</x:v>
      </x:c>
      <x:c r="G593" s="16" t="str">
        <x:v>HIGH</x:v>
      </x:c>
      <x:c r="H593" s="16" t="str">
        <x:v>N</x:v>
      </x:c>
      <x:c r="I593" s="16" t="str">
        <x:v>Coder A worked example</x:v>
      </x:c>
    </x:row>
    <x:row r="594">
      <x:c r="A594" s="16" t="n">
        <x:v>593</x:v>
      </x:c>
      <x:c r="B594" s="16" t="str">
        <x:v>EXPERIMENT</x:v>
      </x:c>
      <x:c r="C594" s="16" t="str">
        <x:f>'Experiment_Coding_KT004'!A8</x:f>
        <x:v>PILOT_01_E07</x:v>
      </x:c>
      <x:c r="D594" s="16" t="str">
        <x:v>cpu_ram</x:v>
      </x:c>
      <x:c r="E594" s="16" t="str">
        <x:f>'Experiment_Coding_KT004'!BH8</x:f>
        <x:v>NR</x:v>
      </x:c>
      <x:c r="F594" s="16" t="str">
        <x:f>'Experiment_Coding_KT004'!BR8</x:f>
        <x:v>Sec. 3 Datasets; Appendix A; Table 2; Table 1; Appendix B</x:v>
      </x:c>
      <x:c r="G594" s="16" t="str">
        <x:v>HIGH</x:v>
      </x:c>
      <x:c r="H594" s="16" t="str">
        <x:v>N</x:v>
      </x:c>
      <x:c r="I594" s="16" t="str">
        <x:v>Coder A worked example</x:v>
      </x:c>
    </x:row>
    <x:row r="595">
      <x:c r="A595" s="16" t="n">
        <x:v>594</x:v>
      </x:c>
      <x:c r="B595" s="16" t="str">
        <x:v>EXPERIMENT</x:v>
      </x:c>
      <x:c r="C595" s="16" t="str">
        <x:f>'Experiment_Coding_KT004'!A8</x:f>
        <x:v>PILOT_01_E07</x:v>
      </x:c>
      <x:c r="D595" s="16" t="str">
        <x:v>gpu_vram</x:v>
      </x:c>
      <x:c r="E595" s="16" t="str">
        <x:f>'Experiment_Coding_KT004'!BI8</x:f>
        <x:v>NR</x:v>
      </x:c>
      <x:c r="F595" s="16" t="str">
        <x:f>'Experiment_Coding_KT004'!BR8</x:f>
        <x:v>Sec. 3 Datasets; Appendix A; Table 2; Table 1; Appendix B</x:v>
      </x:c>
      <x:c r="G595" s="16" t="str">
        <x:v>HIGH</x:v>
      </x:c>
      <x:c r="H595" s="16" t="str">
        <x:v>N</x:v>
      </x:c>
      <x:c r="I595" s="16" t="str">
        <x:v>Coder A worked example</x:v>
      </x:c>
    </x:row>
    <x:row r="596">
      <x:c r="A596" s="16" t="n">
        <x:v>595</x:v>
      </x:c>
      <x:c r="B596" s="16" t="str">
        <x:v>EXPERIMENT</x:v>
      </x:c>
      <x:c r="C596" s="16" t="str">
        <x:f>'Experiment_Coding_KT004'!A8</x:f>
        <x:v>PILOT_01_E07</x:v>
      </x:c>
      <x:c r="D596" s="16" t="str">
        <x:v>hardware</x:v>
      </x:c>
      <x:c r="E596" s="16" t="str">
        <x:f>'Experiment_Coding_KT004'!BJ8</x:f>
        <x:v>NR</x:v>
      </x:c>
      <x:c r="F596" s="16" t="str">
        <x:f>'Experiment_Coding_KT004'!BR8</x:f>
        <x:v>Sec. 3 Datasets; Appendix A; Table 2; Table 1; Appendix B</x:v>
      </x:c>
      <x:c r="G596" s="16" t="str">
        <x:v>HIGH</x:v>
      </x:c>
      <x:c r="H596" s="16" t="str">
        <x:v>N</x:v>
      </x:c>
      <x:c r="I596" s="16" t="str">
        <x:v>Coder A worked example</x:v>
      </x:c>
    </x:row>
    <x:row r="597">
      <x:c r="A597" s="16" t="n">
        <x:v>596</x:v>
      </x:c>
      <x:c r="B597" s="16" t="str">
        <x:v>EXPERIMENT</x:v>
      </x:c>
      <x:c r="C597" s="16" t="str">
        <x:f>'Experiment_Coding_KT004'!A8</x:f>
        <x:v>PILOT_01_E07</x:v>
      </x:c>
      <x:c r="D597" s="16" t="str">
        <x:v>graph_construction_time</x:v>
      </x:c>
      <x:c r="E597" s="16" t="str">
        <x:f>'Experiment_Coding_KT004'!BK8</x:f>
        <x:v>NR</x:v>
      </x:c>
      <x:c r="F597" s="16" t="str">
        <x:f>'Experiment_Coding_KT004'!BR8</x:f>
        <x:v>Sec. 3 Datasets; Appendix A; Table 2; Table 1; Appendix B</x:v>
      </x:c>
      <x:c r="G597" s="16" t="str">
        <x:v>HIGH</x:v>
      </x:c>
      <x:c r="H597" s="16" t="str">
        <x:v>N</x:v>
      </x:c>
      <x:c r="I597" s="16" t="str">
        <x:v>Coder A worked example</x:v>
      </x:c>
    </x:row>
    <x:row r="598">
      <x:c r="A598" s="16" t="n">
        <x:v>597</x:v>
      </x:c>
      <x:c r="B598" s="16" t="str">
        <x:v>EXPERIMENT</x:v>
      </x:c>
      <x:c r="C598" s="16" t="str">
        <x:f>'Experiment_Coding_KT004'!A8</x:f>
        <x:v>PILOT_01_E07</x:v>
      </x:c>
      <x:c r="D598" s="16" t="str">
        <x:v>complexity_formula</x:v>
      </x:c>
      <x:c r="E598" s="16" t="str">
        <x:f>'Experiment_Coding_KT004'!BL8</x:f>
        <x:v>NR</x:v>
      </x:c>
      <x:c r="F598" s="16" t="str">
        <x:f>'Experiment_Coding_KT004'!BR8</x:f>
        <x:v>Sec. 3 Datasets; Appendix A; Table 2; Table 1; Appendix B</x:v>
      </x:c>
      <x:c r="G598" s="16" t="str">
        <x:v>HIGH</x:v>
      </x:c>
      <x:c r="H598" s="16" t="str">
        <x:v>N</x:v>
      </x:c>
      <x:c r="I598" s="16" t="str">
        <x:v>Coder A worked example</x:v>
      </x:c>
    </x:row>
    <x:row r="599">
      <x:c r="A599" s="16" t="n">
        <x:v>598</x:v>
      </x:c>
      <x:c r="B599" s="16" t="str">
        <x:v>EXPERIMENT</x:v>
      </x:c>
      <x:c r="C599" s="16" t="str">
        <x:f>'Experiment_Coding_KT004'!A8</x:f>
        <x:v>PILOT_01_E07</x:v>
      </x:c>
      <x:c r="D599" s="16" t="str">
        <x:v>scale_up_experiment</x:v>
      </x:c>
      <x:c r="E599" s="16" t="str">
        <x:f>'Experiment_Coding_KT004'!BM8</x:f>
        <x:v>N</x:v>
      </x:c>
      <x:c r="F599" s="16" t="str">
        <x:f>'Experiment_Coding_KT004'!BR8</x:f>
        <x:v>Sec. 3 Datasets; Appendix A; Table 2; Table 1; Appendix B</x:v>
      </x:c>
      <x:c r="G599" s="16" t="str">
        <x:v>HIGH</x:v>
      </x:c>
      <x:c r="H599" s="16" t="str">
        <x:v>Y</x:v>
      </x:c>
      <x:c r="I599" s="16" t="str">
        <x:v>Coder A worked example</x:v>
      </x:c>
    </x:row>
    <x:row r="600">
      <x:c r="A600" s="16" t="n">
        <x:v>599</x:v>
      </x:c>
      <x:c r="B600" s="16" t="str">
        <x:v>EXPERIMENT</x:v>
      </x:c>
      <x:c r="C600" s="16" t="str">
        <x:f>'Experiment_Coding_KT004'!A8</x:f>
        <x:v>PILOT_01_E07</x:v>
      </x:c>
      <x:c r="D600" s="16" t="str">
        <x:v>oom_timeout_reported</x:v>
      </x:c>
      <x:c r="E600" s="16" t="str">
        <x:f>'Experiment_Coding_KT004'!BN8</x:f>
        <x:v>NR</x:v>
      </x:c>
      <x:c r="F600" s="16" t="str">
        <x:f>'Experiment_Coding_KT004'!BR8</x:f>
        <x:v>Sec. 3 Datasets; Appendix A; Table 2; Table 1; Appendix B</x:v>
      </x:c>
      <x:c r="G600" s="16" t="str">
        <x:v>HIGH</x:v>
      </x:c>
      <x:c r="H600" s="16" t="str">
        <x:v>Y</x:v>
      </x:c>
      <x:c r="I600" s="16" t="str">
        <x:v>Coder A worked example</x:v>
      </x:c>
    </x:row>
    <x:row r="601">
      <x:c r="A601" s="16" t="n">
        <x:v>600</x:v>
      </x:c>
      <x:c r="B601" s="16" t="str">
        <x:v>EXPERIMENT</x:v>
      </x:c>
      <x:c r="C601" s="16" t="str">
        <x:f>'Experiment_Coding_KT004'!A9</x:f>
        <x:v>PILOT_01_E08</x:v>
      </x:c>
      <x:c r="D601" s="16" t="str">
        <x:v>dataset_name</x:v>
      </x:c>
      <x:c r="E601" s="16" t="str">
        <x:f>'Experiment_Coding_KT004'!D9</x:f>
        <x:v>KDDCup</x:v>
      </x:c>
      <x:c r="F601" s="16" t="str">
        <x:f>'Experiment_Coding_KT004'!BR9</x:f>
        <x:v>Sec. 3 Datasets; Appendix A; Table 2; Table 1; Appendix B</x:v>
      </x:c>
      <x:c r="G601" s="16" t="str">
        <x:v>HIGH</x:v>
      </x:c>
      <x:c r="H601" s="16" t="str">
        <x:v>N</x:v>
      </x:c>
      <x:c r="I601" s="16" t="str">
        <x:v>Coder A worked example</x:v>
      </x:c>
    </x:row>
    <x:row r="602">
      <x:c r="A602" s="16" t="n">
        <x:v>601</x:v>
      </x:c>
      <x:c r="B602" s="16" t="str">
        <x:v>EXPERIMENT</x:v>
      </x:c>
      <x:c r="C602" s="16" t="str">
        <x:f>'Experiment_Coding_KT004'!A9</x:f>
        <x:v>PILOT_01_E08</x:v>
      </x:c>
      <x:c r="D602" s="16" t="str">
        <x:v>dataset_version</x:v>
      </x:c>
      <x:c r="E602" s="16" t="str">
        <x:f>'Experiment_Coding_KT004'!E9</x:f>
        <x:v>Bridge to Algebra 2006-2007</x:v>
      </x:c>
      <x:c r="F602" s="16" t="str">
        <x:f>'Experiment_Coding_KT004'!BR9</x:f>
        <x:v>Sec. 3 Datasets; Appendix A; Table 2; Table 1; Appendix B</x:v>
      </x:c>
      <x:c r="G602" s="16" t="str">
        <x:v>HIGH</x:v>
      </x:c>
      <x:c r="H602" s="16" t="str">
        <x:v>N</x:v>
      </x:c>
      <x:c r="I602" s="16" t="str">
        <x:v>Coder A worked example</x:v>
      </x:c>
    </x:row>
    <x:row r="603">
      <x:c r="A603" s="16" t="n">
        <x:v>602</x:v>
      </x:c>
      <x:c r="B603" s="16" t="str">
        <x:v>EXPERIMENT</x:v>
      </x:c>
      <x:c r="C603" s="16" t="str">
        <x:f>'Experiment_Coding_KT004'!A9</x:f>
        <x:v>PILOT_01_E08</x:v>
      </x:c>
      <x:c r="D603" s="16" t="str">
        <x:v>n_learners_reported</x:v>
      </x:c>
      <x:c r="E603" s="16" t="n">
        <x:f>'Experiment_Coding_KT004'!G9</x:f>
        <x:v>1000</x:v>
      </x:c>
      <x:c r="F603" s="16" t="str">
        <x:f>'Experiment_Coding_KT004'!BR9</x:f>
        <x:v>Sec. 3 Datasets; Appendix A; Table 2; Table 1; Appendix B</x:v>
      </x:c>
      <x:c r="G603" s="16" t="str">
        <x:v>HIGH</x:v>
      </x:c>
      <x:c r="H603" s="16" t="str">
        <x:v>N</x:v>
      </x:c>
      <x:c r="I603" s="16" t="str">
        <x:v>Coder A worked example</x:v>
      </x:c>
    </x:row>
    <x:row r="604">
      <x:c r="A604" s="16" t="n">
        <x:v>603</x:v>
      </x:c>
      <x:c r="B604" s="16" t="str">
        <x:v>EXPERIMENT</x:v>
      </x:c>
      <x:c r="C604" s="16" t="str">
        <x:f>'Experiment_Coding_KT004'!A9</x:f>
        <x:v>PILOT_01_E08</x:v>
      </x:c>
      <x:c r="D604" s="16" t="str">
        <x:v>n_items_reported</x:v>
      </x:c>
      <x:c r="E604" s="16" t="str">
        <x:f>'Experiment_Coding_KT004'!H9</x:f>
        <x:v>NR</x:v>
      </x:c>
      <x:c r="F604" s="16" t="str">
        <x:f>'Experiment_Coding_KT004'!BR9</x:f>
        <x:v>Sec. 3 Datasets; Appendix A; Table 2; Table 1; Appendix B</x:v>
      </x:c>
      <x:c r="G604" s="16" t="str">
        <x:v>HIGH</x:v>
      </x:c>
      <x:c r="H604" s="16" t="str">
        <x:v>N</x:v>
      </x:c>
      <x:c r="I604" s="16" t="str">
        <x:v>Coder A worked example</x:v>
      </x:c>
    </x:row>
    <x:row r="605">
      <x:c r="A605" s="16" t="n">
        <x:v>604</x:v>
      </x:c>
      <x:c r="B605" s="16" t="str">
        <x:v>EXPERIMENT</x:v>
      </x:c>
      <x:c r="C605" s="16" t="str">
        <x:f>'Experiment_Coding_KT004'!A9</x:f>
        <x:v>PILOT_01_E08</x:v>
      </x:c>
      <x:c r="D605" s="16" t="str">
        <x:v>n_kcs_reported</x:v>
      </x:c>
      <x:c r="E605" s="16" t="n">
        <x:f>'Experiment_Coding_KT004'!I9</x:f>
        <x:v>211</x:v>
      </x:c>
      <x:c r="F605" s="16" t="str">
        <x:f>'Experiment_Coding_KT004'!BR9</x:f>
        <x:v>Sec. 3 Datasets; Appendix A; Table 2; Table 1; Appendix B</x:v>
      </x:c>
      <x:c r="G605" s="16" t="str">
        <x:v>HIGH</x:v>
      </x:c>
      <x:c r="H605" s="16" t="str">
        <x:v>N</x:v>
      </x:c>
      <x:c r="I605" s="16" t="str">
        <x:v>Coder A worked example</x:v>
      </x:c>
    </x:row>
    <x:row r="606">
      <x:c r="A606" s="16" t="n">
        <x:v>605</x:v>
      </x:c>
      <x:c r="B606" s="16" t="str">
        <x:v>EXPERIMENT</x:v>
      </x:c>
      <x:c r="C606" s="16" t="str">
        <x:f>'Experiment_Coding_KT004'!A9</x:f>
        <x:v>PILOT_01_E08</x:v>
      </x:c>
      <x:c r="D606" s="16" t="str">
        <x:v>n_interactions_reported</x:v>
      </x:c>
      <x:c r="E606" s="16" t="n">
        <x:f>'Experiment_Coding_KT004'!J9</x:f>
        <x:v>98200</x:v>
      </x:c>
      <x:c r="F606" s="16" t="str">
        <x:f>'Experiment_Coding_KT004'!BR9</x:f>
        <x:v>Sec. 3 Datasets; Appendix A; Table 2; Table 1; Appendix B</x:v>
      </x:c>
      <x:c r="G606" s="16" t="str">
        <x:v>HIGH</x:v>
      </x:c>
      <x:c r="H606" s="16" t="str">
        <x:v>N</x:v>
      </x:c>
      <x:c r="I606" s="16" t="str">
        <x:v>Coder A worked example</x:v>
      </x:c>
    </x:row>
    <x:row r="607">
      <x:c r="A607" s="16" t="n">
        <x:v>606</x:v>
      </x:c>
      <x:c r="B607" s="16" t="str">
        <x:v>EXPERIMENT</x:v>
      </x:c>
      <x:c r="C607" s="16" t="str">
        <x:f>'Experiment_Coding_KT004'!A9</x:f>
        <x:v>PILOT_01_E08</x:v>
      </x:c>
      <x:c r="D607" s="16" t="str">
        <x:v>multi_skill_present</x:v>
      </x:c>
      <x:c r="E607" s="16" t="str">
        <x:f>'Experiment_Coding_KT004'!K9</x:f>
        <x:v>UNCLEAR</x:v>
      </x:c>
      <x:c r="F607" s="16" t="str">
        <x:f>'Experiment_Coding_KT004'!BR9</x:f>
        <x:v>Sec. 3 Datasets; Appendix A; Table 2; Table 1; Appendix B</x:v>
      </x:c>
      <x:c r="G607" s="16" t="str">
        <x:v>HIGH</x:v>
      </x:c>
      <x:c r="H607" s="16" t="str">
        <x:v>Y</x:v>
      </x:c>
      <x:c r="I607" s="16" t="str">
        <x:v>Coder A worked example</x:v>
      </x:c>
    </x:row>
    <x:row r="608">
      <x:c r="A608" s="16" t="n">
        <x:v>607</x:v>
      </x:c>
      <x:c r="B608" s="16" t="str">
        <x:v>EXPERIMENT</x:v>
      </x:c>
      <x:c r="C608" s="16" t="str">
        <x:f>'Experiment_Coding_KT004'!A9</x:f>
        <x:v>PILOT_01_E08</x:v>
      </x:c>
      <x:c r="D608" s="16" t="str">
        <x:v>multi_skill_handling</x:v>
      </x:c>
      <x:c r="E608" s="16" t="str">
        <x:f>'Experiment_Coding_KT004'!L9</x:f>
        <x:v>Combine simultaneous answer logs into one; extract named skill tags</x:v>
      </x:c>
      <x:c r="F608" s="16" t="str">
        <x:f>'Experiment_Coding_KT004'!BR9</x:f>
        <x:v>Sec. 3 Datasets; Appendix A; Table 2; Table 1; Appendix B</x:v>
      </x:c>
      <x:c r="G608" s="16" t="str">
        <x:v>HIGH</x:v>
      </x:c>
      <x:c r="H608" s="16" t="str">
        <x:v>N</x:v>
      </x:c>
      <x:c r="I608" s="16" t="str">
        <x:v>Coder A worked example</x:v>
      </x:c>
    </x:row>
    <x:row r="609">
      <x:c r="A609" s="16" t="n">
        <x:v>608</x:v>
      </x:c>
      <x:c r="B609" s="16" t="str">
        <x:v>EXPERIMENT</x:v>
      </x:c>
      <x:c r="C609" s="16" t="str">
        <x:f>'Experiment_Coding_KT004'!A9</x:f>
        <x:v>PILOT_01_E08</x:v>
      </x:c>
      <x:c r="D609" s="16" t="str">
        <x:v>sequence_truncation</x:v>
      </x:c>
      <x:c r="E609" s="16" t="str">
        <x:f>'Experiment_Coding_KT004'!M9</x:f>
        <x:v>NR</x:v>
      </x:c>
      <x:c r="F609" s="16" t="str">
        <x:f>'Experiment_Coding_KT004'!BR9</x:f>
        <x:v>Sec. 3 Datasets; Appendix A; Table 2; Table 1; Appendix B</x:v>
      </x:c>
      <x:c r="G609" s="16" t="str">
        <x:v>HIGH</x:v>
      </x:c>
      <x:c r="H609" s="16" t="str">
        <x:v>N</x:v>
      </x:c>
      <x:c r="I609" s="16" t="str">
        <x:v>Coder A worked example</x:v>
      </x:c>
    </x:row>
    <x:row r="610">
      <x:c r="A610" s="16" t="n">
        <x:v>609</x:v>
      </x:c>
      <x:c r="B610" s="16" t="str">
        <x:v>EXPERIMENT</x:v>
      </x:c>
      <x:c r="C610" s="16" t="str">
        <x:f>'Experiment_Coding_KT004'!A9</x:f>
        <x:v>PILOT_01_E08</x:v>
      </x:c>
      <x:c r="D610" s="16" t="str">
        <x:v>min_sequence_filter</x:v>
      </x:c>
      <x:c r="E610" s="16" t="str">
        <x:f>'Experiment_Coding_KT004'!N9</x:f>
        <x:v>NR</x:v>
      </x:c>
      <x:c r="F610" s="16" t="str">
        <x:f>'Experiment_Coding_KT004'!BR9</x:f>
        <x:v>Sec. 3 Datasets; Appendix A; Table 2; Table 1; Appendix B</x:v>
      </x:c>
      <x:c r="G610" s="16" t="str">
        <x:v>HIGH</x:v>
      </x:c>
      <x:c r="H610" s="16" t="str">
        <x:v>N</x:v>
      </x:c>
      <x:c r="I610" s="16" t="str">
        <x:v>Coder A worked example</x:v>
      </x:c>
    </x:row>
    <x:row r="611">
      <x:c r="A611" s="16" t="n">
        <x:v>610</x:v>
      </x:c>
      <x:c r="B611" s="16" t="str">
        <x:v>EXPERIMENT</x:v>
      </x:c>
      <x:c r="C611" s="16" t="str">
        <x:f>'Experiment_Coding_KT004'!A9</x:f>
        <x:v>PILOT_01_E08</x:v>
      </x:c>
      <x:c r="D611" s="16" t="str">
        <x:v>timestamp_used</x:v>
      </x:c>
      <x:c r="E611" s="16" t="str">
        <x:f>'Experiment_Coding_KT004'!O9</x:f>
        <x:v>UNCLEAR</x:v>
      </x:c>
      <x:c r="F611" s="16" t="str">
        <x:f>'Experiment_Coding_KT004'!BR9</x:f>
        <x:v>Sec. 3 Datasets; Appendix A; Table 2; Table 1; Appendix B</x:v>
      </x:c>
      <x:c r="G611" s="16" t="str">
        <x:v>HIGH</x:v>
      </x:c>
      <x:c r="H611" s="16" t="str">
        <x:v>Y</x:v>
      </x:c>
      <x:c r="I611" s="16" t="str">
        <x:v>Coder A worked example</x:v>
      </x:c>
    </x:row>
    <x:row r="612">
      <x:c r="A612" s="16" t="n">
        <x:v>611</x:v>
      </x:c>
      <x:c r="B612" s="16" t="str">
        <x:v>EXPERIMENT</x:v>
      </x:c>
      <x:c r="C612" s="16" t="str">
        <x:f>'Experiment_Coding_KT004'!A9</x:f>
        <x:v>PILOT_01_E08</x:v>
      </x:c>
      <x:c r="D612" s="16" t="str">
        <x:v>preprocessing_code_available</x:v>
      </x:c>
      <x:c r="E612" s="16" t="str">
        <x:f>'Experiment_Coding_KT004'!P9</x:f>
        <x:v>NR</x:v>
      </x:c>
      <x:c r="F612" s="16" t="str">
        <x:f>'Experiment_Coding_KT004'!BR9</x:f>
        <x:v>Sec. 3 Datasets; Appendix A; Table 2; Table 1; Appendix B</x:v>
      </x:c>
      <x:c r="G612" s="16" t="str">
        <x:v>HIGH</x:v>
      </x:c>
      <x:c r="H612" s="16" t="str">
        <x:v>Y</x:v>
      </x:c>
      <x:c r="I612" s="16" t="str">
        <x:v>Coder A worked example</x:v>
      </x:c>
    </x:row>
    <x:row r="613">
      <x:c r="A613" s="16" t="n">
        <x:v>612</x:v>
      </x:c>
      <x:c r="B613" s="16" t="str">
        <x:v>EXPERIMENT</x:v>
      </x:c>
      <x:c r="C613" s="16" t="str">
        <x:f>'Experiment_Coding_KT004'!A9</x:f>
        <x:v>PILOT_01_E08</x:v>
      </x:c>
      <x:c r="D613" s="16" t="str">
        <x:v>split_type</x:v>
      </x:c>
      <x:c r="E613" s="16" t="str">
        <x:f>'Experiment_Coding_KT004'!Q9</x:f>
        <x:v>LEARNER_BASED</x:v>
      </x:c>
      <x:c r="F613" s="16" t="str">
        <x:f>'Experiment_Coding_KT004'!BR9</x:f>
        <x:v>Sec. 3 Datasets; Appendix A; Table 2; Table 1; Appendix B</x:v>
      </x:c>
      <x:c r="G613" s="16" t="str">
        <x:v>HIGH</x:v>
      </x:c>
      <x:c r="H613" s="16" t="str">
        <x:v>Y</x:v>
      </x:c>
      <x:c r="I613" s="16" t="str">
        <x:v>Coder A worked example</x:v>
      </x:c>
    </x:row>
    <x:row r="614">
      <x:c r="A614" s="16" t="n">
        <x:v>613</x:v>
      </x:c>
      <x:c r="B614" s="16" t="str">
        <x:v>EXPERIMENT</x:v>
      </x:c>
      <x:c r="C614" s="16" t="str">
        <x:f>'Experiment_Coding_KT004'!A9</x:f>
        <x:v>PILOT_01_E08</x:v>
      </x:c>
      <x:c r="D614" s="16" t="str">
        <x:v>split_unit_original</x:v>
      </x:c>
      <x:c r="E614" s="16" t="str">
        <x:f>'Experiment_Coding_KT004'!R9</x:f>
        <x:v>students</x:v>
      </x:c>
      <x:c r="F614" s="16" t="str">
        <x:f>'Experiment_Coding_KT004'!BR9</x:f>
        <x:v>Sec. 3 Datasets; Appendix A; Table 2; Table 1; Appendix B</x:v>
      </x:c>
      <x:c r="G614" s="16" t="str">
        <x:v>HIGH</x:v>
      </x:c>
      <x:c r="H614" s="16" t="str">
        <x:v>N</x:v>
      </x:c>
      <x:c r="I614" s="16" t="str">
        <x:v>Coder A worked example</x:v>
      </x:c>
    </x:row>
    <x:row r="615">
      <x:c r="A615" s="16" t="n">
        <x:v>614</x:v>
      </x:c>
      <x:c r="B615" s="16" t="str">
        <x:v>EXPERIMENT</x:v>
      </x:c>
      <x:c r="C615" s="16" t="str">
        <x:f>'Experiment_Coding_KT004'!A9</x:f>
        <x:v>PILOT_01_E08</x:v>
      </x:c>
      <x:c r="D615" s="16" t="str">
        <x:v>train_fraction</x:v>
      </x:c>
      <x:c r="E615" s="16" t="n">
        <x:f>'Experiment_Coding_KT004'!S9</x:f>
        <x:v>0.8</x:v>
      </x:c>
      <x:c r="F615" s="16" t="str">
        <x:f>'Experiment_Coding_KT004'!BR9</x:f>
        <x:v>Sec. 3 Datasets; Appendix A; Table 2; Table 1; Appendix B</x:v>
      </x:c>
      <x:c r="G615" s="16" t="str">
        <x:v>HIGH</x:v>
      </x:c>
      <x:c r="H615" s="16" t="str">
        <x:v>N</x:v>
      </x:c>
      <x:c r="I615" s="16" t="str">
        <x:v>Coder A worked example</x:v>
      </x:c>
    </x:row>
    <x:row r="616">
      <x:c r="A616" s="16" t="n">
        <x:v>615</x:v>
      </x:c>
      <x:c r="B616" s="16" t="str">
        <x:v>EXPERIMENT</x:v>
      </x:c>
      <x:c r="C616" s="16" t="str">
        <x:f>'Experiment_Coding_KT004'!A9</x:f>
        <x:v>PILOT_01_E08</x:v>
      </x:c>
      <x:c r="D616" s="16" t="str">
        <x:v>validation_fraction</x:v>
      </x:c>
      <x:c r="E616" s="16" t="n">
        <x:f>'Experiment_Coding_KT004'!T9</x:f>
        <x:v>0.1</x:v>
      </x:c>
      <x:c r="F616" s="16" t="str">
        <x:f>'Experiment_Coding_KT004'!BR9</x:f>
        <x:v>Sec. 3 Datasets; Appendix A; Table 2; Table 1; Appendix B</x:v>
      </x:c>
      <x:c r="G616" s="16" t="str">
        <x:v>HIGH</x:v>
      </x:c>
      <x:c r="H616" s="16" t="str">
        <x:v>N</x:v>
      </x:c>
      <x:c r="I616" s="16" t="str">
        <x:v>Coder A worked example</x:v>
      </x:c>
    </x:row>
    <x:row r="617">
      <x:c r="A617" s="16" t="n">
        <x:v>616</x:v>
      </x:c>
      <x:c r="B617" s="16" t="str">
        <x:v>EXPERIMENT</x:v>
      </x:c>
      <x:c r="C617" s="16" t="str">
        <x:f>'Experiment_Coding_KT004'!A9</x:f>
        <x:v>PILOT_01_E08</x:v>
      </x:c>
      <x:c r="D617" s="16" t="str">
        <x:v>test_fraction</x:v>
      </x:c>
      <x:c r="E617" s="16" t="n">
        <x:f>'Experiment_Coding_KT004'!U9</x:f>
        <x:v>0.1</x:v>
      </x:c>
      <x:c r="F617" s="16" t="str">
        <x:f>'Experiment_Coding_KT004'!BR9</x:f>
        <x:v>Sec. 3 Datasets; Appendix A; Table 2; Table 1; Appendix B</x:v>
      </x:c>
      <x:c r="G617" s="16" t="str">
        <x:v>HIGH</x:v>
      </x:c>
      <x:c r="H617" s="16" t="str">
        <x:v>N</x:v>
      </x:c>
      <x:c r="I617" s="16" t="str">
        <x:v>Coder A worked example</x:v>
      </x:c>
    </x:row>
    <x:row r="618">
      <x:c r="A618" s="16" t="n">
        <x:v>617</x:v>
      </x:c>
      <x:c r="B618" s="16" t="str">
        <x:v>EXPERIMENT</x:v>
      </x:c>
      <x:c r="C618" s="16" t="str">
        <x:f>'Experiment_Coding_KT004'!A9</x:f>
        <x:v>PILOT_01_E08</x:v>
      </x:c>
      <x:c r="D618" s="16" t="str">
        <x:v>validation_set_separate</x:v>
      </x:c>
      <x:c r="E618" s="16" t="str">
        <x:f>'Experiment_Coding_KT004'!V9</x:f>
        <x:v>Y</x:v>
      </x:c>
      <x:c r="F618" s="16" t="str">
        <x:f>'Experiment_Coding_KT004'!BR9</x:f>
        <x:v>Sec. 3 Datasets; Appendix A; Table 2; Table 1; Appendix B</x:v>
      </x:c>
      <x:c r="G618" s="16" t="str">
        <x:v>HIGH</x:v>
      </x:c>
      <x:c r="H618" s="16" t="str">
        <x:v>Y</x:v>
      </x:c>
      <x:c r="I618" s="16" t="str">
        <x:v>Coder A worked example</x:v>
      </x:c>
    </x:row>
    <x:row r="619">
      <x:c r="A619" s="16" t="n">
        <x:v>618</x:v>
      </x:c>
      <x:c r="B619" s="16" t="str">
        <x:v>EXPERIMENT</x:v>
      </x:c>
      <x:c r="C619" s="16" t="str">
        <x:f>'Experiment_Coding_KT004'!A9</x:f>
        <x:v>PILOT_01_E08</x:v>
      </x:c>
      <x:c r="D619" s="16" t="str">
        <x:v>early_stopping_validation_only</x:v>
      </x:c>
      <x:c r="E619" s="16" t="str">
        <x:f>'Experiment_Coding_KT004'!W9</x:f>
        <x:v>UNCLEAR</x:v>
      </x:c>
      <x:c r="F619" s="16" t="str">
        <x:f>'Experiment_Coding_KT004'!BR9</x:f>
        <x:v>Sec. 3 Datasets; Appendix A; Table 2; Table 1; Appendix B</x:v>
      </x:c>
      <x:c r="G619" s="16" t="str">
        <x:v>HIGH</x:v>
      </x:c>
      <x:c r="H619" s="16" t="str">
        <x:v>Y</x:v>
      </x:c>
      <x:c r="I619" s="16" t="str">
        <x:v>Coder A worked example</x:v>
      </x:c>
    </x:row>
    <x:row r="620">
      <x:c r="A620" s="16" t="n">
        <x:v>619</x:v>
      </x:c>
      <x:c r="B620" s="16" t="str">
        <x:v>EXPERIMENT</x:v>
      </x:c>
      <x:c r="C620" s="16" t="str">
        <x:f>'Experiment_Coding_KT004'!A9</x:f>
        <x:v>PILOT_01_E08</x:v>
      </x:c>
      <x:c r="D620" s="16" t="str">
        <x:v>graph_train_only</x:v>
      </x:c>
      <x:c r="E620" s="16" t="str">
        <x:f>'Experiment_Coding_KT004'!X9</x:f>
        <x:v>Y</x:v>
      </x:c>
      <x:c r="F620" s="16" t="str">
        <x:f>'Experiment_Coding_KT004'!BR9</x:f>
        <x:v>Sec. 3 Datasets; Appendix A; Table 2; Table 1; Appendix B</x:v>
      </x:c>
      <x:c r="G620" s="16" t="str">
        <x:v>HIGH</x:v>
      </x:c>
      <x:c r="H620" s="16" t="str">
        <x:v>Y</x:v>
      </x:c>
      <x:c r="I620" s="16" t="str">
        <x:v>Coder A worked example</x:v>
      </x:c>
    </x:row>
    <x:row r="621">
      <x:c r="A621" s="16" t="n">
        <x:v>620</x:v>
      </x:c>
      <x:c r="B621" s="16" t="str">
        <x:v>EXPERIMENT</x:v>
      </x:c>
      <x:c r="C621" s="16" t="str">
        <x:f>'Experiment_Coding_KT004'!A9</x:f>
        <x:v>PILOT_01_E08</x:v>
      </x:c>
      <x:c r="D621" s="16" t="str">
        <x:v>normalization_train_only</x:v>
      </x:c>
      <x:c r="E621" s="16" t="str">
        <x:f>'Experiment_Coding_KT004'!Y9</x:f>
        <x:v>NR</x:v>
      </x:c>
      <x:c r="F621" s="16" t="str">
        <x:f>'Experiment_Coding_KT004'!BR9</x:f>
        <x:v>Sec. 3 Datasets; Appendix A; Table 2; Table 1; Appendix B</x:v>
      </x:c>
      <x:c r="G621" s="16" t="str">
        <x:v>HIGH</x:v>
      </x:c>
      <x:c r="H621" s="16" t="str">
        <x:v>Y</x:v>
      </x:c>
      <x:c r="I621" s="16" t="str">
        <x:v>Coder A worked example</x:v>
      </x:c>
    </x:row>
    <x:row r="622">
      <x:c r="A622" s="16" t="n">
        <x:v>621</x:v>
      </x:c>
      <x:c r="B622" s="16" t="str">
        <x:v>EXPERIMENT</x:v>
      </x:c>
      <x:c r="C622" s="16" t="str">
        <x:f>'Experiment_Coding_KT004'!A9</x:f>
        <x:v>PILOT_01_E08</x:v>
      </x:c>
      <x:c r="D622" s="16" t="str">
        <x:v>sparse_strata_train_only</x:v>
      </x:c>
      <x:c r="E622" s="16" t="str">
        <x:f>'Experiment_Coding_KT004'!Z9</x:f>
        <x:v>NA</x:v>
      </x:c>
      <x:c r="F622" s="16" t="str">
        <x:f>'Experiment_Coding_KT004'!BR9</x:f>
        <x:v>Sec. 3 Datasets; Appendix A; Table 2; Table 1; Appendix B</x:v>
      </x:c>
      <x:c r="G622" s="16" t="str">
        <x:v>HIGH</x:v>
      </x:c>
      <x:c r="H622" s="16" t="str">
        <x:v>Y</x:v>
      </x:c>
      <x:c r="I622" s="16" t="str">
        <x:v>Coder A worked example</x:v>
      </x:c>
    </x:row>
    <x:row r="623">
      <x:c r="A623" s="16" t="n">
        <x:v>622</x:v>
      </x:c>
      <x:c r="B623" s="16" t="str">
        <x:v>EXPERIMENT</x:v>
      </x:c>
      <x:c r="C623" s="16" t="str">
        <x:f>'Experiment_Coding_KT004'!A9</x:f>
        <x:v>PILOT_01_E08</x:v>
      </x:c>
      <x:c r="D623" s="16" t="str">
        <x:v>temporal_alignment_audited</x:v>
      </x:c>
      <x:c r="E623" s="16" t="str">
        <x:f>'Experiment_Coding_KT004'!AA9</x:f>
        <x:v>NR</x:v>
      </x:c>
      <x:c r="F623" s="16" t="str">
        <x:f>'Experiment_Coding_KT004'!BR9</x:f>
        <x:v>Sec. 3 Datasets; Appendix A; Table 2; Table 1; Appendix B</x:v>
      </x:c>
      <x:c r="G623" s="16" t="str">
        <x:v>HIGH</x:v>
      </x:c>
      <x:c r="H623" s="16" t="str">
        <x:v>Y</x:v>
      </x:c>
      <x:c r="I623" s="16" t="str">
        <x:v>Coder A worked example</x:v>
      </x:c>
    </x:row>
    <x:row r="624">
      <x:c r="A624" s="16" t="n">
        <x:v>623</x:v>
      </x:c>
      <x:c r="B624" s="16" t="str">
        <x:v>EXPERIMENT</x:v>
      </x:c>
      <x:c r="C624" s="16" t="str">
        <x:f>'Experiment_Coding_KT004'!A9</x:f>
        <x:v>PILOT_01_E08</x:v>
      </x:c>
      <x:c r="D624" s="16" t="str">
        <x:v>duplicate_entity_leakage_checked</x:v>
      </x:c>
      <x:c r="E624" s="16" t="str">
        <x:f>'Experiment_Coding_KT004'!AB9</x:f>
        <x:v>NR</x:v>
      </x:c>
      <x:c r="F624" s="16" t="str">
        <x:f>'Experiment_Coding_KT004'!BR9</x:f>
        <x:v>Sec. 3 Datasets; Appendix A; Table 2; Table 1; Appendix B</x:v>
      </x:c>
      <x:c r="G624" s="16" t="str">
        <x:v>HIGH</x:v>
      </x:c>
      <x:c r="H624" s="16" t="str">
        <x:v>Y</x:v>
      </x:c>
      <x:c r="I624" s="16" t="str">
        <x:v>Coder A worked example</x:v>
      </x:c>
    </x:row>
    <x:row r="625">
      <x:c r="A625" s="16" t="n">
        <x:v>624</x:v>
      </x:c>
      <x:c r="B625" s="16" t="str">
        <x:v>EXPERIMENT</x:v>
      </x:c>
      <x:c r="C625" s="16" t="str">
        <x:f>'Experiment_Coding_KT004'!A9</x:f>
        <x:v>PILOT_01_E08</x:v>
      </x:c>
      <x:c r="D625" s="16" t="str">
        <x:v>sparsity_construct</x:v>
      </x:c>
      <x:c r="E625" s="16" t="str">
        <x:f>'Experiment_Coding_KT004'!AC9</x:f>
        <x:v>NO_EXPLICIT_FOCUS</x:v>
      </x:c>
      <x:c r="F625" s="16" t="str">
        <x:f>'Experiment_Coding_KT004'!BR9</x:f>
        <x:v>Sec. 3 Datasets; Appendix A; Table 2; Table 1; Appendix B</x:v>
      </x:c>
      <x:c r="G625" s="16" t="str">
        <x:v>HIGH</x:v>
      </x:c>
      <x:c r="H625" s="16" t="str">
        <x:v>Y</x:v>
      </x:c>
      <x:c r="I625" s="16" t="str">
        <x:v>Coder A worked example</x:v>
      </x:c>
    </x:row>
    <x:row r="626">
      <x:c r="A626" s="16" t="n">
        <x:v>625</x:v>
      </x:c>
      <x:c r="B626" s="16" t="str">
        <x:v>EXPERIMENT</x:v>
      </x:c>
      <x:c r="C626" s="16" t="str">
        <x:f>'Experiment_Coding_KT004'!A9</x:f>
        <x:v>PILOT_01_E08</x:v>
      </x:c>
      <x:c r="D626" s="16" t="str">
        <x:v>sparse_definition_original</x:v>
      </x:c>
      <x:c r="E626" s="16" t="str">
        <x:f>'Experiment_Coding_KT004'!AD9</x:f>
        <x:v>NA</x:v>
      </x:c>
      <x:c r="F626" s="16" t="str">
        <x:f>'Experiment_Coding_KT004'!BR9</x:f>
        <x:v>Sec. 3 Datasets; Appendix A; Table 2; Table 1; Appendix B</x:v>
      </x:c>
      <x:c r="G626" s="16" t="str">
        <x:v>HIGH</x:v>
      </x:c>
      <x:c r="H626" s="16" t="str">
        <x:v>N</x:v>
      </x:c>
      <x:c r="I626" s="16" t="str">
        <x:v>Coder A worked example</x:v>
      </x:c>
    </x:row>
    <x:row r="627">
      <x:c r="A627" s="16" t="n">
        <x:v>626</x:v>
      </x:c>
      <x:c r="B627" s="16" t="str">
        <x:v>EXPERIMENT</x:v>
      </x:c>
      <x:c r="C627" s="16" t="str">
        <x:f>'Experiment_Coding_KT004'!A9</x:f>
        <x:v>PILOT_01_E08</x:v>
      </x:c>
      <x:c r="D627" s="16" t="str">
        <x:v>sparse_threshold_original</x:v>
      </x:c>
      <x:c r="E627" s="16" t="str">
        <x:f>'Experiment_Coding_KT004'!AE9</x:f>
        <x:v>NA</x:v>
      </x:c>
      <x:c r="F627" s="16" t="str">
        <x:f>'Experiment_Coding_KT004'!BR9</x:f>
        <x:v>Sec. 3 Datasets; Appendix A; Table 2; Table 1; Appendix B</x:v>
      </x:c>
      <x:c r="G627" s="16" t="str">
        <x:v>HIGH</x:v>
      </x:c>
      <x:c r="H627" s="16" t="str">
        <x:v>N</x:v>
      </x:c>
      <x:c r="I627" s="16" t="str">
        <x:v>Coder A worked example</x:v>
      </x:c>
    </x:row>
    <x:row r="628">
      <x:c r="A628" s="16" t="n">
        <x:v>627</x:v>
      </x:c>
      <x:c r="B628" s="16" t="str">
        <x:v>EXPERIMENT</x:v>
      </x:c>
      <x:c r="C628" s="16" t="str">
        <x:f>'Experiment_Coding_KT004'!A9</x:f>
        <x:v>PILOT_01_E08</x:v>
      </x:c>
      <x:c r="D628" s="16" t="str">
        <x:v>threshold_source</x:v>
      </x:c>
      <x:c r="E628" s="16" t="str">
        <x:f>'Experiment_Coding_KT004'!AF9</x:f>
        <x:v>NA</x:v>
      </x:c>
      <x:c r="F628" s="16" t="str">
        <x:f>'Experiment_Coding_KT004'!BR9</x:f>
        <x:v>Sec. 3 Datasets; Appendix A; Table 2; Table 1; Appendix B</x:v>
      </x:c>
      <x:c r="G628" s="16" t="str">
        <x:v>HIGH</x:v>
      </x:c>
      <x:c r="H628" s="16" t="str">
        <x:v>Y</x:v>
      </x:c>
      <x:c r="I628" s="16" t="str">
        <x:v>Coder A worked example</x:v>
      </x:c>
    </x:row>
    <x:row r="629">
      <x:c r="A629" s="16" t="n">
        <x:v>628</x:v>
      </x:c>
      <x:c r="B629" s="16" t="str">
        <x:v>EXPERIMENT</x:v>
      </x:c>
      <x:c r="C629" s="16" t="str">
        <x:f>'Experiment_Coding_KT004'!A9</x:f>
        <x:v>PILOT_01_E08</x:v>
      </x:c>
      <x:c r="D629" s="16" t="str">
        <x:v>frequency_computed_on</x:v>
      </x:c>
      <x:c r="E629" s="16" t="str">
        <x:f>'Experiment_Coding_KT004'!AG9</x:f>
        <x:v>NA</x:v>
      </x:c>
      <x:c r="F629" s="16" t="str">
        <x:f>'Experiment_Coding_KT004'!BR9</x:f>
        <x:v>Sec. 3 Datasets; Appendix A; Table 2; Table 1; Appendix B</x:v>
      </x:c>
      <x:c r="G629" s="16" t="str">
        <x:v>HIGH</x:v>
      </x:c>
      <x:c r="H629" s="16" t="str">
        <x:v>Y</x:v>
      </x:c>
      <x:c r="I629" s="16" t="str">
        <x:v>Coder A worked example</x:v>
      </x:c>
    </x:row>
    <x:row r="630">
      <x:c r="A630" s="16" t="n">
        <x:v>629</x:v>
      </x:c>
      <x:c r="B630" s="16" t="str">
        <x:v>EXPERIMENT</x:v>
      </x:c>
      <x:c r="C630" s="16" t="str">
        <x:f>'Experiment_Coding_KT004'!A9</x:f>
        <x:v>PILOT_01_E08</x:v>
      </x:c>
      <x:c r="D630" s="16" t="str">
        <x:v>strict_zero_train_verified</x:v>
      </x:c>
      <x:c r="E630" s="16" t="str">
        <x:f>'Experiment_Coding_KT004'!AH9</x:f>
        <x:v>NA</x:v>
      </x:c>
      <x:c r="F630" s="16" t="str">
        <x:f>'Experiment_Coding_KT004'!BR9</x:f>
        <x:v>Sec. 3 Datasets; Appendix A; Table 2; Table 1; Appendix B</x:v>
      </x:c>
      <x:c r="G630" s="16" t="str">
        <x:v>HIGH</x:v>
      </x:c>
      <x:c r="H630" s="16" t="str">
        <x:v>Y</x:v>
      </x:c>
      <x:c r="I630" s="16" t="str">
        <x:v>Coder A worked example</x:v>
      </x:c>
    </x:row>
    <x:row r="631">
      <x:c r="A631" s="16" t="n">
        <x:v>630</x:v>
      </x:c>
      <x:c r="B631" s="16" t="str">
        <x:v>EXPERIMENT</x:v>
      </x:c>
      <x:c r="C631" s="16" t="str">
        <x:f>'Experiment_Coding_KT004'!A9</x:f>
        <x:v>PILOT_01_E08</x:v>
      </x:c>
      <x:c r="D631" s="16" t="str">
        <x:v>external_info_for_unseen_kc</x:v>
      </x:c>
      <x:c r="E631" s="16" t="str">
        <x:f>'Experiment_Coding_KT004'!AI9</x:f>
        <x:v>NA</x:v>
      </x:c>
      <x:c r="F631" s="16" t="str">
        <x:f>'Experiment_Coding_KT004'!BR9</x:f>
        <x:v>Sec. 3 Datasets; Appendix A; Table 2; Table 1; Appendix B</x:v>
      </x:c>
      <x:c r="G631" s="16" t="str">
        <x:v>HIGH</x:v>
      </x:c>
      <x:c r="H631" s="16" t="str">
        <x:v>Y</x:v>
      </x:c>
      <x:c r="I631" s="16" t="str">
        <x:v>Coder A worked example</x:v>
      </x:c>
    </x:row>
    <x:row r="632">
      <x:c r="A632" s="16" t="n">
        <x:v>631</x:v>
      </x:c>
      <x:c r="B632" s="16" t="str">
        <x:v>EXPERIMENT</x:v>
      </x:c>
      <x:c r="C632" s="16" t="str">
        <x:f>'Experiment_Coding_KT004'!A9</x:f>
        <x:v>PILOT_01_E08</x:v>
      </x:c>
      <x:c r="D632" s="16" t="str">
        <x:v>support_kcs</x:v>
      </x:c>
      <x:c r="E632" s="16" t="str">
        <x:f>'Experiment_Coding_KT004'!AJ9</x:f>
        <x:v>NA</x:v>
      </x:c>
      <x:c r="F632" s="16" t="str">
        <x:f>'Experiment_Coding_KT004'!BR9</x:f>
        <x:v>Sec. 3 Datasets; Appendix A; Table 2; Table 1; Appendix B</x:v>
      </x:c>
      <x:c r="G632" s="16" t="str">
        <x:v>HIGH</x:v>
      </x:c>
      <x:c r="H632" s="16" t="str">
        <x:v>N</x:v>
      </x:c>
      <x:c r="I632" s="16" t="str">
        <x:v>Coder A worked example</x:v>
      </x:c>
    </x:row>
    <x:row r="633">
      <x:c r="A633" s="16" t="n">
        <x:v>632</x:v>
      </x:c>
      <x:c r="B633" s="16" t="str">
        <x:v>EXPERIMENT</x:v>
      </x:c>
      <x:c r="C633" s="16" t="str">
        <x:f>'Experiment_Coding_KT004'!A9</x:f>
        <x:v>PILOT_01_E08</x:v>
      </x:c>
      <x:c r="D633" s="16" t="str">
        <x:v>support_learners</x:v>
      </x:c>
      <x:c r="E633" s="16" t="str">
        <x:f>'Experiment_Coding_KT004'!AK9</x:f>
        <x:v>NA</x:v>
      </x:c>
      <x:c r="F633" s="16" t="str">
        <x:f>'Experiment_Coding_KT004'!BR9</x:f>
        <x:v>Sec. 3 Datasets; Appendix A; Table 2; Table 1; Appendix B</x:v>
      </x:c>
      <x:c r="G633" s="16" t="str">
        <x:v>HIGH</x:v>
      </x:c>
      <x:c r="H633" s="16" t="str">
        <x:v>N</x:v>
      </x:c>
      <x:c r="I633" s="16" t="str">
        <x:v>Coder A worked example</x:v>
      </x:c>
    </x:row>
    <x:row r="634">
      <x:c r="A634" s="16" t="n">
        <x:v>633</x:v>
      </x:c>
      <x:c r="B634" s="16" t="str">
        <x:v>EXPERIMENT</x:v>
      </x:c>
      <x:c r="C634" s="16" t="str">
        <x:f>'Experiment_Coding_KT004'!A9</x:f>
        <x:v>PILOT_01_E08</x:v>
      </x:c>
      <x:c r="D634" s="16" t="str">
        <x:v>support_items</x:v>
      </x:c>
      <x:c r="E634" s="16" t="str">
        <x:f>'Experiment_Coding_KT004'!AL9</x:f>
        <x:v>NA</x:v>
      </x:c>
      <x:c r="F634" s="16" t="str">
        <x:f>'Experiment_Coding_KT004'!BR9</x:f>
        <x:v>Sec. 3 Datasets; Appendix A; Table 2; Table 1; Appendix B</x:v>
      </x:c>
      <x:c r="G634" s="16" t="str">
        <x:v>HIGH</x:v>
      </x:c>
      <x:c r="H634" s="16" t="str">
        <x:v>N</x:v>
      </x:c>
      <x:c r="I634" s="16" t="str">
        <x:v>Coder A worked example</x:v>
      </x:c>
    </x:row>
    <x:row r="635">
      <x:c r="A635" s="16" t="n">
        <x:v>634</x:v>
      </x:c>
      <x:c r="B635" s="16" t="str">
        <x:v>EXPERIMENT</x:v>
      </x:c>
      <x:c r="C635" s="16" t="str">
        <x:f>'Experiment_Coding_KT004'!A9</x:f>
        <x:v>PILOT_01_E08</x:v>
      </x:c>
      <x:c r="D635" s="16" t="str">
        <x:v>support_test_interactions</x:v>
      </x:c>
      <x:c r="E635" s="16" t="str">
        <x:f>'Experiment_Coding_KT004'!AM9</x:f>
        <x:v>NA</x:v>
      </x:c>
      <x:c r="F635" s="16" t="str">
        <x:f>'Experiment_Coding_KT004'!BR9</x:f>
        <x:v>Sec. 3 Datasets; Appendix A; Table 2; Table 1; Appendix B</x:v>
      </x:c>
      <x:c r="G635" s="16" t="str">
        <x:v>HIGH</x:v>
      </x:c>
      <x:c r="H635" s="16" t="str">
        <x:v>N</x:v>
      </x:c>
      <x:c r="I635" s="16" t="str">
        <x:v>Coder A worked example</x:v>
      </x:c>
    </x:row>
    <x:row r="636">
      <x:c r="A636" s="16" t="n">
        <x:v>635</x:v>
      </x:c>
      <x:c r="B636" s="16" t="str">
        <x:v>EXPERIMENT</x:v>
      </x:c>
      <x:c r="C636" s="16" t="str">
        <x:f>'Experiment_Coding_KT004'!A9</x:f>
        <x:v>PILOT_01_E08</x:v>
      </x:c>
      <x:c r="D636" s="16" t="str">
        <x:v>positive_count</x:v>
      </x:c>
      <x:c r="E636" s="16" t="str">
        <x:f>'Experiment_Coding_KT004'!AN9</x:f>
        <x:v>NA</x:v>
      </x:c>
      <x:c r="F636" s="16" t="str">
        <x:f>'Experiment_Coding_KT004'!BR9</x:f>
        <x:v>Sec. 3 Datasets; Appendix A; Table 2; Table 1; Appendix B</x:v>
      </x:c>
      <x:c r="G636" s="16" t="str">
        <x:v>HIGH</x:v>
      </x:c>
      <x:c r="H636" s="16" t="str">
        <x:v>N</x:v>
      </x:c>
      <x:c r="I636" s="16" t="str">
        <x:v>Coder A worked example</x:v>
      </x:c>
    </x:row>
    <x:row r="637">
      <x:c r="A637" s="16" t="n">
        <x:v>636</x:v>
      </x:c>
      <x:c r="B637" s="16" t="str">
        <x:v>EXPERIMENT</x:v>
      </x:c>
      <x:c r="C637" s="16" t="str">
        <x:f>'Experiment_Coding_KT004'!A9</x:f>
        <x:v>PILOT_01_E08</x:v>
      </x:c>
      <x:c r="D637" s="16" t="str">
        <x:v>negative_count</x:v>
      </x:c>
      <x:c r="E637" s="16" t="str">
        <x:f>'Experiment_Coding_KT004'!AO9</x:f>
        <x:v>NA</x:v>
      </x:c>
      <x:c r="F637" s="16" t="str">
        <x:f>'Experiment_Coding_KT004'!BR9</x:f>
        <x:v>Sec. 3 Datasets; Appendix A; Table 2; Table 1; Appendix B</x:v>
      </x:c>
      <x:c r="G637" s="16" t="str">
        <x:v>HIGH</x:v>
      </x:c>
      <x:c r="H637" s="16" t="str">
        <x:v>N</x:v>
      </x:c>
      <x:c r="I637" s="16" t="str">
        <x:v>Coder A worked example</x:v>
      </x:c>
    </x:row>
    <x:row r="638">
      <x:c r="A638" s="16" t="n">
        <x:v>637</x:v>
      </x:c>
      <x:c r="B638" s="16" t="str">
        <x:v>EXPERIMENT</x:v>
      </x:c>
      <x:c r="C638" s="16" t="str">
        <x:f>'Experiment_Coding_KT004'!A9</x:f>
        <x:v>PILOT_01_E08</x:v>
      </x:c>
      <x:c r="D638" s="16" t="str">
        <x:v>metric_name_original</x:v>
      </x:c>
      <x:c r="E638" s="16" t="str">
        <x:f>'Experiment_Coding_KT004'!AP9</x:f>
        <x:v>AUC</x:v>
      </x:c>
      <x:c r="F638" s="16" t="str">
        <x:f>'Experiment_Coding_KT004'!BR9</x:f>
        <x:v>Sec. 3 Datasets; Appendix A; Table 2; Table 1; Appendix B</x:v>
      </x:c>
      <x:c r="G638" s="16" t="str">
        <x:v>HIGH</x:v>
      </x:c>
      <x:c r="H638" s="16" t="str">
        <x:v>N</x:v>
      </x:c>
      <x:c r="I638" s="16" t="str">
        <x:v>Coder A worked example</x:v>
      </x:c>
    </x:row>
    <x:row r="639">
      <x:c r="A639" s="16" t="n">
        <x:v>638</x:v>
      </x:c>
      <x:c r="B639" s="16" t="str">
        <x:v>EXPERIMENT</x:v>
      </x:c>
      <x:c r="C639" s="16" t="str">
        <x:f>'Experiment_Coding_KT004'!A9</x:f>
        <x:v>PILOT_01_E08</x:v>
      </x:c>
      <x:c r="D639" s="16" t="str">
        <x:v>metric_value_original</x:v>
      </x:c>
      <x:c r="E639" s="16" t="n">
        <x:f>'Experiment_Coding_KT004'!AQ9</x:f>
        <x:v>0.762</x:v>
      </x:c>
      <x:c r="F639" s="16" t="str">
        <x:f>'Experiment_Coding_KT004'!BR9</x:f>
        <x:v>Sec. 3 Datasets; Appendix A; Table 2; Table 1; Appendix B</x:v>
      </x:c>
      <x:c r="G639" s="16" t="str">
        <x:v>HIGH</x:v>
      </x:c>
      <x:c r="H639" s="16" t="str">
        <x:v>N</x:v>
      </x:c>
      <x:c r="I639" s="16" t="str">
        <x:v>Coder A worked example</x:v>
      </x:c>
    </x:row>
    <x:row r="640">
      <x:c r="A640" s="16" t="n">
        <x:v>639</x:v>
      </x:c>
      <x:c r="B640" s="16" t="str">
        <x:v>EXPERIMENT</x:v>
      </x:c>
      <x:c r="C640" s="16" t="str">
        <x:f>'Experiment_Coding_KT004'!A9</x:f>
        <x:v>PILOT_01_E08</x:v>
      </x:c>
      <x:c r="D640" s="16" t="str">
        <x:v>metric_scope</x:v>
      </x:c>
      <x:c r="E640" s="16" t="str">
        <x:f>'Experiment_Coding_KT004'!AR9</x:f>
        <x:v>OVERALL</x:v>
      </x:c>
      <x:c r="F640" s="16" t="str">
        <x:f>'Experiment_Coding_KT004'!BR9</x:f>
        <x:v>Sec. 3 Datasets; Appendix A; Table 2; Table 1; Appendix B</x:v>
      </x:c>
      <x:c r="G640" s="16" t="str">
        <x:v>HIGH</x:v>
      </x:c>
      <x:c r="H640" s="16" t="str">
        <x:v>Y</x:v>
      </x:c>
      <x:c r="I640" s="16" t="str">
        <x:v>Coder A worked example</x:v>
      </x:c>
    </x:row>
    <x:row r="641">
      <x:c r="A641" s="16" t="n">
        <x:v>640</x:v>
      </x:c>
      <x:c r="B641" s="16" t="str">
        <x:v>EXPERIMENT</x:v>
      </x:c>
      <x:c r="C641" s="16" t="str">
        <x:f>'Experiment_Coding_KT004'!A9</x:f>
        <x:v>PILOT_01_E08</x:v>
      </x:c>
      <x:c r="D641" s="16" t="str">
        <x:v>n_seeds</x:v>
      </x:c>
      <x:c r="E641" s="16" t="str">
        <x:f>'Experiment_Coding_KT004'!AS9</x:f>
        <x:v>NR</x:v>
      </x:c>
      <x:c r="F641" s="16" t="str">
        <x:f>'Experiment_Coding_KT004'!BR9</x:f>
        <x:v>Sec. 3 Datasets; Appendix A; Table 2; Table 1; Appendix B</x:v>
      </x:c>
      <x:c r="G641" s="16" t="str">
        <x:v>HIGH</x:v>
      </x:c>
      <x:c r="H641" s="16" t="str">
        <x:v>N</x:v>
      </x:c>
      <x:c r="I641" s="16" t="str">
        <x:v>Coder A worked example</x:v>
      </x:c>
    </x:row>
    <x:row r="642">
      <x:c r="A642" s="16" t="n">
        <x:v>641</x:v>
      </x:c>
      <x:c r="B642" s="16" t="str">
        <x:v>EXPERIMENT</x:v>
      </x:c>
      <x:c r="C642" s="16" t="str">
        <x:f>'Experiment_Coding_KT004'!A9</x:f>
        <x:v>PILOT_01_E08</x:v>
      </x:c>
      <x:c r="D642" s="16" t="str">
        <x:v>seed_values_reported</x:v>
      </x:c>
      <x:c r="E642" s="16" t="str">
        <x:f>'Experiment_Coding_KT004'!AT9</x:f>
        <x:v>NR</x:v>
      </x:c>
      <x:c r="F642" s="16" t="str">
        <x:f>'Experiment_Coding_KT004'!BR9</x:f>
        <x:v>Sec. 3 Datasets; Appendix A; Table 2; Table 1; Appendix B</x:v>
      </x:c>
      <x:c r="G642" s="16" t="str">
        <x:v>HIGH</x:v>
      </x:c>
      <x:c r="H642" s="16" t="str">
        <x:v>N</x:v>
      </x:c>
      <x:c r="I642" s="16" t="str">
        <x:v>Coder A worked example</x:v>
      </x:c>
    </x:row>
    <x:row r="643">
      <x:c r="A643" s="16" t="n">
        <x:v>642</x:v>
      </x:c>
      <x:c r="B643" s="16" t="str">
        <x:v>EXPERIMENT</x:v>
      </x:c>
      <x:c r="C643" s="16" t="str">
        <x:f>'Experiment_Coding_KT004'!A9</x:f>
        <x:v>PILOT_01_E08</x:v>
      </x:c>
      <x:c r="D643" s="16" t="str">
        <x:v>mean_std_reported</x:v>
      </x:c>
      <x:c r="E643" s="16" t="str">
        <x:f>'Experiment_Coding_KT004'!AU9</x:f>
        <x:v>N</x:v>
      </x:c>
      <x:c r="F643" s="16" t="str">
        <x:f>'Experiment_Coding_KT004'!BR9</x:f>
        <x:v>Sec. 3 Datasets; Appendix A; Table 2; Table 1; Appendix B</x:v>
      </x:c>
      <x:c r="G643" s="16" t="str">
        <x:v>HIGH</x:v>
      </x:c>
      <x:c r="H643" s="16" t="str">
        <x:v>Y</x:v>
      </x:c>
      <x:c r="I643" s="16" t="str">
        <x:v>Coder A worked example</x:v>
      </x:c>
    </x:row>
    <x:row r="644">
      <x:c r="A644" s="16" t="n">
        <x:v>643</x:v>
      </x:c>
      <x:c r="B644" s="16" t="str">
        <x:v>EXPERIMENT</x:v>
      </x:c>
      <x:c r="C644" s="16" t="str">
        <x:f>'Experiment_Coding_KT004'!A9</x:f>
        <x:v>PILOT_01_E08</x:v>
      </x:c>
      <x:c r="D644" s="16" t="str">
        <x:v>confidence_interval</x:v>
      </x:c>
      <x:c r="E644" s="16" t="str">
        <x:f>'Experiment_Coding_KT004'!AV9</x:f>
        <x:v>NR</x:v>
      </x:c>
      <x:c r="F644" s="16" t="str">
        <x:f>'Experiment_Coding_KT004'!BR9</x:f>
        <x:v>Sec. 3 Datasets; Appendix A; Table 2; Table 1; Appendix B</x:v>
      </x:c>
      <x:c r="G644" s="16" t="str">
        <x:v>HIGH</x:v>
      </x:c>
      <x:c r="H644" s="16" t="str">
        <x:v>N</x:v>
      </x:c>
      <x:c r="I644" s="16" t="str">
        <x:v>Coder A worked example</x:v>
      </x:c>
    </x:row>
    <x:row r="645">
      <x:c r="A645" s="16" t="n">
        <x:v>644</x:v>
      </x:c>
      <x:c r="B645" s="16" t="str">
        <x:v>EXPERIMENT</x:v>
      </x:c>
      <x:c r="C645" s="16" t="str">
        <x:f>'Experiment_Coding_KT004'!A9</x:f>
        <x:v>PILOT_01_E08</x:v>
      </x:c>
      <x:c r="D645" s="16" t="str">
        <x:v>bootstrap_unit</x:v>
      </x:c>
      <x:c r="E645" s="16" t="str">
        <x:f>'Experiment_Coding_KT004'!AW9</x:f>
        <x:v>NA</x:v>
      </x:c>
      <x:c r="F645" s="16" t="str">
        <x:f>'Experiment_Coding_KT004'!BR9</x:f>
        <x:v>Sec. 3 Datasets; Appendix A; Table 2; Table 1; Appendix B</x:v>
      </x:c>
      <x:c r="G645" s="16" t="str">
        <x:v>HIGH</x:v>
      </x:c>
      <x:c r="H645" s="16" t="str">
        <x:v>Y</x:v>
      </x:c>
      <x:c r="I645" s="16" t="str">
        <x:v>Coder A worked example</x:v>
      </x:c>
    </x:row>
    <x:row r="646">
      <x:c r="A646" s="16" t="n">
        <x:v>645</x:v>
      </x:c>
      <x:c r="B646" s="16" t="str">
        <x:v>EXPERIMENT</x:v>
      </x:c>
      <x:c r="C646" s="16" t="str">
        <x:f>'Experiment_Coding_KT004'!A9</x:f>
        <x:v>PILOT_01_E08</x:v>
      </x:c>
      <x:c r="D646" s="16" t="str">
        <x:v>statistical_test</x:v>
      </x:c>
      <x:c r="E646" s="16" t="str">
        <x:f>'Experiment_Coding_KT004'!AX9</x:f>
        <x:v>NR</x:v>
      </x:c>
      <x:c r="F646" s="16" t="str">
        <x:f>'Experiment_Coding_KT004'!BR9</x:f>
        <x:v>Sec. 3 Datasets; Appendix A; Table 2; Table 1; Appendix B</x:v>
      </x:c>
      <x:c r="G646" s="16" t="str">
        <x:v>HIGH</x:v>
      </x:c>
      <x:c r="H646" s="16" t="str">
        <x:v>N</x:v>
      </x:c>
      <x:c r="I646" s="16" t="str">
        <x:v>Coder A worked example</x:v>
      </x:c>
    </x:row>
    <x:row r="647">
      <x:c r="A647" s="16" t="n">
        <x:v>646</x:v>
      </x:c>
      <x:c r="B647" s="16" t="str">
        <x:v>EXPERIMENT</x:v>
      </x:c>
      <x:c r="C647" s="16" t="str">
        <x:f>'Experiment_Coding_KT004'!A9</x:f>
        <x:v>PILOT_01_E08</x:v>
      </x:c>
      <x:c r="D647" s="16" t="str">
        <x:v>multiple_comparison_correction</x:v>
      </x:c>
      <x:c r="E647" s="16" t="str">
        <x:f>'Experiment_Coding_KT004'!AY9</x:f>
        <x:v>NR</x:v>
      </x:c>
      <x:c r="F647" s="16" t="str">
        <x:f>'Experiment_Coding_KT004'!BR9</x:f>
        <x:v>Sec. 3 Datasets; Appendix A; Table 2; Table 1; Appendix B</x:v>
      </x:c>
      <x:c r="G647" s="16" t="str">
        <x:v>HIGH</x:v>
      </x:c>
      <x:c r="H647" s="16" t="str">
        <x:v>N</x:v>
      </x:c>
      <x:c r="I647" s="16" t="str">
        <x:v>Coder A worked example</x:v>
      </x:c>
    </x:row>
    <x:row r="648">
      <x:c r="A648" s="16" t="n">
        <x:v>647</x:v>
      </x:c>
      <x:c r="B648" s="16" t="str">
        <x:v>EXPERIMENT</x:v>
      </x:c>
      <x:c r="C648" s="16" t="str">
        <x:f>'Experiment_Coding_KT004'!A9</x:f>
        <x:v>PILOT_01_E08</x:v>
      </x:c>
      <x:c r="D648" s="16" t="str">
        <x:v>effect_size</x:v>
      </x:c>
      <x:c r="E648" s="16" t="str">
        <x:f>'Experiment_Coding_KT004'!AZ9</x:f>
        <x:v>NR</x:v>
      </x:c>
      <x:c r="F648" s="16" t="str">
        <x:f>'Experiment_Coding_KT004'!BR9</x:f>
        <x:v>Sec. 3 Datasets; Appendix A; Table 2; Table 1; Appendix B</x:v>
      </x:c>
      <x:c r="G648" s="16" t="str">
        <x:v>HIGH</x:v>
      </x:c>
      <x:c r="H648" s="16" t="str">
        <x:v>N</x:v>
      </x:c>
      <x:c r="I648" s="16" t="str">
        <x:v>Coder A worked example</x:v>
      </x:c>
    </x:row>
    <x:row r="649">
      <x:c r="A649" s="16" t="n">
        <x:v>648</x:v>
      </x:c>
      <x:c r="B649" s="16" t="str">
        <x:v>EXPERIMENT</x:v>
      </x:c>
      <x:c r="C649" s="16" t="str">
        <x:f>'Experiment_Coding_KT004'!A9</x:f>
        <x:v>PILOT_01_E08</x:v>
      </x:c>
      <x:c r="D649" s="16" t="str">
        <x:v>paired_design</x:v>
      </x:c>
      <x:c r="E649" s="16" t="str">
        <x:f>'Experiment_Coding_KT004'!BA9</x:f>
        <x:v>NR</x:v>
      </x:c>
      <x:c r="F649" s="16" t="str">
        <x:f>'Experiment_Coding_KT004'!BR9</x:f>
        <x:v>Sec. 3 Datasets; Appendix A; Table 2; Table 1; Appendix B</x:v>
      </x:c>
      <x:c r="G649" s="16" t="str">
        <x:v>HIGH</x:v>
      </x:c>
      <x:c r="H649" s="16" t="str">
        <x:v>Y</x:v>
      </x:c>
      <x:c r="I649" s="16" t="str">
        <x:v>Coder A worked example</x:v>
      </x:c>
    </x:row>
    <x:row r="650">
      <x:c r="A650" s="16" t="n">
        <x:v>649</x:v>
      </x:c>
      <x:c r="B650" s="16" t="str">
        <x:v>EXPERIMENT</x:v>
      </x:c>
      <x:c r="C650" s="16" t="str">
        <x:f>'Experiment_Coding_KT004'!A9</x:f>
        <x:v>PILOT_01_E08</x:v>
      </x:c>
      <x:c r="D650" s="16" t="str">
        <x:v>significance_threshold</x:v>
      </x:c>
      <x:c r="E650" s="16" t="str">
        <x:f>'Experiment_Coding_KT004'!BB9</x:f>
        <x:v>NR</x:v>
      </x:c>
      <x:c r="F650" s="16" t="str">
        <x:f>'Experiment_Coding_KT004'!BR9</x:f>
        <x:v>Sec. 3 Datasets; Appendix A; Table 2; Table 1; Appendix B</x:v>
      </x:c>
      <x:c r="G650" s="16" t="str">
        <x:v>HIGH</x:v>
      </x:c>
      <x:c r="H650" s="16" t="str">
        <x:v>N</x:v>
      </x:c>
      <x:c r="I650" s="16" t="str">
        <x:v>Coder A worked example</x:v>
      </x:c>
    </x:row>
    <x:row r="651">
      <x:c r="A651" s="16" t="n">
        <x:v>650</x:v>
      </x:c>
      <x:c r="B651" s="16" t="str">
        <x:v>EXPERIMENT</x:v>
      </x:c>
      <x:c r="C651" s="16" t="str">
        <x:f>'Experiment_Coding_KT004'!A9</x:f>
        <x:v>PILOT_01_E08</x:v>
      </x:c>
      <x:c r="D651" s="16" t="str">
        <x:v>parameter_count</x:v>
      </x:c>
      <x:c r="E651" s="16" t="str">
        <x:f>'Experiment_Coding_KT004'!BC9</x:f>
        <x:v>NR</x:v>
      </x:c>
      <x:c r="F651" s="16" t="str">
        <x:f>'Experiment_Coding_KT004'!BR9</x:f>
        <x:v>Sec. 3 Datasets; Appendix A; Table 2; Table 1; Appendix B</x:v>
      </x:c>
      <x:c r="G651" s="16" t="str">
        <x:v>HIGH</x:v>
      </x:c>
      <x:c r="H651" s="16" t="str">
        <x:v>N</x:v>
      </x:c>
      <x:c r="I651" s="16" t="str">
        <x:v>Coder A worked example</x:v>
      </x:c>
    </x:row>
    <x:row r="652">
      <x:c r="A652" s="16" t="n">
        <x:v>651</x:v>
      </x:c>
      <x:c r="B652" s="16" t="str">
        <x:v>EXPERIMENT</x:v>
      </x:c>
      <x:c r="C652" s="16" t="str">
        <x:f>'Experiment_Coding_KT004'!A9</x:f>
        <x:v>PILOT_01_E08</x:v>
      </x:c>
      <x:c r="D652" s="16" t="str">
        <x:v>train_time</x:v>
      </x:c>
      <x:c r="E652" s="16" t="str">
        <x:f>'Experiment_Coding_KT004'!BD9</x:f>
        <x:v>NR</x:v>
      </x:c>
      <x:c r="F652" s="16" t="str">
        <x:f>'Experiment_Coding_KT004'!BR9</x:f>
        <x:v>Sec. 3 Datasets; Appendix A; Table 2; Table 1; Appendix B</x:v>
      </x:c>
      <x:c r="G652" s="16" t="str">
        <x:v>HIGH</x:v>
      </x:c>
      <x:c r="H652" s="16" t="str">
        <x:v>N</x:v>
      </x:c>
      <x:c r="I652" s="16" t="str">
        <x:v>Coder A worked example</x:v>
      </x:c>
    </x:row>
    <x:row r="653">
      <x:c r="A653" s="16" t="n">
        <x:v>652</x:v>
      </x:c>
      <x:c r="B653" s="16" t="str">
        <x:v>EXPERIMENT</x:v>
      </x:c>
      <x:c r="C653" s="16" t="str">
        <x:f>'Experiment_Coding_KT004'!A9</x:f>
        <x:v>PILOT_01_E08</x:v>
      </x:c>
      <x:c r="D653" s="16" t="str">
        <x:v>time_per_epoch</x:v>
      </x:c>
      <x:c r="E653" s="16" t="str">
        <x:f>'Experiment_Coding_KT004'!BE9</x:f>
        <x:v>NR</x:v>
      </x:c>
      <x:c r="F653" s="16" t="str">
        <x:f>'Experiment_Coding_KT004'!BR9</x:f>
        <x:v>Sec. 3 Datasets; Appendix A; Table 2; Table 1; Appendix B</x:v>
      </x:c>
      <x:c r="G653" s="16" t="str">
        <x:v>HIGH</x:v>
      </x:c>
      <x:c r="H653" s="16" t="str">
        <x:v>N</x:v>
      </x:c>
      <x:c r="I653" s="16" t="str">
        <x:v>Coder A worked example</x:v>
      </x:c>
    </x:row>
    <x:row r="654">
      <x:c r="A654" s="16" t="n">
        <x:v>653</x:v>
      </x:c>
      <x:c r="B654" s="16" t="str">
        <x:v>EXPERIMENT</x:v>
      </x:c>
      <x:c r="C654" s="16" t="str">
        <x:f>'Experiment_Coding_KT004'!A9</x:f>
        <x:v>PILOT_01_E08</x:v>
      </x:c>
      <x:c r="D654" s="16" t="str">
        <x:v>inference_latency</x:v>
      </x:c>
      <x:c r="E654" s="16" t="str">
        <x:f>'Experiment_Coding_KT004'!BF9</x:f>
        <x:v>NR</x:v>
      </x:c>
      <x:c r="F654" s="16" t="str">
        <x:f>'Experiment_Coding_KT004'!BR9</x:f>
        <x:v>Sec. 3 Datasets; Appendix A; Table 2; Table 1; Appendix B</x:v>
      </x:c>
      <x:c r="G654" s="16" t="str">
        <x:v>HIGH</x:v>
      </x:c>
      <x:c r="H654" s="16" t="str">
        <x:v>N</x:v>
      </x:c>
      <x:c r="I654" s="16" t="str">
        <x:v>Coder A worked example</x:v>
      </x:c>
    </x:row>
    <x:row r="655">
      <x:c r="A655" s="16" t="n">
        <x:v>654</x:v>
      </x:c>
      <x:c r="B655" s="16" t="str">
        <x:v>EXPERIMENT</x:v>
      </x:c>
      <x:c r="C655" s="16" t="str">
        <x:f>'Experiment_Coding_KT004'!A9</x:f>
        <x:v>PILOT_01_E08</x:v>
      </x:c>
      <x:c r="D655" s="16" t="str">
        <x:v>throughput</x:v>
      </x:c>
      <x:c r="E655" s="16" t="str">
        <x:f>'Experiment_Coding_KT004'!BG9</x:f>
        <x:v>NR</x:v>
      </x:c>
      <x:c r="F655" s="16" t="str">
        <x:f>'Experiment_Coding_KT004'!BR9</x:f>
        <x:v>Sec. 3 Datasets; Appendix A; Table 2; Table 1; Appendix B</x:v>
      </x:c>
      <x:c r="G655" s="16" t="str">
        <x:v>HIGH</x:v>
      </x:c>
      <x:c r="H655" s="16" t="str">
        <x:v>N</x:v>
      </x:c>
      <x:c r="I655" s="16" t="str">
        <x:v>Coder A worked example</x:v>
      </x:c>
    </x:row>
    <x:row r="656">
      <x:c r="A656" s="16" t="n">
        <x:v>655</x:v>
      </x:c>
      <x:c r="B656" s="16" t="str">
        <x:v>EXPERIMENT</x:v>
      </x:c>
      <x:c r="C656" s="16" t="str">
        <x:f>'Experiment_Coding_KT004'!A9</x:f>
        <x:v>PILOT_01_E08</x:v>
      </x:c>
      <x:c r="D656" s="16" t="str">
        <x:v>cpu_ram</x:v>
      </x:c>
      <x:c r="E656" s="16" t="str">
        <x:f>'Experiment_Coding_KT004'!BH9</x:f>
        <x:v>NR</x:v>
      </x:c>
      <x:c r="F656" s="16" t="str">
        <x:f>'Experiment_Coding_KT004'!BR9</x:f>
        <x:v>Sec. 3 Datasets; Appendix A; Table 2; Table 1; Appendix B</x:v>
      </x:c>
      <x:c r="G656" s="16" t="str">
        <x:v>HIGH</x:v>
      </x:c>
      <x:c r="H656" s="16" t="str">
        <x:v>N</x:v>
      </x:c>
      <x:c r="I656" s="16" t="str">
        <x:v>Coder A worked example</x:v>
      </x:c>
    </x:row>
    <x:row r="657">
      <x:c r="A657" s="16" t="n">
        <x:v>656</x:v>
      </x:c>
      <x:c r="B657" s="16" t="str">
        <x:v>EXPERIMENT</x:v>
      </x:c>
      <x:c r="C657" s="16" t="str">
        <x:f>'Experiment_Coding_KT004'!A9</x:f>
        <x:v>PILOT_01_E08</x:v>
      </x:c>
      <x:c r="D657" s="16" t="str">
        <x:v>gpu_vram</x:v>
      </x:c>
      <x:c r="E657" s="16" t="str">
        <x:f>'Experiment_Coding_KT004'!BI9</x:f>
        <x:v>NR</x:v>
      </x:c>
      <x:c r="F657" s="16" t="str">
        <x:f>'Experiment_Coding_KT004'!BR9</x:f>
        <x:v>Sec. 3 Datasets; Appendix A; Table 2; Table 1; Appendix B</x:v>
      </x:c>
      <x:c r="G657" s="16" t="str">
        <x:v>HIGH</x:v>
      </x:c>
      <x:c r="H657" s="16" t="str">
        <x:v>N</x:v>
      </x:c>
      <x:c r="I657" s="16" t="str">
        <x:v>Coder A worked example</x:v>
      </x:c>
    </x:row>
    <x:row r="658">
      <x:c r="A658" s="16" t="n">
        <x:v>657</x:v>
      </x:c>
      <x:c r="B658" s="16" t="str">
        <x:v>EXPERIMENT</x:v>
      </x:c>
      <x:c r="C658" s="16" t="str">
        <x:f>'Experiment_Coding_KT004'!A9</x:f>
        <x:v>PILOT_01_E08</x:v>
      </x:c>
      <x:c r="D658" s="16" t="str">
        <x:v>hardware</x:v>
      </x:c>
      <x:c r="E658" s="16" t="str">
        <x:f>'Experiment_Coding_KT004'!BJ9</x:f>
        <x:v>NR</x:v>
      </x:c>
      <x:c r="F658" s="16" t="str">
        <x:f>'Experiment_Coding_KT004'!BR9</x:f>
        <x:v>Sec. 3 Datasets; Appendix A; Table 2; Table 1; Appendix B</x:v>
      </x:c>
      <x:c r="G658" s="16" t="str">
        <x:v>HIGH</x:v>
      </x:c>
      <x:c r="H658" s="16" t="str">
        <x:v>N</x:v>
      </x:c>
      <x:c r="I658" s="16" t="str">
        <x:v>Coder A worked example</x:v>
      </x:c>
    </x:row>
    <x:row r="659">
      <x:c r="A659" s="16" t="n">
        <x:v>658</x:v>
      </x:c>
      <x:c r="B659" s="16" t="str">
        <x:v>EXPERIMENT</x:v>
      </x:c>
      <x:c r="C659" s="16" t="str">
        <x:f>'Experiment_Coding_KT004'!A9</x:f>
        <x:v>PILOT_01_E08</x:v>
      </x:c>
      <x:c r="D659" s="16" t="str">
        <x:v>graph_construction_time</x:v>
      </x:c>
      <x:c r="E659" s="16" t="str">
        <x:f>'Experiment_Coding_KT004'!BK9</x:f>
        <x:v>NR</x:v>
      </x:c>
      <x:c r="F659" s="16" t="str">
        <x:f>'Experiment_Coding_KT004'!BR9</x:f>
        <x:v>Sec. 3 Datasets; Appendix A; Table 2; Table 1; Appendix B</x:v>
      </x:c>
      <x:c r="G659" s="16" t="str">
        <x:v>HIGH</x:v>
      </x:c>
      <x:c r="H659" s="16" t="str">
        <x:v>N</x:v>
      </x:c>
      <x:c r="I659" s="16" t="str">
        <x:v>Coder A worked example</x:v>
      </x:c>
    </x:row>
    <x:row r="660">
      <x:c r="A660" s="16" t="n">
        <x:v>659</x:v>
      </x:c>
      <x:c r="B660" s="16" t="str">
        <x:v>EXPERIMENT</x:v>
      </x:c>
      <x:c r="C660" s="16" t="str">
        <x:f>'Experiment_Coding_KT004'!A9</x:f>
        <x:v>PILOT_01_E08</x:v>
      </x:c>
      <x:c r="D660" s="16" t="str">
        <x:v>complexity_formula</x:v>
      </x:c>
      <x:c r="E660" s="16" t="str">
        <x:f>'Experiment_Coding_KT004'!BL9</x:f>
        <x:v>NR</x:v>
      </x:c>
      <x:c r="F660" s="16" t="str">
        <x:f>'Experiment_Coding_KT004'!BR9</x:f>
        <x:v>Sec. 3 Datasets; Appendix A; Table 2; Table 1; Appendix B</x:v>
      </x:c>
      <x:c r="G660" s="16" t="str">
        <x:v>HIGH</x:v>
      </x:c>
      <x:c r="H660" s="16" t="str">
        <x:v>N</x:v>
      </x:c>
      <x:c r="I660" s="16" t="str">
        <x:v>Coder A worked example</x:v>
      </x:c>
    </x:row>
    <x:row r="661">
      <x:c r="A661" s="16" t="n">
        <x:v>660</x:v>
      </x:c>
      <x:c r="B661" s="16" t="str">
        <x:v>EXPERIMENT</x:v>
      </x:c>
      <x:c r="C661" s="16" t="str">
        <x:f>'Experiment_Coding_KT004'!A9</x:f>
        <x:v>PILOT_01_E08</x:v>
      </x:c>
      <x:c r="D661" s="16" t="str">
        <x:v>scale_up_experiment</x:v>
      </x:c>
      <x:c r="E661" s="16" t="str">
        <x:f>'Experiment_Coding_KT004'!BM9</x:f>
        <x:v>N</x:v>
      </x:c>
      <x:c r="F661" s="16" t="str">
        <x:f>'Experiment_Coding_KT004'!BR9</x:f>
        <x:v>Sec. 3 Datasets; Appendix A; Table 2; Table 1; Appendix B</x:v>
      </x:c>
      <x:c r="G661" s="16" t="str">
        <x:v>HIGH</x:v>
      </x:c>
      <x:c r="H661" s="16" t="str">
        <x:v>Y</x:v>
      </x:c>
      <x:c r="I661" s="16" t="str">
        <x:v>Coder A worked example</x:v>
      </x:c>
    </x:row>
    <x:row r="662">
      <x:c r="A662" s="16" t="n">
        <x:v>661</x:v>
      </x:c>
      <x:c r="B662" s="16" t="str">
        <x:v>EXPERIMENT</x:v>
      </x:c>
      <x:c r="C662" s="16" t="str">
        <x:f>'Experiment_Coding_KT004'!A9</x:f>
        <x:v>PILOT_01_E08</x:v>
      </x:c>
      <x:c r="D662" s="16" t="str">
        <x:v>oom_timeout_reported</x:v>
      </x:c>
      <x:c r="E662" s="16" t="str">
        <x:f>'Experiment_Coding_KT004'!BN9</x:f>
        <x:v>NR</x:v>
      </x:c>
      <x:c r="F662" s="16" t="str">
        <x:f>'Experiment_Coding_KT004'!BR9</x:f>
        <x:v>Sec. 3 Datasets; Appendix A; Table 2; Table 1; Appendix B</x:v>
      </x:c>
      <x:c r="G662" s="16" t="str">
        <x:v>HIGH</x:v>
      </x:c>
      <x:c r="H662" s="16" t="str">
        <x:v>Y</x:v>
      </x:c>
      <x:c r="I662" s="16" t="str">
        <x:v>Coder A worked example</x:v>
      </x:c>
    </x:row>
    <x:row r="663">
      <x:c r="A663" s="16" t="n">
        <x:v>662</x:v>
      </x:c>
      <x:c r="B663" s="16" t="str">
        <x:v>EXPERIMENT</x:v>
      </x:c>
      <x:c r="C663" s="16" t="str">
        <x:f>'Experiment_Coding_KT004'!A10</x:f>
        <x:v>PILOT_01_E09</x:v>
      </x:c>
      <x:c r="D663" s="16" t="str">
        <x:v>dataset_name</x:v>
      </x:c>
      <x:c r="E663" s="16" t="str">
        <x:f>'Experiment_Coding_KT004'!D10</x:f>
        <x:v>ASSISTments</x:v>
      </x:c>
      <x:c r="F663" s="16" t="str">
        <x:f>'Experiment_Coding_KT004'!BR10</x:f>
        <x:v>Sec. 3 Datasets; Appendix A; Table 2; Table 1; Appendix B</x:v>
      </x:c>
      <x:c r="G663" s="16" t="str">
        <x:v>HIGH</x:v>
      </x:c>
      <x:c r="H663" s="16" t="str">
        <x:v>N</x:v>
      </x:c>
      <x:c r="I663" s="16" t="str">
        <x:v>Coder A worked example</x:v>
      </x:c>
    </x:row>
    <x:row r="664">
      <x:c r="A664" s="16" t="n">
        <x:v>663</x:v>
      </x:c>
      <x:c r="B664" s="16" t="str">
        <x:v>EXPERIMENT</x:v>
      </x:c>
      <x:c r="C664" s="16" t="str">
        <x:f>'Experiment_Coding_KT004'!A10</x:f>
        <x:v>PILOT_01_E09</x:v>
      </x:c>
      <x:c r="D664" s="16" t="str">
        <x:v>dataset_version</x:v>
      </x:c>
      <x:c r="E664" s="16" t="str">
        <x:f>'Experiment_Coding_KT004'!E10</x:f>
        <x:v>2009-2010 Skill Builder</x:v>
      </x:c>
      <x:c r="F664" s="16" t="str">
        <x:f>'Experiment_Coding_KT004'!BR10</x:f>
        <x:v>Sec. 3 Datasets; Appendix A; Table 2; Table 1; Appendix B</x:v>
      </x:c>
      <x:c r="G664" s="16" t="str">
        <x:v>HIGH</x:v>
      </x:c>
      <x:c r="H664" s="16" t="str">
        <x:v>N</x:v>
      </x:c>
      <x:c r="I664" s="16" t="str">
        <x:v>Coder A worked example</x:v>
      </x:c>
    </x:row>
    <x:row r="665">
      <x:c r="A665" s="16" t="n">
        <x:v>664</x:v>
      </x:c>
      <x:c r="B665" s="16" t="str">
        <x:v>EXPERIMENT</x:v>
      </x:c>
      <x:c r="C665" s="16" t="str">
        <x:f>'Experiment_Coding_KT004'!A10</x:f>
        <x:v>PILOT_01_E09</x:v>
      </x:c>
      <x:c r="D665" s="16" t="str">
        <x:v>n_learners_reported</x:v>
      </x:c>
      <x:c r="E665" s="16" t="n">
        <x:f>'Experiment_Coding_KT004'!G10</x:f>
        <x:v>1000</x:v>
      </x:c>
      <x:c r="F665" s="16" t="str">
        <x:f>'Experiment_Coding_KT004'!BR10</x:f>
        <x:v>Sec. 3 Datasets; Appendix A; Table 2; Table 1; Appendix B</x:v>
      </x:c>
      <x:c r="G665" s="16" t="str">
        <x:v>HIGH</x:v>
      </x:c>
      <x:c r="H665" s="16" t="str">
        <x:v>N</x:v>
      </x:c>
      <x:c r="I665" s="16" t="str">
        <x:v>Coder A worked example</x:v>
      </x:c>
    </x:row>
    <x:row r="666">
      <x:c r="A666" s="16" t="n">
        <x:v>665</x:v>
      </x:c>
      <x:c r="B666" s="16" t="str">
        <x:v>EXPERIMENT</x:v>
      </x:c>
      <x:c r="C666" s="16" t="str">
        <x:f>'Experiment_Coding_KT004'!A10</x:f>
        <x:v>PILOT_01_E09</x:v>
      </x:c>
      <x:c r="D666" s="16" t="str">
        <x:v>n_items_reported</x:v>
      </x:c>
      <x:c r="E666" s="16" t="str">
        <x:f>'Experiment_Coding_KT004'!H10</x:f>
        <x:v>NR</x:v>
      </x:c>
      <x:c r="F666" s="16" t="str">
        <x:f>'Experiment_Coding_KT004'!BR10</x:f>
        <x:v>Sec. 3 Datasets; Appendix A; Table 2; Table 1; Appendix B</x:v>
      </x:c>
      <x:c r="G666" s="16" t="str">
        <x:v>HIGH</x:v>
      </x:c>
      <x:c r="H666" s="16" t="str">
        <x:v>N</x:v>
      </x:c>
      <x:c r="I666" s="16" t="str">
        <x:v>Coder A worked example</x:v>
      </x:c>
    </x:row>
    <x:row r="667">
      <x:c r="A667" s="16" t="n">
        <x:v>666</x:v>
      </x:c>
      <x:c r="B667" s="16" t="str">
        <x:v>EXPERIMENT</x:v>
      </x:c>
      <x:c r="C667" s="16" t="str">
        <x:f>'Experiment_Coding_KT004'!A10</x:f>
        <x:v>PILOT_01_E09</x:v>
      </x:c>
      <x:c r="D667" s="16" t="str">
        <x:v>n_kcs_reported</x:v>
      </x:c>
      <x:c r="E667" s="16" t="n">
        <x:f>'Experiment_Coding_KT004'!I10</x:f>
        <x:v>101</x:v>
      </x:c>
      <x:c r="F667" s="16" t="str">
        <x:f>'Experiment_Coding_KT004'!BR10</x:f>
        <x:v>Sec. 3 Datasets; Appendix A; Table 2; Table 1; Appendix B</x:v>
      </x:c>
      <x:c r="G667" s="16" t="str">
        <x:v>HIGH</x:v>
      </x:c>
      <x:c r="H667" s="16" t="str">
        <x:v>N</x:v>
      </x:c>
      <x:c r="I667" s="16" t="str">
        <x:v>Coder A worked example</x:v>
      </x:c>
    </x:row>
    <x:row r="668">
      <x:c r="A668" s="16" t="n">
        <x:v>667</x:v>
      </x:c>
      <x:c r="B668" s="16" t="str">
        <x:v>EXPERIMENT</x:v>
      </x:c>
      <x:c r="C668" s="16" t="str">
        <x:f>'Experiment_Coding_KT004'!A10</x:f>
        <x:v>PILOT_01_E09</x:v>
      </x:c>
      <x:c r="D668" s="16" t="str">
        <x:v>n_interactions_reported</x:v>
      </x:c>
      <x:c r="E668" s="16" t="n">
        <x:f>'Experiment_Coding_KT004'!J10</x:f>
        <x:v>62955</x:v>
      </x:c>
      <x:c r="F668" s="16" t="str">
        <x:f>'Experiment_Coding_KT004'!BR10</x:f>
        <x:v>Sec. 3 Datasets; Appendix A; Table 2; Table 1; Appendix B</x:v>
      </x:c>
      <x:c r="G668" s="16" t="str">
        <x:v>HIGH</x:v>
      </x:c>
      <x:c r="H668" s="16" t="str">
        <x:v>N</x:v>
      </x:c>
      <x:c r="I668" s="16" t="str">
        <x:v>Coder A worked example</x:v>
      </x:c>
    </x:row>
    <x:row r="669">
      <x:c r="A669" s="16" t="n">
        <x:v>668</x:v>
      </x:c>
      <x:c r="B669" s="16" t="str">
        <x:v>EXPERIMENT</x:v>
      </x:c>
      <x:c r="C669" s="16" t="str">
        <x:f>'Experiment_Coding_KT004'!A10</x:f>
        <x:v>PILOT_01_E09</x:v>
      </x:c>
      <x:c r="D669" s="16" t="str">
        <x:v>multi_skill_present</x:v>
      </x:c>
      <x:c r="E669" s="16" t="str">
        <x:f>'Experiment_Coding_KT004'!K10</x:f>
        <x:v>UNCLEAR</x:v>
      </x:c>
      <x:c r="F669" s="16" t="str">
        <x:f>'Experiment_Coding_KT004'!BR10</x:f>
        <x:v>Sec. 3 Datasets; Appendix A; Table 2; Table 1; Appendix B</x:v>
      </x:c>
      <x:c r="G669" s="16" t="str">
        <x:v>HIGH</x:v>
      </x:c>
      <x:c r="H669" s="16" t="str">
        <x:v>Y</x:v>
      </x:c>
      <x:c r="I669" s="16" t="str">
        <x:v>Coder A worked example</x:v>
      </x:c>
    </x:row>
    <x:row r="670">
      <x:c r="A670" s="16" t="n">
        <x:v>669</x:v>
      </x:c>
      <x:c r="B670" s="16" t="str">
        <x:v>EXPERIMENT</x:v>
      </x:c>
      <x:c r="C670" s="16" t="str">
        <x:f>'Experiment_Coding_KT004'!A10</x:f>
        <x:v>PILOT_01_E09</x:v>
      </x:c>
      <x:c r="D670" s="16" t="str">
        <x:v>multi_skill_handling</x:v>
      </x:c>
      <x:c r="E670" s="16" t="str">
        <x:f>'Experiment_Coding_KT004'!L10</x:f>
        <x:v>Combine simultaneous answer logs into one; extract named skill tags</x:v>
      </x:c>
      <x:c r="F670" s="16" t="str">
        <x:f>'Experiment_Coding_KT004'!BR10</x:f>
        <x:v>Sec. 3 Datasets; Appendix A; Table 2; Table 1; Appendix B</x:v>
      </x:c>
      <x:c r="G670" s="16" t="str">
        <x:v>HIGH</x:v>
      </x:c>
      <x:c r="H670" s="16" t="str">
        <x:v>N</x:v>
      </x:c>
      <x:c r="I670" s="16" t="str">
        <x:v>Coder A worked example</x:v>
      </x:c>
    </x:row>
    <x:row r="671">
      <x:c r="A671" s="16" t="n">
        <x:v>670</x:v>
      </x:c>
      <x:c r="B671" s="16" t="str">
        <x:v>EXPERIMENT</x:v>
      </x:c>
      <x:c r="C671" s="16" t="str">
        <x:f>'Experiment_Coding_KT004'!A10</x:f>
        <x:v>PILOT_01_E09</x:v>
      </x:c>
      <x:c r="D671" s="16" t="str">
        <x:v>sequence_truncation</x:v>
      </x:c>
      <x:c r="E671" s="16" t="str">
        <x:f>'Experiment_Coding_KT004'!M10</x:f>
        <x:v>NR</x:v>
      </x:c>
      <x:c r="F671" s="16" t="str">
        <x:f>'Experiment_Coding_KT004'!BR10</x:f>
        <x:v>Sec. 3 Datasets; Appendix A; Table 2; Table 1; Appendix B</x:v>
      </x:c>
      <x:c r="G671" s="16" t="str">
        <x:v>HIGH</x:v>
      </x:c>
      <x:c r="H671" s="16" t="str">
        <x:v>N</x:v>
      </x:c>
      <x:c r="I671" s="16" t="str">
        <x:v>Coder A worked example</x:v>
      </x:c>
    </x:row>
    <x:row r="672">
      <x:c r="A672" s="16" t="n">
        <x:v>671</x:v>
      </x:c>
      <x:c r="B672" s="16" t="str">
        <x:v>EXPERIMENT</x:v>
      </x:c>
      <x:c r="C672" s="16" t="str">
        <x:f>'Experiment_Coding_KT004'!A10</x:f>
        <x:v>PILOT_01_E09</x:v>
      </x:c>
      <x:c r="D672" s="16" t="str">
        <x:v>min_sequence_filter</x:v>
      </x:c>
      <x:c r="E672" s="16" t="str">
        <x:f>'Experiment_Coding_KT004'!N10</x:f>
        <x:v>NR</x:v>
      </x:c>
      <x:c r="F672" s="16" t="str">
        <x:f>'Experiment_Coding_KT004'!BR10</x:f>
        <x:v>Sec. 3 Datasets; Appendix A; Table 2; Table 1; Appendix B</x:v>
      </x:c>
      <x:c r="G672" s="16" t="str">
        <x:v>HIGH</x:v>
      </x:c>
      <x:c r="H672" s="16" t="str">
        <x:v>N</x:v>
      </x:c>
      <x:c r="I672" s="16" t="str">
        <x:v>Coder A worked example</x:v>
      </x:c>
    </x:row>
    <x:row r="673">
      <x:c r="A673" s="16" t="n">
        <x:v>672</x:v>
      </x:c>
      <x:c r="B673" s="16" t="str">
        <x:v>EXPERIMENT</x:v>
      </x:c>
      <x:c r="C673" s="16" t="str">
        <x:f>'Experiment_Coding_KT004'!A10</x:f>
        <x:v>PILOT_01_E09</x:v>
      </x:c>
      <x:c r="D673" s="16" t="str">
        <x:v>timestamp_used</x:v>
      </x:c>
      <x:c r="E673" s="16" t="str">
        <x:f>'Experiment_Coding_KT004'!O10</x:f>
        <x:v>UNCLEAR</x:v>
      </x:c>
      <x:c r="F673" s="16" t="str">
        <x:f>'Experiment_Coding_KT004'!BR10</x:f>
        <x:v>Sec. 3 Datasets; Appendix A; Table 2; Table 1; Appendix B</x:v>
      </x:c>
      <x:c r="G673" s="16" t="str">
        <x:v>HIGH</x:v>
      </x:c>
      <x:c r="H673" s="16" t="str">
        <x:v>Y</x:v>
      </x:c>
      <x:c r="I673" s="16" t="str">
        <x:v>Coder A worked example</x:v>
      </x:c>
    </x:row>
    <x:row r="674">
      <x:c r="A674" s="16" t="n">
        <x:v>673</x:v>
      </x:c>
      <x:c r="B674" s="16" t="str">
        <x:v>EXPERIMENT</x:v>
      </x:c>
      <x:c r="C674" s="16" t="str">
        <x:f>'Experiment_Coding_KT004'!A10</x:f>
        <x:v>PILOT_01_E09</x:v>
      </x:c>
      <x:c r="D674" s="16" t="str">
        <x:v>preprocessing_code_available</x:v>
      </x:c>
      <x:c r="E674" s="16" t="str">
        <x:f>'Experiment_Coding_KT004'!P10</x:f>
        <x:v>NR</x:v>
      </x:c>
      <x:c r="F674" s="16" t="str">
        <x:f>'Experiment_Coding_KT004'!BR10</x:f>
        <x:v>Sec. 3 Datasets; Appendix A; Table 2; Table 1; Appendix B</x:v>
      </x:c>
      <x:c r="G674" s="16" t="str">
        <x:v>HIGH</x:v>
      </x:c>
      <x:c r="H674" s="16" t="str">
        <x:v>Y</x:v>
      </x:c>
      <x:c r="I674" s="16" t="str">
        <x:v>Coder A worked example</x:v>
      </x:c>
    </x:row>
    <x:row r="675">
      <x:c r="A675" s="16" t="n">
        <x:v>674</x:v>
      </x:c>
      <x:c r="B675" s="16" t="str">
        <x:v>EXPERIMENT</x:v>
      </x:c>
      <x:c r="C675" s="16" t="str">
        <x:f>'Experiment_Coding_KT004'!A10</x:f>
        <x:v>PILOT_01_E09</x:v>
      </x:c>
      <x:c r="D675" s="16" t="str">
        <x:v>split_type</x:v>
      </x:c>
      <x:c r="E675" s="16" t="str">
        <x:f>'Experiment_Coding_KT004'!Q10</x:f>
        <x:v>LEARNER_BASED</x:v>
      </x:c>
      <x:c r="F675" s="16" t="str">
        <x:f>'Experiment_Coding_KT004'!BR10</x:f>
        <x:v>Sec. 3 Datasets; Appendix A; Table 2; Table 1; Appendix B</x:v>
      </x:c>
      <x:c r="G675" s="16" t="str">
        <x:v>HIGH</x:v>
      </x:c>
      <x:c r="H675" s="16" t="str">
        <x:v>Y</x:v>
      </x:c>
      <x:c r="I675" s="16" t="str">
        <x:v>Coder A worked example</x:v>
      </x:c>
    </x:row>
    <x:row r="676">
      <x:c r="A676" s="16" t="n">
        <x:v>675</x:v>
      </x:c>
      <x:c r="B676" s="16" t="str">
        <x:v>EXPERIMENT</x:v>
      </x:c>
      <x:c r="C676" s="16" t="str">
        <x:f>'Experiment_Coding_KT004'!A10</x:f>
        <x:v>PILOT_01_E09</x:v>
      </x:c>
      <x:c r="D676" s="16" t="str">
        <x:v>split_unit_original</x:v>
      </x:c>
      <x:c r="E676" s="16" t="str">
        <x:f>'Experiment_Coding_KT004'!R10</x:f>
        <x:v>students</x:v>
      </x:c>
      <x:c r="F676" s="16" t="str">
        <x:f>'Experiment_Coding_KT004'!BR10</x:f>
        <x:v>Sec. 3 Datasets; Appendix A; Table 2; Table 1; Appendix B</x:v>
      </x:c>
      <x:c r="G676" s="16" t="str">
        <x:v>HIGH</x:v>
      </x:c>
      <x:c r="H676" s="16" t="str">
        <x:v>N</x:v>
      </x:c>
      <x:c r="I676" s="16" t="str">
        <x:v>Coder A worked example</x:v>
      </x:c>
    </x:row>
    <x:row r="677">
      <x:c r="A677" s="16" t="n">
        <x:v>676</x:v>
      </x:c>
      <x:c r="B677" s="16" t="str">
        <x:v>EXPERIMENT</x:v>
      </x:c>
      <x:c r="C677" s="16" t="str">
        <x:f>'Experiment_Coding_KT004'!A10</x:f>
        <x:v>PILOT_01_E09</x:v>
      </x:c>
      <x:c r="D677" s="16" t="str">
        <x:v>train_fraction</x:v>
      </x:c>
      <x:c r="E677" s="16" t="n">
        <x:f>'Experiment_Coding_KT004'!S10</x:f>
        <x:v>0.8</x:v>
      </x:c>
      <x:c r="F677" s="16" t="str">
        <x:f>'Experiment_Coding_KT004'!BR10</x:f>
        <x:v>Sec. 3 Datasets; Appendix A; Table 2; Table 1; Appendix B</x:v>
      </x:c>
      <x:c r="G677" s="16" t="str">
        <x:v>HIGH</x:v>
      </x:c>
      <x:c r="H677" s="16" t="str">
        <x:v>N</x:v>
      </x:c>
      <x:c r="I677" s="16" t="str">
        <x:v>Coder A worked example</x:v>
      </x:c>
    </x:row>
    <x:row r="678">
      <x:c r="A678" s="16" t="n">
        <x:v>677</x:v>
      </x:c>
      <x:c r="B678" s="16" t="str">
        <x:v>EXPERIMENT</x:v>
      </x:c>
      <x:c r="C678" s="16" t="str">
        <x:f>'Experiment_Coding_KT004'!A10</x:f>
        <x:v>PILOT_01_E09</x:v>
      </x:c>
      <x:c r="D678" s="16" t="str">
        <x:v>validation_fraction</x:v>
      </x:c>
      <x:c r="E678" s="16" t="n">
        <x:f>'Experiment_Coding_KT004'!T10</x:f>
        <x:v>0.1</x:v>
      </x:c>
      <x:c r="F678" s="16" t="str">
        <x:f>'Experiment_Coding_KT004'!BR10</x:f>
        <x:v>Sec. 3 Datasets; Appendix A; Table 2; Table 1; Appendix B</x:v>
      </x:c>
      <x:c r="G678" s="16" t="str">
        <x:v>HIGH</x:v>
      </x:c>
      <x:c r="H678" s="16" t="str">
        <x:v>N</x:v>
      </x:c>
      <x:c r="I678" s="16" t="str">
        <x:v>Coder A worked example</x:v>
      </x:c>
    </x:row>
    <x:row r="679">
      <x:c r="A679" s="16" t="n">
        <x:v>678</x:v>
      </x:c>
      <x:c r="B679" s="16" t="str">
        <x:v>EXPERIMENT</x:v>
      </x:c>
      <x:c r="C679" s="16" t="str">
        <x:f>'Experiment_Coding_KT004'!A10</x:f>
        <x:v>PILOT_01_E09</x:v>
      </x:c>
      <x:c r="D679" s="16" t="str">
        <x:v>test_fraction</x:v>
      </x:c>
      <x:c r="E679" s="16" t="n">
        <x:f>'Experiment_Coding_KT004'!U10</x:f>
        <x:v>0.1</x:v>
      </x:c>
      <x:c r="F679" s="16" t="str">
        <x:f>'Experiment_Coding_KT004'!BR10</x:f>
        <x:v>Sec. 3 Datasets; Appendix A; Table 2; Table 1; Appendix B</x:v>
      </x:c>
      <x:c r="G679" s="16" t="str">
        <x:v>HIGH</x:v>
      </x:c>
      <x:c r="H679" s="16" t="str">
        <x:v>N</x:v>
      </x:c>
      <x:c r="I679" s="16" t="str">
        <x:v>Coder A worked example</x:v>
      </x:c>
    </x:row>
    <x:row r="680">
      <x:c r="A680" s="16" t="n">
        <x:v>679</x:v>
      </x:c>
      <x:c r="B680" s="16" t="str">
        <x:v>EXPERIMENT</x:v>
      </x:c>
      <x:c r="C680" s="16" t="str">
        <x:f>'Experiment_Coding_KT004'!A10</x:f>
        <x:v>PILOT_01_E09</x:v>
      </x:c>
      <x:c r="D680" s="16" t="str">
        <x:v>validation_set_separate</x:v>
      </x:c>
      <x:c r="E680" s="16" t="str">
        <x:f>'Experiment_Coding_KT004'!V10</x:f>
        <x:v>Y</x:v>
      </x:c>
      <x:c r="F680" s="16" t="str">
        <x:f>'Experiment_Coding_KT004'!BR10</x:f>
        <x:v>Sec. 3 Datasets; Appendix A; Table 2; Table 1; Appendix B</x:v>
      </x:c>
      <x:c r="G680" s="16" t="str">
        <x:v>HIGH</x:v>
      </x:c>
      <x:c r="H680" s="16" t="str">
        <x:v>Y</x:v>
      </x:c>
      <x:c r="I680" s="16" t="str">
        <x:v>Coder A worked example</x:v>
      </x:c>
    </x:row>
    <x:row r="681">
      <x:c r="A681" s="16" t="n">
        <x:v>680</x:v>
      </x:c>
      <x:c r="B681" s="16" t="str">
        <x:v>EXPERIMENT</x:v>
      </x:c>
      <x:c r="C681" s="16" t="str">
        <x:f>'Experiment_Coding_KT004'!A10</x:f>
        <x:v>PILOT_01_E09</x:v>
      </x:c>
      <x:c r="D681" s="16" t="str">
        <x:v>early_stopping_validation_only</x:v>
      </x:c>
      <x:c r="E681" s="16" t="str">
        <x:f>'Experiment_Coding_KT004'!W10</x:f>
        <x:v>UNCLEAR</x:v>
      </x:c>
      <x:c r="F681" s="16" t="str">
        <x:f>'Experiment_Coding_KT004'!BR10</x:f>
        <x:v>Sec. 3 Datasets; Appendix A; Table 2; Table 1; Appendix B</x:v>
      </x:c>
      <x:c r="G681" s="16" t="str">
        <x:v>HIGH</x:v>
      </x:c>
      <x:c r="H681" s="16" t="str">
        <x:v>Y</x:v>
      </x:c>
      <x:c r="I681" s="16" t="str">
        <x:v>Coder A worked example</x:v>
      </x:c>
    </x:row>
    <x:row r="682">
      <x:c r="A682" s="16" t="n">
        <x:v>681</x:v>
      </x:c>
      <x:c r="B682" s="16" t="str">
        <x:v>EXPERIMENT</x:v>
      </x:c>
      <x:c r="C682" s="16" t="str">
        <x:f>'Experiment_Coding_KT004'!A10</x:f>
        <x:v>PILOT_01_E09</x:v>
      </x:c>
      <x:c r="D682" s="16" t="str">
        <x:v>graph_train_only</x:v>
      </x:c>
      <x:c r="E682" s="16" t="str">
        <x:f>'Experiment_Coding_KT004'!X10</x:f>
        <x:v>Y</x:v>
      </x:c>
      <x:c r="F682" s="16" t="str">
        <x:f>'Experiment_Coding_KT004'!BR10</x:f>
        <x:v>Sec. 3 Datasets; Appendix A; Table 2; Table 1; Appendix B</x:v>
      </x:c>
      <x:c r="G682" s="16" t="str">
        <x:v>HIGH</x:v>
      </x:c>
      <x:c r="H682" s="16" t="str">
        <x:v>Y</x:v>
      </x:c>
      <x:c r="I682" s="16" t="str">
        <x:v>Coder A worked example</x:v>
      </x:c>
    </x:row>
    <x:row r="683">
      <x:c r="A683" s="16" t="n">
        <x:v>682</x:v>
      </x:c>
      <x:c r="B683" s="16" t="str">
        <x:v>EXPERIMENT</x:v>
      </x:c>
      <x:c r="C683" s="16" t="str">
        <x:f>'Experiment_Coding_KT004'!A10</x:f>
        <x:v>PILOT_01_E09</x:v>
      </x:c>
      <x:c r="D683" s="16" t="str">
        <x:v>normalization_train_only</x:v>
      </x:c>
      <x:c r="E683" s="16" t="str">
        <x:f>'Experiment_Coding_KT004'!Y10</x:f>
        <x:v>NR</x:v>
      </x:c>
      <x:c r="F683" s="16" t="str">
        <x:f>'Experiment_Coding_KT004'!BR10</x:f>
        <x:v>Sec. 3 Datasets; Appendix A; Table 2; Table 1; Appendix B</x:v>
      </x:c>
      <x:c r="G683" s="16" t="str">
        <x:v>HIGH</x:v>
      </x:c>
      <x:c r="H683" s="16" t="str">
        <x:v>Y</x:v>
      </x:c>
      <x:c r="I683" s="16" t="str">
        <x:v>Coder A worked example</x:v>
      </x:c>
    </x:row>
    <x:row r="684">
      <x:c r="A684" s="16" t="n">
        <x:v>683</x:v>
      </x:c>
      <x:c r="B684" s="16" t="str">
        <x:v>EXPERIMENT</x:v>
      </x:c>
      <x:c r="C684" s="16" t="str">
        <x:f>'Experiment_Coding_KT004'!A10</x:f>
        <x:v>PILOT_01_E09</x:v>
      </x:c>
      <x:c r="D684" s="16" t="str">
        <x:v>sparse_strata_train_only</x:v>
      </x:c>
      <x:c r="E684" s="16" t="str">
        <x:f>'Experiment_Coding_KT004'!Z10</x:f>
        <x:v>NA</x:v>
      </x:c>
      <x:c r="F684" s="16" t="str">
        <x:f>'Experiment_Coding_KT004'!BR10</x:f>
        <x:v>Sec. 3 Datasets; Appendix A; Table 2; Table 1; Appendix B</x:v>
      </x:c>
      <x:c r="G684" s="16" t="str">
        <x:v>HIGH</x:v>
      </x:c>
      <x:c r="H684" s="16" t="str">
        <x:v>Y</x:v>
      </x:c>
      <x:c r="I684" s="16" t="str">
        <x:v>Coder A worked example</x:v>
      </x:c>
    </x:row>
    <x:row r="685">
      <x:c r="A685" s="16" t="n">
        <x:v>684</x:v>
      </x:c>
      <x:c r="B685" s="16" t="str">
        <x:v>EXPERIMENT</x:v>
      </x:c>
      <x:c r="C685" s="16" t="str">
        <x:f>'Experiment_Coding_KT004'!A10</x:f>
        <x:v>PILOT_01_E09</x:v>
      </x:c>
      <x:c r="D685" s="16" t="str">
        <x:v>temporal_alignment_audited</x:v>
      </x:c>
      <x:c r="E685" s="16" t="str">
        <x:f>'Experiment_Coding_KT004'!AA10</x:f>
        <x:v>NR</x:v>
      </x:c>
      <x:c r="F685" s="16" t="str">
        <x:f>'Experiment_Coding_KT004'!BR10</x:f>
        <x:v>Sec. 3 Datasets; Appendix A; Table 2; Table 1; Appendix B</x:v>
      </x:c>
      <x:c r="G685" s="16" t="str">
        <x:v>HIGH</x:v>
      </x:c>
      <x:c r="H685" s="16" t="str">
        <x:v>Y</x:v>
      </x:c>
      <x:c r="I685" s="16" t="str">
        <x:v>Coder A worked example</x:v>
      </x:c>
    </x:row>
    <x:row r="686">
      <x:c r="A686" s="16" t="n">
        <x:v>685</x:v>
      </x:c>
      <x:c r="B686" s="16" t="str">
        <x:v>EXPERIMENT</x:v>
      </x:c>
      <x:c r="C686" s="16" t="str">
        <x:f>'Experiment_Coding_KT004'!A10</x:f>
        <x:v>PILOT_01_E09</x:v>
      </x:c>
      <x:c r="D686" s="16" t="str">
        <x:v>duplicate_entity_leakage_checked</x:v>
      </x:c>
      <x:c r="E686" s="16" t="str">
        <x:f>'Experiment_Coding_KT004'!AB10</x:f>
        <x:v>NR</x:v>
      </x:c>
      <x:c r="F686" s="16" t="str">
        <x:f>'Experiment_Coding_KT004'!BR10</x:f>
        <x:v>Sec. 3 Datasets; Appendix A; Table 2; Table 1; Appendix B</x:v>
      </x:c>
      <x:c r="G686" s="16" t="str">
        <x:v>HIGH</x:v>
      </x:c>
      <x:c r="H686" s="16" t="str">
        <x:v>Y</x:v>
      </x:c>
      <x:c r="I686" s="16" t="str">
        <x:v>Coder A worked example</x:v>
      </x:c>
    </x:row>
    <x:row r="687">
      <x:c r="A687" s="16" t="n">
        <x:v>686</x:v>
      </x:c>
      <x:c r="B687" s="16" t="str">
        <x:v>EXPERIMENT</x:v>
      </x:c>
      <x:c r="C687" s="16" t="str">
        <x:f>'Experiment_Coding_KT004'!A10</x:f>
        <x:v>PILOT_01_E09</x:v>
      </x:c>
      <x:c r="D687" s="16" t="str">
        <x:v>sparsity_construct</x:v>
      </x:c>
      <x:c r="E687" s="16" t="str">
        <x:f>'Experiment_Coding_KT004'!AC10</x:f>
        <x:v>NO_EXPLICIT_FOCUS</x:v>
      </x:c>
      <x:c r="F687" s="16" t="str">
        <x:f>'Experiment_Coding_KT004'!BR10</x:f>
        <x:v>Sec. 3 Datasets; Appendix A; Table 2; Table 1; Appendix B</x:v>
      </x:c>
      <x:c r="G687" s="16" t="str">
        <x:v>HIGH</x:v>
      </x:c>
      <x:c r="H687" s="16" t="str">
        <x:v>Y</x:v>
      </x:c>
      <x:c r="I687" s="16" t="str">
        <x:v>Coder A worked example</x:v>
      </x:c>
    </x:row>
    <x:row r="688">
      <x:c r="A688" s="16" t="n">
        <x:v>687</x:v>
      </x:c>
      <x:c r="B688" s="16" t="str">
        <x:v>EXPERIMENT</x:v>
      </x:c>
      <x:c r="C688" s="16" t="str">
        <x:f>'Experiment_Coding_KT004'!A10</x:f>
        <x:v>PILOT_01_E09</x:v>
      </x:c>
      <x:c r="D688" s="16" t="str">
        <x:v>sparse_definition_original</x:v>
      </x:c>
      <x:c r="E688" s="16" t="str">
        <x:f>'Experiment_Coding_KT004'!AD10</x:f>
        <x:v>NA</x:v>
      </x:c>
      <x:c r="F688" s="16" t="str">
        <x:f>'Experiment_Coding_KT004'!BR10</x:f>
        <x:v>Sec. 3 Datasets; Appendix A; Table 2; Table 1; Appendix B</x:v>
      </x:c>
      <x:c r="G688" s="16" t="str">
        <x:v>HIGH</x:v>
      </x:c>
      <x:c r="H688" s="16" t="str">
        <x:v>N</x:v>
      </x:c>
      <x:c r="I688" s="16" t="str">
        <x:v>Coder A worked example</x:v>
      </x:c>
    </x:row>
    <x:row r="689">
      <x:c r="A689" s="16" t="n">
        <x:v>688</x:v>
      </x:c>
      <x:c r="B689" s="16" t="str">
        <x:v>EXPERIMENT</x:v>
      </x:c>
      <x:c r="C689" s="16" t="str">
        <x:f>'Experiment_Coding_KT004'!A10</x:f>
        <x:v>PILOT_01_E09</x:v>
      </x:c>
      <x:c r="D689" s="16" t="str">
        <x:v>sparse_threshold_original</x:v>
      </x:c>
      <x:c r="E689" s="16" t="str">
        <x:f>'Experiment_Coding_KT004'!AE10</x:f>
        <x:v>NA</x:v>
      </x:c>
      <x:c r="F689" s="16" t="str">
        <x:f>'Experiment_Coding_KT004'!BR10</x:f>
        <x:v>Sec. 3 Datasets; Appendix A; Table 2; Table 1; Appendix B</x:v>
      </x:c>
      <x:c r="G689" s="16" t="str">
        <x:v>HIGH</x:v>
      </x:c>
      <x:c r="H689" s="16" t="str">
        <x:v>N</x:v>
      </x:c>
      <x:c r="I689" s="16" t="str">
        <x:v>Coder A worked example</x:v>
      </x:c>
    </x:row>
    <x:row r="690">
      <x:c r="A690" s="16" t="n">
        <x:v>689</x:v>
      </x:c>
      <x:c r="B690" s="16" t="str">
        <x:v>EXPERIMENT</x:v>
      </x:c>
      <x:c r="C690" s="16" t="str">
        <x:f>'Experiment_Coding_KT004'!A10</x:f>
        <x:v>PILOT_01_E09</x:v>
      </x:c>
      <x:c r="D690" s="16" t="str">
        <x:v>threshold_source</x:v>
      </x:c>
      <x:c r="E690" s="16" t="str">
        <x:f>'Experiment_Coding_KT004'!AF10</x:f>
        <x:v>NA</x:v>
      </x:c>
      <x:c r="F690" s="16" t="str">
        <x:f>'Experiment_Coding_KT004'!BR10</x:f>
        <x:v>Sec. 3 Datasets; Appendix A; Table 2; Table 1; Appendix B</x:v>
      </x:c>
      <x:c r="G690" s="16" t="str">
        <x:v>HIGH</x:v>
      </x:c>
      <x:c r="H690" s="16" t="str">
        <x:v>Y</x:v>
      </x:c>
      <x:c r="I690" s="16" t="str">
        <x:v>Coder A worked example</x:v>
      </x:c>
    </x:row>
    <x:row r="691">
      <x:c r="A691" s="16" t="n">
        <x:v>690</x:v>
      </x:c>
      <x:c r="B691" s="16" t="str">
        <x:v>EXPERIMENT</x:v>
      </x:c>
      <x:c r="C691" s="16" t="str">
        <x:f>'Experiment_Coding_KT004'!A10</x:f>
        <x:v>PILOT_01_E09</x:v>
      </x:c>
      <x:c r="D691" s="16" t="str">
        <x:v>frequency_computed_on</x:v>
      </x:c>
      <x:c r="E691" s="16" t="str">
        <x:f>'Experiment_Coding_KT004'!AG10</x:f>
        <x:v>NA</x:v>
      </x:c>
      <x:c r="F691" s="16" t="str">
        <x:f>'Experiment_Coding_KT004'!BR10</x:f>
        <x:v>Sec. 3 Datasets; Appendix A; Table 2; Table 1; Appendix B</x:v>
      </x:c>
      <x:c r="G691" s="16" t="str">
        <x:v>HIGH</x:v>
      </x:c>
      <x:c r="H691" s="16" t="str">
        <x:v>Y</x:v>
      </x:c>
      <x:c r="I691" s="16" t="str">
        <x:v>Coder A worked example</x:v>
      </x:c>
    </x:row>
    <x:row r="692">
      <x:c r="A692" s="16" t="n">
        <x:v>691</x:v>
      </x:c>
      <x:c r="B692" s="16" t="str">
        <x:v>EXPERIMENT</x:v>
      </x:c>
      <x:c r="C692" s="16" t="str">
        <x:f>'Experiment_Coding_KT004'!A10</x:f>
        <x:v>PILOT_01_E09</x:v>
      </x:c>
      <x:c r="D692" s="16" t="str">
        <x:v>strict_zero_train_verified</x:v>
      </x:c>
      <x:c r="E692" s="16" t="str">
        <x:f>'Experiment_Coding_KT004'!AH10</x:f>
        <x:v>NA</x:v>
      </x:c>
      <x:c r="F692" s="16" t="str">
        <x:f>'Experiment_Coding_KT004'!BR10</x:f>
        <x:v>Sec. 3 Datasets; Appendix A; Table 2; Table 1; Appendix B</x:v>
      </x:c>
      <x:c r="G692" s="16" t="str">
        <x:v>HIGH</x:v>
      </x:c>
      <x:c r="H692" s="16" t="str">
        <x:v>Y</x:v>
      </x:c>
      <x:c r="I692" s="16" t="str">
        <x:v>Coder A worked example</x:v>
      </x:c>
    </x:row>
    <x:row r="693">
      <x:c r="A693" s="16" t="n">
        <x:v>692</x:v>
      </x:c>
      <x:c r="B693" s="16" t="str">
        <x:v>EXPERIMENT</x:v>
      </x:c>
      <x:c r="C693" s="16" t="str">
        <x:f>'Experiment_Coding_KT004'!A10</x:f>
        <x:v>PILOT_01_E09</x:v>
      </x:c>
      <x:c r="D693" s="16" t="str">
        <x:v>external_info_for_unseen_kc</x:v>
      </x:c>
      <x:c r="E693" s="16" t="str">
        <x:f>'Experiment_Coding_KT004'!AI10</x:f>
        <x:v>NA</x:v>
      </x:c>
      <x:c r="F693" s="16" t="str">
        <x:f>'Experiment_Coding_KT004'!BR10</x:f>
        <x:v>Sec. 3 Datasets; Appendix A; Table 2; Table 1; Appendix B</x:v>
      </x:c>
      <x:c r="G693" s="16" t="str">
        <x:v>HIGH</x:v>
      </x:c>
      <x:c r="H693" s="16" t="str">
        <x:v>Y</x:v>
      </x:c>
      <x:c r="I693" s="16" t="str">
        <x:v>Coder A worked example</x:v>
      </x:c>
    </x:row>
    <x:row r="694">
      <x:c r="A694" s="16" t="n">
        <x:v>693</x:v>
      </x:c>
      <x:c r="B694" s="16" t="str">
        <x:v>EXPERIMENT</x:v>
      </x:c>
      <x:c r="C694" s="16" t="str">
        <x:f>'Experiment_Coding_KT004'!A10</x:f>
        <x:v>PILOT_01_E09</x:v>
      </x:c>
      <x:c r="D694" s="16" t="str">
        <x:v>support_kcs</x:v>
      </x:c>
      <x:c r="E694" s="16" t="str">
        <x:f>'Experiment_Coding_KT004'!AJ10</x:f>
        <x:v>NA</x:v>
      </x:c>
      <x:c r="F694" s="16" t="str">
        <x:f>'Experiment_Coding_KT004'!BR10</x:f>
        <x:v>Sec. 3 Datasets; Appendix A; Table 2; Table 1; Appendix B</x:v>
      </x:c>
      <x:c r="G694" s="16" t="str">
        <x:v>HIGH</x:v>
      </x:c>
      <x:c r="H694" s="16" t="str">
        <x:v>N</x:v>
      </x:c>
      <x:c r="I694" s="16" t="str">
        <x:v>Coder A worked example</x:v>
      </x:c>
    </x:row>
    <x:row r="695">
      <x:c r="A695" s="16" t="n">
        <x:v>694</x:v>
      </x:c>
      <x:c r="B695" s="16" t="str">
        <x:v>EXPERIMENT</x:v>
      </x:c>
      <x:c r="C695" s="16" t="str">
        <x:f>'Experiment_Coding_KT004'!A10</x:f>
        <x:v>PILOT_01_E09</x:v>
      </x:c>
      <x:c r="D695" s="16" t="str">
        <x:v>support_learners</x:v>
      </x:c>
      <x:c r="E695" s="16" t="str">
        <x:f>'Experiment_Coding_KT004'!AK10</x:f>
        <x:v>NA</x:v>
      </x:c>
      <x:c r="F695" s="16" t="str">
        <x:f>'Experiment_Coding_KT004'!BR10</x:f>
        <x:v>Sec. 3 Datasets; Appendix A; Table 2; Table 1; Appendix B</x:v>
      </x:c>
      <x:c r="G695" s="16" t="str">
        <x:v>HIGH</x:v>
      </x:c>
      <x:c r="H695" s="16" t="str">
        <x:v>N</x:v>
      </x:c>
      <x:c r="I695" s="16" t="str">
        <x:v>Coder A worked example</x:v>
      </x:c>
    </x:row>
    <x:row r="696">
      <x:c r="A696" s="16" t="n">
        <x:v>695</x:v>
      </x:c>
      <x:c r="B696" s="16" t="str">
        <x:v>EXPERIMENT</x:v>
      </x:c>
      <x:c r="C696" s="16" t="str">
        <x:f>'Experiment_Coding_KT004'!A10</x:f>
        <x:v>PILOT_01_E09</x:v>
      </x:c>
      <x:c r="D696" s="16" t="str">
        <x:v>support_items</x:v>
      </x:c>
      <x:c r="E696" s="16" t="str">
        <x:f>'Experiment_Coding_KT004'!AL10</x:f>
        <x:v>NA</x:v>
      </x:c>
      <x:c r="F696" s="16" t="str">
        <x:f>'Experiment_Coding_KT004'!BR10</x:f>
        <x:v>Sec. 3 Datasets; Appendix A; Table 2; Table 1; Appendix B</x:v>
      </x:c>
      <x:c r="G696" s="16" t="str">
        <x:v>HIGH</x:v>
      </x:c>
      <x:c r="H696" s="16" t="str">
        <x:v>N</x:v>
      </x:c>
      <x:c r="I696" s="16" t="str">
        <x:v>Coder A worked example</x:v>
      </x:c>
    </x:row>
    <x:row r="697">
      <x:c r="A697" s="16" t="n">
        <x:v>696</x:v>
      </x:c>
      <x:c r="B697" s="16" t="str">
        <x:v>EXPERIMENT</x:v>
      </x:c>
      <x:c r="C697" s="16" t="str">
        <x:f>'Experiment_Coding_KT004'!A10</x:f>
        <x:v>PILOT_01_E09</x:v>
      </x:c>
      <x:c r="D697" s="16" t="str">
        <x:v>support_test_interactions</x:v>
      </x:c>
      <x:c r="E697" s="16" t="str">
        <x:f>'Experiment_Coding_KT004'!AM10</x:f>
        <x:v>NA</x:v>
      </x:c>
      <x:c r="F697" s="16" t="str">
        <x:f>'Experiment_Coding_KT004'!BR10</x:f>
        <x:v>Sec. 3 Datasets; Appendix A; Table 2; Table 1; Appendix B</x:v>
      </x:c>
      <x:c r="G697" s="16" t="str">
        <x:v>HIGH</x:v>
      </x:c>
      <x:c r="H697" s="16" t="str">
        <x:v>N</x:v>
      </x:c>
      <x:c r="I697" s="16" t="str">
        <x:v>Coder A worked example</x:v>
      </x:c>
    </x:row>
    <x:row r="698">
      <x:c r="A698" s="16" t="n">
        <x:v>697</x:v>
      </x:c>
      <x:c r="B698" s="16" t="str">
        <x:v>EXPERIMENT</x:v>
      </x:c>
      <x:c r="C698" s="16" t="str">
        <x:f>'Experiment_Coding_KT004'!A10</x:f>
        <x:v>PILOT_01_E09</x:v>
      </x:c>
      <x:c r="D698" s="16" t="str">
        <x:v>positive_count</x:v>
      </x:c>
      <x:c r="E698" s="16" t="str">
        <x:f>'Experiment_Coding_KT004'!AN10</x:f>
        <x:v>NA</x:v>
      </x:c>
      <x:c r="F698" s="16" t="str">
        <x:f>'Experiment_Coding_KT004'!BR10</x:f>
        <x:v>Sec. 3 Datasets; Appendix A; Table 2; Table 1; Appendix B</x:v>
      </x:c>
      <x:c r="G698" s="16" t="str">
        <x:v>HIGH</x:v>
      </x:c>
      <x:c r="H698" s="16" t="str">
        <x:v>N</x:v>
      </x:c>
      <x:c r="I698" s="16" t="str">
        <x:v>Coder A worked example</x:v>
      </x:c>
    </x:row>
    <x:row r="699">
      <x:c r="A699" s="16" t="n">
        <x:v>698</x:v>
      </x:c>
      <x:c r="B699" s="16" t="str">
        <x:v>EXPERIMENT</x:v>
      </x:c>
      <x:c r="C699" s="16" t="str">
        <x:f>'Experiment_Coding_KT004'!A10</x:f>
        <x:v>PILOT_01_E09</x:v>
      </x:c>
      <x:c r="D699" s="16" t="str">
        <x:v>negative_count</x:v>
      </x:c>
      <x:c r="E699" s="16" t="str">
        <x:f>'Experiment_Coding_KT004'!AO10</x:f>
        <x:v>NA</x:v>
      </x:c>
      <x:c r="F699" s="16" t="str">
        <x:f>'Experiment_Coding_KT004'!BR10</x:f>
        <x:v>Sec. 3 Datasets; Appendix A; Table 2; Table 1; Appendix B</x:v>
      </x:c>
      <x:c r="G699" s="16" t="str">
        <x:v>HIGH</x:v>
      </x:c>
      <x:c r="H699" s="16" t="str">
        <x:v>N</x:v>
      </x:c>
      <x:c r="I699" s="16" t="str">
        <x:v>Coder A worked example</x:v>
      </x:c>
    </x:row>
    <x:row r="700">
      <x:c r="A700" s="16" t="n">
        <x:v>699</x:v>
      </x:c>
      <x:c r="B700" s="16" t="str">
        <x:v>EXPERIMENT</x:v>
      </x:c>
      <x:c r="C700" s="16" t="str">
        <x:f>'Experiment_Coding_KT004'!A10</x:f>
        <x:v>PILOT_01_E09</x:v>
      </x:c>
      <x:c r="D700" s="16" t="str">
        <x:v>metric_name_original</x:v>
      </x:c>
      <x:c r="E700" s="16" t="str">
        <x:f>'Experiment_Coding_KT004'!AP10</x:f>
        <x:v>AUC</x:v>
      </x:c>
      <x:c r="F700" s="16" t="str">
        <x:f>'Experiment_Coding_KT004'!BR10</x:f>
        <x:v>Sec. 3 Datasets; Appendix A; Table 2; Table 1; Appendix B</x:v>
      </x:c>
      <x:c r="G700" s="16" t="str">
        <x:v>HIGH</x:v>
      </x:c>
      <x:c r="H700" s="16" t="str">
        <x:v>N</x:v>
      </x:c>
      <x:c r="I700" s="16" t="str">
        <x:v>Coder A worked example</x:v>
      </x:c>
    </x:row>
    <x:row r="701">
      <x:c r="A701" s="16" t="n">
        <x:v>700</x:v>
      </x:c>
      <x:c r="B701" s="16" t="str">
        <x:v>EXPERIMENT</x:v>
      </x:c>
      <x:c r="C701" s="16" t="str">
        <x:f>'Experiment_Coding_KT004'!A10</x:f>
        <x:v>PILOT_01_E09</x:v>
      </x:c>
      <x:c r="D701" s="16" t="str">
        <x:v>metric_value_original</x:v>
      </x:c>
      <x:c r="E701" s="16" t="n">
        <x:f>'Experiment_Coding_KT004'!AQ10</x:f>
        <x:v>0.723</x:v>
      </x:c>
      <x:c r="F701" s="16" t="str">
        <x:f>'Experiment_Coding_KT004'!BR10</x:f>
        <x:v>Sec. 3 Datasets; Appendix A; Table 2; Table 1; Appendix B</x:v>
      </x:c>
      <x:c r="G701" s="16" t="str">
        <x:v>HIGH</x:v>
      </x:c>
      <x:c r="H701" s="16" t="str">
        <x:v>N</x:v>
      </x:c>
      <x:c r="I701" s="16" t="str">
        <x:v>Coder A worked example</x:v>
      </x:c>
    </x:row>
    <x:row r="702">
      <x:c r="A702" s="16" t="n">
        <x:v>701</x:v>
      </x:c>
      <x:c r="B702" s="16" t="str">
        <x:v>EXPERIMENT</x:v>
      </x:c>
      <x:c r="C702" s="16" t="str">
        <x:f>'Experiment_Coding_KT004'!A10</x:f>
        <x:v>PILOT_01_E09</x:v>
      </x:c>
      <x:c r="D702" s="16" t="str">
        <x:v>metric_scope</x:v>
      </x:c>
      <x:c r="E702" s="16" t="str">
        <x:f>'Experiment_Coding_KT004'!AR10</x:f>
        <x:v>OVERALL</x:v>
      </x:c>
      <x:c r="F702" s="16" t="str">
        <x:f>'Experiment_Coding_KT004'!BR10</x:f>
        <x:v>Sec. 3 Datasets; Appendix A; Table 2; Table 1; Appendix B</x:v>
      </x:c>
      <x:c r="G702" s="16" t="str">
        <x:v>HIGH</x:v>
      </x:c>
      <x:c r="H702" s="16" t="str">
        <x:v>Y</x:v>
      </x:c>
      <x:c r="I702" s="16" t="str">
        <x:v>Coder A worked example</x:v>
      </x:c>
    </x:row>
    <x:row r="703">
      <x:c r="A703" s="16" t="n">
        <x:v>702</x:v>
      </x:c>
      <x:c r="B703" s="16" t="str">
        <x:v>EXPERIMENT</x:v>
      </x:c>
      <x:c r="C703" s="16" t="str">
        <x:f>'Experiment_Coding_KT004'!A10</x:f>
        <x:v>PILOT_01_E09</x:v>
      </x:c>
      <x:c r="D703" s="16" t="str">
        <x:v>n_seeds</x:v>
      </x:c>
      <x:c r="E703" s="16" t="str">
        <x:f>'Experiment_Coding_KT004'!AS10</x:f>
        <x:v>NR</x:v>
      </x:c>
      <x:c r="F703" s="16" t="str">
        <x:f>'Experiment_Coding_KT004'!BR10</x:f>
        <x:v>Sec. 3 Datasets; Appendix A; Table 2; Table 1; Appendix B</x:v>
      </x:c>
      <x:c r="G703" s="16" t="str">
        <x:v>HIGH</x:v>
      </x:c>
      <x:c r="H703" s="16" t="str">
        <x:v>N</x:v>
      </x:c>
      <x:c r="I703" s="16" t="str">
        <x:v>Coder A worked example</x:v>
      </x:c>
    </x:row>
    <x:row r="704">
      <x:c r="A704" s="16" t="n">
        <x:v>703</x:v>
      </x:c>
      <x:c r="B704" s="16" t="str">
        <x:v>EXPERIMENT</x:v>
      </x:c>
      <x:c r="C704" s="16" t="str">
        <x:f>'Experiment_Coding_KT004'!A10</x:f>
        <x:v>PILOT_01_E09</x:v>
      </x:c>
      <x:c r="D704" s="16" t="str">
        <x:v>seed_values_reported</x:v>
      </x:c>
      <x:c r="E704" s="16" t="str">
        <x:f>'Experiment_Coding_KT004'!AT10</x:f>
        <x:v>NR</x:v>
      </x:c>
      <x:c r="F704" s="16" t="str">
        <x:f>'Experiment_Coding_KT004'!BR10</x:f>
        <x:v>Sec. 3 Datasets; Appendix A; Table 2; Table 1; Appendix B</x:v>
      </x:c>
      <x:c r="G704" s="16" t="str">
        <x:v>HIGH</x:v>
      </x:c>
      <x:c r="H704" s="16" t="str">
        <x:v>N</x:v>
      </x:c>
      <x:c r="I704" s="16" t="str">
        <x:v>Coder A worked example</x:v>
      </x:c>
    </x:row>
    <x:row r="705">
      <x:c r="A705" s="16" t="n">
        <x:v>704</x:v>
      </x:c>
      <x:c r="B705" s="16" t="str">
        <x:v>EXPERIMENT</x:v>
      </x:c>
      <x:c r="C705" s="16" t="str">
        <x:f>'Experiment_Coding_KT004'!A10</x:f>
        <x:v>PILOT_01_E09</x:v>
      </x:c>
      <x:c r="D705" s="16" t="str">
        <x:v>mean_std_reported</x:v>
      </x:c>
      <x:c r="E705" s="16" t="str">
        <x:f>'Experiment_Coding_KT004'!AU10</x:f>
        <x:v>N</x:v>
      </x:c>
      <x:c r="F705" s="16" t="str">
        <x:f>'Experiment_Coding_KT004'!BR10</x:f>
        <x:v>Sec. 3 Datasets; Appendix A; Table 2; Table 1; Appendix B</x:v>
      </x:c>
      <x:c r="G705" s="16" t="str">
        <x:v>HIGH</x:v>
      </x:c>
      <x:c r="H705" s="16" t="str">
        <x:v>Y</x:v>
      </x:c>
      <x:c r="I705" s="16" t="str">
        <x:v>Coder A worked example</x:v>
      </x:c>
    </x:row>
    <x:row r="706">
      <x:c r="A706" s="16" t="n">
        <x:v>705</x:v>
      </x:c>
      <x:c r="B706" s="16" t="str">
        <x:v>EXPERIMENT</x:v>
      </x:c>
      <x:c r="C706" s="16" t="str">
        <x:f>'Experiment_Coding_KT004'!A10</x:f>
        <x:v>PILOT_01_E09</x:v>
      </x:c>
      <x:c r="D706" s="16" t="str">
        <x:v>confidence_interval</x:v>
      </x:c>
      <x:c r="E706" s="16" t="str">
        <x:f>'Experiment_Coding_KT004'!AV10</x:f>
        <x:v>NR</x:v>
      </x:c>
      <x:c r="F706" s="16" t="str">
        <x:f>'Experiment_Coding_KT004'!BR10</x:f>
        <x:v>Sec. 3 Datasets; Appendix A; Table 2; Table 1; Appendix B</x:v>
      </x:c>
      <x:c r="G706" s="16" t="str">
        <x:v>HIGH</x:v>
      </x:c>
      <x:c r="H706" s="16" t="str">
        <x:v>N</x:v>
      </x:c>
      <x:c r="I706" s="16" t="str">
        <x:v>Coder A worked example</x:v>
      </x:c>
    </x:row>
    <x:row r="707">
      <x:c r="A707" s="16" t="n">
        <x:v>706</x:v>
      </x:c>
      <x:c r="B707" s="16" t="str">
        <x:v>EXPERIMENT</x:v>
      </x:c>
      <x:c r="C707" s="16" t="str">
        <x:f>'Experiment_Coding_KT004'!A10</x:f>
        <x:v>PILOT_01_E09</x:v>
      </x:c>
      <x:c r="D707" s="16" t="str">
        <x:v>bootstrap_unit</x:v>
      </x:c>
      <x:c r="E707" s="16" t="str">
        <x:f>'Experiment_Coding_KT004'!AW10</x:f>
        <x:v>NA</x:v>
      </x:c>
      <x:c r="F707" s="16" t="str">
        <x:f>'Experiment_Coding_KT004'!BR10</x:f>
        <x:v>Sec. 3 Datasets; Appendix A; Table 2; Table 1; Appendix B</x:v>
      </x:c>
      <x:c r="G707" s="16" t="str">
        <x:v>HIGH</x:v>
      </x:c>
      <x:c r="H707" s="16" t="str">
        <x:v>Y</x:v>
      </x:c>
      <x:c r="I707" s="16" t="str">
        <x:v>Coder A worked example</x:v>
      </x:c>
    </x:row>
    <x:row r="708">
      <x:c r="A708" s="16" t="n">
        <x:v>707</x:v>
      </x:c>
      <x:c r="B708" s="16" t="str">
        <x:v>EXPERIMENT</x:v>
      </x:c>
      <x:c r="C708" s="16" t="str">
        <x:f>'Experiment_Coding_KT004'!A10</x:f>
        <x:v>PILOT_01_E09</x:v>
      </x:c>
      <x:c r="D708" s="16" t="str">
        <x:v>statistical_test</x:v>
      </x:c>
      <x:c r="E708" s="16" t="str">
        <x:f>'Experiment_Coding_KT004'!AX10</x:f>
        <x:v>NR</x:v>
      </x:c>
      <x:c r="F708" s="16" t="str">
        <x:f>'Experiment_Coding_KT004'!BR10</x:f>
        <x:v>Sec. 3 Datasets; Appendix A; Table 2; Table 1; Appendix B</x:v>
      </x:c>
      <x:c r="G708" s="16" t="str">
        <x:v>HIGH</x:v>
      </x:c>
      <x:c r="H708" s="16" t="str">
        <x:v>N</x:v>
      </x:c>
      <x:c r="I708" s="16" t="str">
        <x:v>Coder A worked example</x:v>
      </x:c>
    </x:row>
    <x:row r="709">
      <x:c r="A709" s="16" t="n">
        <x:v>708</x:v>
      </x:c>
      <x:c r="B709" s="16" t="str">
        <x:v>EXPERIMENT</x:v>
      </x:c>
      <x:c r="C709" s="16" t="str">
        <x:f>'Experiment_Coding_KT004'!A10</x:f>
        <x:v>PILOT_01_E09</x:v>
      </x:c>
      <x:c r="D709" s="16" t="str">
        <x:v>multiple_comparison_correction</x:v>
      </x:c>
      <x:c r="E709" s="16" t="str">
        <x:f>'Experiment_Coding_KT004'!AY10</x:f>
        <x:v>NR</x:v>
      </x:c>
      <x:c r="F709" s="16" t="str">
        <x:f>'Experiment_Coding_KT004'!BR10</x:f>
        <x:v>Sec. 3 Datasets; Appendix A; Table 2; Table 1; Appendix B</x:v>
      </x:c>
      <x:c r="G709" s="16" t="str">
        <x:v>HIGH</x:v>
      </x:c>
      <x:c r="H709" s="16" t="str">
        <x:v>N</x:v>
      </x:c>
      <x:c r="I709" s="16" t="str">
        <x:v>Coder A worked example</x:v>
      </x:c>
    </x:row>
    <x:row r="710">
      <x:c r="A710" s="16" t="n">
        <x:v>709</x:v>
      </x:c>
      <x:c r="B710" s="16" t="str">
        <x:v>EXPERIMENT</x:v>
      </x:c>
      <x:c r="C710" s="16" t="str">
        <x:f>'Experiment_Coding_KT004'!A10</x:f>
        <x:v>PILOT_01_E09</x:v>
      </x:c>
      <x:c r="D710" s="16" t="str">
        <x:v>effect_size</x:v>
      </x:c>
      <x:c r="E710" s="16" t="str">
        <x:f>'Experiment_Coding_KT004'!AZ10</x:f>
        <x:v>NR</x:v>
      </x:c>
      <x:c r="F710" s="16" t="str">
        <x:f>'Experiment_Coding_KT004'!BR10</x:f>
        <x:v>Sec. 3 Datasets; Appendix A; Table 2; Table 1; Appendix B</x:v>
      </x:c>
      <x:c r="G710" s="16" t="str">
        <x:v>HIGH</x:v>
      </x:c>
      <x:c r="H710" s="16" t="str">
        <x:v>N</x:v>
      </x:c>
      <x:c r="I710" s="16" t="str">
        <x:v>Coder A worked example</x:v>
      </x:c>
    </x:row>
    <x:row r="711">
      <x:c r="A711" s="16" t="n">
        <x:v>710</x:v>
      </x:c>
      <x:c r="B711" s="16" t="str">
        <x:v>EXPERIMENT</x:v>
      </x:c>
      <x:c r="C711" s="16" t="str">
        <x:f>'Experiment_Coding_KT004'!A10</x:f>
        <x:v>PILOT_01_E09</x:v>
      </x:c>
      <x:c r="D711" s="16" t="str">
        <x:v>paired_design</x:v>
      </x:c>
      <x:c r="E711" s="16" t="str">
        <x:f>'Experiment_Coding_KT004'!BA10</x:f>
        <x:v>NR</x:v>
      </x:c>
      <x:c r="F711" s="16" t="str">
        <x:f>'Experiment_Coding_KT004'!BR10</x:f>
        <x:v>Sec. 3 Datasets; Appendix A; Table 2; Table 1; Appendix B</x:v>
      </x:c>
      <x:c r="G711" s="16" t="str">
        <x:v>HIGH</x:v>
      </x:c>
      <x:c r="H711" s="16" t="str">
        <x:v>Y</x:v>
      </x:c>
      <x:c r="I711" s="16" t="str">
        <x:v>Coder A worked example</x:v>
      </x:c>
    </x:row>
    <x:row r="712">
      <x:c r="A712" s="16" t="n">
        <x:v>711</x:v>
      </x:c>
      <x:c r="B712" s="16" t="str">
        <x:v>EXPERIMENT</x:v>
      </x:c>
      <x:c r="C712" s="16" t="str">
        <x:f>'Experiment_Coding_KT004'!A10</x:f>
        <x:v>PILOT_01_E09</x:v>
      </x:c>
      <x:c r="D712" s="16" t="str">
        <x:v>significance_threshold</x:v>
      </x:c>
      <x:c r="E712" s="16" t="str">
        <x:f>'Experiment_Coding_KT004'!BB10</x:f>
        <x:v>NR</x:v>
      </x:c>
      <x:c r="F712" s="16" t="str">
        <x:f>'Experiment_Coding_KT004'!BR10</x:f>
        <x:v>Sec. 3 Datasets; Appendix A; Table 2; Table 1; Appendix B</x:v>
      </x:c>
      <x:c r="G712" s="16" t="str">
        <x:v>HIGH</x:v>
      </x:c>
      <x:c r="H712" s="16" t="str">
        <x:v>N</x:v>
      </x:c>
      <x:c r="I712" s="16" t="str">
        <x:v>Coder A worked example</x:v>
      </x:c>
    </x:row>
    <x:row r="713">
      <x:c r="A713" s="16" t="n">
        <x:v>712</x:v>
      </x:c>
      <x:c r="B713" s="16" t="str">
        <x:v>EXPERIMENT</x:v>
      </x:c>
      <x:c r="C713" s="16" t="str">
        <x:f>'Experiment_Coding_KT004'!A10</x:f>
        <x:v>PILOT_01_E09</x:v>
      </x:c>
      <x:c r="D713" s="16" t="str">
        <x:v>parameter_count</x:v>
      </x:c>
      <x:c r="E713" s="16" t="str">
        <x:f>'Experiment_Coding_KT004'!BC10</x:f>
        <x:v>NR</x:v>
      </x:c>
      <x:c r="F713" s="16" t="str">
        <x:f>'Experiment_Coding_KT004'!BR10</x:f>
        <x:v>Sec. 3 Datasets; Appendix A; Table 2; Table 1; Appendix B</x:v>
      </x:c>
      <x:c r="G713" s="16" t="str">
        <x:v>HIGH</x:v>
      </x:c>
      <x:c r="H713" s="16" t="str">
        <x:v>N</x:v>
      </x:c>
      <x:c r="I713" s="16" t="str">
        <x:v>Coder A worked example</x:v>
      </x:c>
    </x:row>
    <x:row r="714">
      <x:c r="A714" s="16" t="n">
        <x:v>713</x:v>
      </x:c>
      <x:c r="B714" s="16" t="str">
        <x:v>EXPERIMENT</x:v>
      </x:c>
      <x:c r="C714" s="16" t="str">
        <x:f>'Experiment_Coding_KT004'!A10</x:f>
        <x:v>PILOT_01_E09</x:v>
      </x:c>
      <x:c r="D714" s="16" t="str">
        <x:v>train_time</x:v>
      </x:c>
      <x:c r="E714" s="16" t="str">
        <x:f>'Experiment_Coding_KT004'!BD10</x:f>
        <x:v>NR</x:v>
      </x:c>
      <x:c r="F714" s="16" t="str">
        <x:f>'Experiment_Coding_KT004'!BR10</x:f>
        <x:v>Sec. 3 Datasets; Appendix A; Table 2; Table 1; Appendix B</x:v>
      </x:c>
      <x:c r="G714" s="16" t="str">
        <x:v>HIGH</x:v>
      </x:c>
      <x:c r="H714" s="16" t="str">
        <x:v>N</x:v>
      </x:c>
      <x:c r="I714" s="16" t="str">
        <x:v>Coder A worked example</x:v>
      </x:c>
    </x:row>
    <x:row r="715">
      <x:c r="A715" s="16" t="n">
        <x:v>714</x:v>
      </x:c>
      <x:c r="B715" s="16" t="str">
        <x:v>EXPERIMENT</x:v>
      </x:c>
      <x:c r="C715" s="16" t="str">
        <x:f>'Experiment_Coding_KT004'!A10</x:f>
        <x:v>PILOT_01_E09</x:v>
      </x:c>
      <x:c r="D715" s="16" t="str">
        <x:v>time_per_epoch</x:v>
      </x:c>
      <x:c r="E715" s="16" t="str">
        <x:f>'Experiment_Coding_KT004'!BE10</x:f>
        <x:v>NR</x:v>
      </x:c>
      <x:c r="F715" s="16" t="str">
        <x:f>'Experiment_Coding_KT004'!BR10</x:f>
        <x:v>Sec. 3 Datasets; Appendix A; Table 2; Table 1; Appendix B</x:v>
      </x:c>
      <x:c r="G715" s="16" t="str">
        <x:v>HIGH</x:v>
      </x:c>
      <x:c r="H715" s="16" t="str">
        <x:v>N</x:v>
      </x:c>
      <x:c r="I715" s="16" t="str">
        <x:v>Coder A worked example</x:v>
      </x:c>
    </x:row>
    <x:row r="716">
      <x:c r="A716" s="16" t="n">
        <x:v>715</x:v>
      </x:c>
      <x:c r="B716" s="16" t="str">
        <x:v>EXPERIMENT</x:v>
      </x:c>
      <x:c r="C716" s="16" t="str">
        <x:f>'Experiment_Coding_KT004'!A10</x:f>
        <x:v>PILOT_01_E09</x:v>
      </x:c>
      <x:c r="D716" s="16" t="str">
        <x:v>inference_latency</x:v>
      </x:c>
      <x:c r="E716" s="16" t="str">
        <x:f>'Experiment_Coding_KT004'!BF10</x:f>
        <x:v>NR</x:v>
      </x:c>
      <x:c r="F716" s="16" t="str">
        <x:f>'Experiment_Coding_KT004'!BR10</x:f>
        <x:v>Sec. 3 Datasets; Appendix A; Table 2; Table 1; Appendix B</x:v>
      </x:c>
      <x:c r="G716" s="16" t="str">
        <x:v>HIGH</x:v>
      </x:c>
      <x:c r="H716" s="16" t="str">
        <x:v>N</x:v>
      </x:c>
      <x:c r="I716" s="16" t="str">
        <x:v>Coder A worked example</x:v>
      </x:c>
    </x:row>
    <x:row r="717">
      <x:c r="A717" s="16" t="n">
        <x:v>716</x:v>
      </x:c>
      <x:c r="B717" s="16" t="str">
        <x:v>EXPERIMENT</x:v>
      </x:c>
      <x:c r="C717" s="16" t="str">
        <x:f>'Experiment_Coding_KT004'!A10</x:f>
        <x:v>PILOT_01_E09</x:v>
      </x:c>
      <x:c r="D717" s="16" t="str">
        <x:v>throughput</x:v>
      </x:c>
      <x:c r="E717" s="16" t="str">
        <x:f>'Experiment_Coding_KT004'!BG10</x:f>
        <x:v>NR</x:v>
      </x:c>
      <x:c r="F717" s="16" t="str">
        <x:f>'Experiment_Coding_KT004'!BR10</x:f>
        <x:v>Sec. 3 Datasets; Appendix A; Table 2; Table 1; Appendix B</x:v>
      </x:c>
      <x:c r="G717" s="16" t="str">
        <x:v>HIGH</x:v>
      </x:c>
      <x:c r="H717" s="16" t="str">
        <x:v>N</x:v>
      </x:c>
      <x:c r="I717" s="16" t="str">
        <x:v>Coder A worked example</x:v>
      </x:c>
    </x:row>
    <x:row r="718">
      <x:c r="A718" s="16" t="n">
        <x:v>717</x:v>
      </x:c>
      <x:c r="B718" s="16" t="str">
        <x:v>EXPERIMENT</x:v>
      </x:c>
      <x:c r="C718" s="16" t="str">
        <x:f>'Experiment_Coding_KT004'!A10</x:f>
        <x:v>PILOT_01_E09</x:v>
      </x:c>
      <x:c r="D718" s="16" t="str">
        <x:v>cpu_ram</x:v>
      </x:c>
      <x:c r="E718" s="16" t="str">
        <x:f>'Experiment_Coding_KT004'!BH10</x:f>
        <x:v>NR</x:v>
      </x:c>
      <x:c r="F718" s="16" t="str">
        <x:f>'Experiment_Coding_KT004'!BR10</x:f>
        <x:v>Sec. 3 Datasets; Appendix A; Table 2; Table 1; Appendix B</x:v>
      </x:c>
      <x:c r="G718" s="16" t="str">
        <x:v>HIGH</x:v>
      </x:c>
      <x:c r="H718" s="16" t="str">
        <x:v>N</x:v>
      </x:c>
      <x:c r="I718" s="16" t="str">
        <x:v>Coder A worked example</x:v>
      </x:c>
    </x:row>
    <x:row r="719">
      <x:c r="A719" s="16" t="n">
        <x:v>718</x:v>
      </x:c>
      <x:c r="B719" s="16" t="str">
        <x:v>EXPERIMENT</x:v>
      </x:c>
      <x:c r="C719" s="16" t="str">
        <x:f>'Experiment_Coding_KT004'!A10</x:f>
        <x:v>PILOT_01_E09</x:v>
      </x:c>
      <x:c r="D719" s="16" t="str">
        <x:v>gpu_vram</x:v>
      </x:c>
      <x:c r="E719" s="16" t="str">
        <x:f>'Experiment_Coding_KT004'!BI10</x:f>
        <x:v>NR</x:v>
      </x:c>
      <x:c r="F719" s="16" t="str">
        <x:f>'Experiment_Coding_KT004'!BR10</x:f>
        <x:v>Sec. 3 Datasets; Appendix A; Table 2; Table 1; Appendix B</x:v>
      </x:c>
      <x:c r="G719" s="16" t="str">
        <x:v>HIGH</x:v>
      </x:c>
      <x:c r="H719" s="16" t="str">
        <x:v>N</x:v>
      </x:c>
      <x:c r="I719" s="16" t="str">
        <x:v>Coder A worked example</x:v>
      </x:c>
    </x:row>
    <x:row r="720">
      <x:c r="A720" s="16" t="n">
        <x:v>719</x:v>
      </x:c>
      <x:c r="B720" s="16" t="str">
        <x:v>EXPERIMENT</x:v>
      </x:c>
      <x:c r="C720" s="16" t="str">
        <x:f>'Experiment_Coding_KT004'!A10</x:f>
        <x:v>PILOT_01_E09</x:v>
      </x:c>
      <x:c r="D720" s="16" t="str">
        <x:v>hardware</x:v>
      </x:c>
      <x:c r="E720" s="16" t="str">
        <x:f>'Experiment_Coding_KT004'!BJ10</x:f>
        <x:v>NR</x:v>
      </x:c>
      <x:c r="F720" s="16" t="str">
        <x:f>'Experiment_Coding_KT004'!BR10</x:f>
        <x:v>Sec. 3 Datasets; Appendix A; Table 2; Table 1; Appendix B</x:v>
      </x:c>
      <x:c r="G720" s="16" t="str">
        <x:v>HIGH</x:v>
      </x:c>
      <x:c r="H720" s="16" t="str">
        <x:v>N</x:v>
      </x:c>
      <x:c r="I720" s="16" t="str">
        <x:v>Coder A worked example</x:v>
      </x:c>
    </x:row>
    <x:row r="721">
      <x:c r="A721" s="16" t="n">
        <x:v>720</x:v>
      </x:c>
      <x:c r="B721" s="16" t="str">
        <x:v>EXPERIMENT</x:v>
      </x:c>
      <x:c r="C721" s="16" t="str">
        <x:f>'Experiment_Coding_KT004'!A10</x:f>
        <x:v>PILOT_01_E09</x:v>
      </x:c>
      <x:c r="D721" s="16" t="str">
        <x:v>graph_construction_time</x:v>
      </x:c>
      <x:c r="E721" s="16" t="str">
        <x:f>'Experiment_Coding_KT004'!BK10</x:f>
        <x:v>NR</x:v>
      </x:c>
      <x:c r="F721" s="16" t="str">
        <x:f>'Experiment_Coding_KT004'!BR10</x:f>
        <x:v>Sec. 3 Datasets; Appendix A; Table 2; Table 1; Appendix B</x:v>
      </x:c>
      <x:c r="G721" s="16" t="str">
        <x:v>HIGH</x:v>
      </x:c>
      <x:c r="H721" s="16" t="str">
        <x:v>N</x:v>
      </x:c>
      <x:c r="I721" s="16" t="str">
        <x:v>Coder A worked example</x:v>
      </x:c>
    </x:row>
    <x:row r="722">
      <x:c r="A722" s="16" t="n">
        <x:v>721</x:v>
      </x:c>
      <x:c r="B722" s="16" t="str">
        <x:v>EXPERIMENT</x:v>
      </x:c>
      <x:c r="C722" s="16" t="str">
        <x:f>'Experiment_Coding_KT004'!A10</x:f>
        <x:v>PILOT_01_E09</x:v>
      </x:c>
      <x:c r="D722" s="16" t="str">
        <x:v>complexity_formula</x:v>
      </x:c>
      <x:c r="E722" s="16" t="str">
        <x:f>'Experiment_Coding_KT004'!BL10</x:f>
        <x:v>NR</x:v>
      </x:c>
      <x:c r="F722" s="16" t="str">
        <x:f>'Experiment_Coding_KT004'!BR10</x:f>
        <x:v>Sec. 3 Datasets; Appendix A; Table 2; Table 1; Appendix B</x:v>
      </x:c>
      <x:c r="G722" s="16" t="str">
        <x:v>HIGH</x:v>
      </x:c>
      <x:c r="H722" s="16" t="str">
        <x:v>N</x:v>
      </x:c>
      <x:c r="I722" s="16" t="str">
        <x:v>Coder A worked example</x:v>
      </x:c>
    </x:row>
    <x:row r="723">
      <x:c r="A723" s="16" t="n">
        <x:v>722</x:v>
      </x:c>
      <x:c r="B723" s="16" t="str">
        <x:v>EXPERIMENT</x:v>
      </x:c>
      <x:c r="C723" s="16" t="str">
        <x:f>'Experiment_Coding_KT004'!A10</x:f>
        <x:v>PILOT_01_E09</x:v>
      </x:c>
      <x:c r="D723" s="16" t="str">
        <x:v>scale_up_experiment</x:v>
      </x:c>
      <x:c r="E723" s="16" t="str">
        <x:f>'Experiment_Coding_KT004'!BM10</x:f>
        <x:v>N</x:v>
      </x:c>
      <x:c r="F723" s="16" t="str">
        <x:f>'Experiment_Coding_KT004'!BR10</x:f>
        <x:v>Sec. 3 Datasets; Appendix A; Table 2; Table 1; Appendix B</x:v>
      </x:c>
      <x:c r="G723" s="16" t="str">
        <x:v>HIGH</x:v>
      </x:c>
      <x:c r="H723" s="16" t="str">
        <x:v>Y</x:v>
      </x:c>
      <x:c r="I723" s="16" t="str">
        <x:v>Coder A worked example</x:v>
      </x:c>
    </x:row>
    <x:row r="724">
      <x:c r="A724" s="16" t="n">
        <x:v>723</x:v>
      </x:c>
      <x:c r="B724" s="16" t="str">
        <x:v>EXPERIMENT</x:v>
      </x:c>
      <x:c r="C724" s="16" t="str">
        <x:f>'Experiment_Coding_KT004'!A10</x:f>
        <x:v>PILOT_01_E09</x:v>
      </x:c>
      <x:c r="D724" s="16" t="str">
        <x:v>oom_timeout_reported</x:v>
      </x:c>
      <x:c r="E724" s="16" t="str">
        <x:f>'Experiment_Coding_KT004'!BN10</x:f>
        <x:v>NR</x:v>
      </x:c>
      <x:c r="F724" s="16" t="str">
        <x:f>'Experiment_Coding_KT004'!BR10</x:f>
        <x:v>Sec. 3 Datasets; Appendix A; Table 2; Table 1; Appendix B</x:v>
      </x:c>
      <x:c r="G724" s="16" t="str">
        <x:v>HIGH</x:v>
      </x:c>
      <x:c r="H724" s="16" t="str">
        <x:v>Y</x:v>
      </x:c>
      <x:c r="I724" s="16" t="str">
        <x:v>Coder A worked example</x:v>
      </x:c>
    </x:row>
    <x:row r="725">
      <x:c r="A725" s="16" t="n">
        <x:v>724</x:v>
      </x:c>
      <x:c r="B725" s="16" t="str">
        <x:v>EXPERIMENT</x:v>
      </x:c>
      <x:c r="C725" s="16" t="str">
        <x:f>'Experiment_Coding_KT004'!A11</x:f>
        <x:v>PILOT_01_E10</x:v>
      </x:c>
      <x:c r="D725" s="16" t="str">
        <x:v>dataset_name</x:v>
      </x:c>
      <x:c r="E725" s="16" t="str">
        <x:f>'Experiment_Coding_KT004'!D11</x:f>
        <x:v>KDDCup</x:v>
      </x:c>
      <x:c r="F725" s="16" t="str">
        <x:f>'Experiment_Coding_KT004'!BR11</x:f>
        <x:v>Sec. 3 Datasets; Appendix A; Table 2; Table 1; Appendix B</x:v>
      </x:c>
      <x:c r="G725" s="16" t="str">
        <x:v>HIGH</x:v>
      </x:c>
      <x:c r="H725" s="16" t="str">
        <x:v>N</x:v>
      </x:c>
      <x:c r="I725" s="16" t="str">
        <x:v>Coder A worked example</x:v>
      </x:c>
    </x:row>
    <x:row r="726">
      <x:c r="A726" s="16" t="n">
        <x:v>725</x:v>
      </x:c>
      <x:c r="B726" s="16" t="str">
        <x:v>EXPERIMENT</x:v>
      </x:c>
      <x:c r="C726" s="16" t="str">
        <x:f>'Experiment_Coding_KT004'!A11</x:f>
        <x:v>PILOT_01_E10</x:v>
      </x:c>
      <x:c r="D726" s="16" t="str">
        <x:v>dataset_version</x:v>
      </x:c>
      <x:c r="E726" s="16" t="str">
        <x:f>'Experiment_Coding_KT004'!E11</x:f>
        <x:v>Bridge to Algebra 2006-2007</x:v>
      </x:c>
      <x:c r="F726" s="16" t="str">
        <x:f>'Experiment_Coding_KT004'!BR11</x:f>
        <x:v>Sec. 3 Datasets; Appendix A; Table 2; Table 1; Appendix B</x:v>
      </x:c>
      <x:c r="G726" s="16" t="str">
        <x:v>HIGH</x:v>
      </x:c>
      <x:c r="H726" s="16" t="str">
        <x:v>N</x:v>
      </x:c>
      <x:c r="I726" s="16" t="str">
        <x:v>Coder A worked example</x:v>
      </x:c>
    </x:row>
    <x:row r="727">
      <x:c r="A727" s="16" t="n">
        <x:v>726</x:v>
      </x:c>
      <x:c r="B727" s="16" t="str">
        <x:v>EXPERIMENT</x:v>
      </x:c>
      <x:c r="C727" s="16" t="str">
        <x:f>'Experiment_Coding_KT004'!A11</x:f>
        <x:v>PILOT_01_E10</x:v>
      </x:c>
      <x:c r="D727" s="16" t="str">
        <x:v>n_learners_reported</x:v>
      </x:c>
      <x:c r="E727" s="16" t="n">
        <x:f>'Experiment_Coding_KT004'!G11</x:f>
        <x:v>1000</x:v>
      </x:c>
      <x:c r="F727" s="16" t="str">
        <x:f>'Experiment_Coding_KT004'!BR11</x:f>
        <x:v>Sec. 3 Datasets; Appendix A; Table 2; Table 1; Appendix B</x:v>
      </x:c>
      <x:c r="G727" s="16" t="str">
        <x:v>HIGH</x:v>
      </x:c>
      <x:c r="H727" s="16" t="str">
        <x:v>N</x:v>
      </x:c>
      <x:c r="I727" s="16" t="str">
        <x:v>Coder A worked example</x:v>
      </x:c>
    </x:row>
    <x:row r="728">
      <x:c r="A728" s="16" t="n">
        <x:v>727</x:v>
      </x:c>
      <x:c r="B728" s="16" t="str">
        <x:v>EXPERIMENT</x:v>
      </x:c>
      <x:c r="C728" s="16" t="str">
        <x:f>'Experiment_Coding_KT004'!A11</x:f>
        <x:v>PILOT_01_E10</x:v>
      </x:c>
      <x:c r="D728" s="16" t="str">
        <x:v>n_items_reported</x:v>
      </x:c>
      <x:c r="E728" s="16" t="str">
        <x:f>'Experiment_Coding_KT004'!H11</x:f>
        <x:v>NR</x:v>
      </x:c>
      <x:c r="F728" s="16" t="str">
        <x:f>'Experiment_Coding_KT004'!BR11</x:f>
        <x:v>Sec. 3 Datasets; Appendix A; Table 2; Table 1; Appendix B</x:v>
      </x:c>
      <x:c r="G728" s="16" t="str">
        <x:v>HIGH</x:v>
      </x:c>
      <x:c r="H728" s="16" t="str">
        <x:v>N</x:v>
      </x:c>
      <x:c r="I728" s="16" t="str">
        <x:v>Coder A worked example</x:v>
      </x:c>
    </x:row>
    <x:row r="729">
      <x:c r="A729" s="16" t="n">
        <x:v>728</x:v>
      </x:c>
      <x:c r="B729" s="16" t="str">
        <x:v>EXPERIMENT</x:v>
      </x:c>
      <x:c r="C729" s="16" t="str">
        <x:f>'Experiment_Coding_KT004'!A11</x:f>
        <x:v>PILOT_01_E10</x:v>
      </x:c>
      <x:c r="D729" s="16" t="str">
        <x:v>n_kcs_reported</x:v>
      </x:c>
      <x:c r="E729" s="16" t="n">
        <x:f>'Experiment_Coding_KT004'!I11</x:f>
        <x:v>211</x:v>
      </x:c>
      <x:c r="F729" s="16" t="str">
        <x:f>'Experiment_Coding_KT004'!BR11</x:f>
        <x:v>Sec. 3 Datasets; Appendix A; Table 2; Table 1; Appendix B</x:v>
      </x:c>
      <x:c r="G729" s="16" t="str">
        <x:v>HIGH</x:v>
      </x:c>
      <x:c r="H729" s="16" t="str">
        <x:v>N</x:v>
      </x:c>
      <x:c r="I729" s="16" t="str">
        <x:v>Coder A worked example</x:v>
      </x:c>
    </x:row>
    <x:row r="730">
      <x:c r="A730" s="16" t="n">
        <x:v>729</x:v>
      </x:c>
      <x:c r="B730" s="16" t="str">
        <x:v>EXPERIMENT</x:v>
      </x:c>
      <x:c r="C730" s="16" t="str">
        <x:f>'Experiment_Coding_KT004'!A11</x:f>
        <x:v>PILOT_01_E10</x:v>
      </x:c>
      <x:c r="D730" s="16" t="str">
        <x:v>n_interactions_reported</x:v>
      </x:c>
      <x:c r="E730" s="16" t="n">
        <x:f>'Experiment_Coding_KT004'!J11</x:f>
        <x:v>98200</x:v>
      </x:c>
      <x:c r="F730" s="16" t="str">
        <x:f>'Experiment_Coding_KT004'!BR11</x:f>
        <x:v>Sec. 3 Datasets; Appendix A; Table 2; Table 1; Appendix B</x:v>
      </x:c>
      <x:c r="G730" s="16" t="str">
        <x:v>HIGH</x:v>
      </x:c>
      <x:c r="H730" s="16" t="str">
        <x:v>N</x:v>
      </x:c>
      <x:c r="I730" s="16" t="str">
        <x:v>Coder A worked example</x:v>
      </x:c>
    </x:row>
    <x:row r="731">
      <x:c r="A731" s="16" t="n">
        <x:v>730</x:v>
      </x:c>
      <x:c r="B731" s="16" t="str">
        <x:v>EXPERIMENT</x:v>
      </x:c>
      <x:c r="C731" s="16" t="str">
        <x:f>'Experiment_Coding_KT004'!A11</x:f>
        <x:v>PILOT_01_E10</x:v>
      </x:c>
      <x:c r="D731" s="16" t="str">
        <x:v>multi_skill_present</x:v>
      </x:c>
      <x:c r="E731" s="16" t="str">
        <x:f>'Experiment_Coding_KT004'!K11</x:f>
        <x:v>UNCLEAR</x:v>
      </x:c>
      <x:c r="F731" s="16" t="str">
        <x:f>'Experiment_Coding_KT004'!BR11</x:f>
        <x:v>Sec. 3 Datasets; Appendix A; Table 2; Table 1; Appendix B</x:v>
      </x:c>
      <x:c r="G731" s="16" t="str">
        <x:v>HIGH</x:v>
      </x:c>
      <x:c r="H731" s="16" t="str">
        <x:v>Y</x:v>
      </x:c>
      <x:c r="I731" s="16" t="str">
        <x:v>Coder A worked example</x:v>
      </x:c>
    </x:row>
    <x:row r="732">
      <x:c r="A732" s="16" t="n">
        <x:v>731</x:v>
      </x:c>
      <x:c r="B732" s="16" t="str">
        <x:v>EXPERIMENT</x:v>
      </x:c>
      <x:c r="C732" s="16" t="str">
        <x:f>'Experiment_Coding_KT004'!A11</x:f>
        <x:v>PILOT_01_E10</x:v>
      </x:c>
      <x:c r="D732" s="16" t="str">
        <x:v>multi_skill_handling</x:v>
      </x:c>
      <x:c r="E732" s="16" t="str">
        <x:f>'Experiment_Coding_KT004'!L11</x:f>
        <x:v>Combine simultaneous answer logs into one; extract named skill tags</x:v>
      </x:c>
      <x:c r="F732" s="16" t="str">
        <x:f>'Experiment_Coding_KT004'!BR11</x:f>
        <x:v>Sec. 3 Datasets; Appendix A; Table 2; Table 1; Appendix B</x:v>
      </x:c>
      <x:c r="G732" s="16" t="str">
        <x:v>HIGH</x:v>
      </x:c>
      <x:c r="H732" s="16" t="str">
        <x:v>N</x:v>
      </x:c>
      <x:c r="I732" s="16" t="str">
        <x:v>Coder A worked example</x:v>
      </x:c>
    </x:row>
    <x:row r="733">
      <x:c r="A733" s="16" t="n">
        <x:v>732</x:v>
      </x:c>
      <x:c r="B733" s="16" t="str">
        <x:v>EXPERIMENT</x:v>
      </x:c>
      <x:c r="C733" s="16" t="str">
        <x:f>'Experiment_Coding_KT004'!A11</x:f>
        <x:v>PILOT_01_E10</x:v>
      </x:c>
      <x:c r="D733" s="16" t="str">
        <x:v>sequence_truncation</x:v>
      </x:c>
      <x:c r="E733" s="16" t="str">
        <x:f>'Experiment_Coding_KT004'!M11</x:f>
        <x:v>NR</x:v>
      </x:c>
      <x:c r="F733" s="16" t="str">
        <x:f>'Experiment_Coding_KT004'!BR11</x:f>
        <x:v>Sec. 3 Datasets; Appendix A; Table 2; Table 1; Appendix B</x:v>
      </x:c>
      <x:c r="G733" s="16" t="str">
        <x:v>HIGH</x:v>
      </x:c>
      <x:c r="H733" s="16" t="str">
        <x:v>N</x:v>
      </x:c>
      <x:c r="I733" s="16" t="str">
        <x:v>Coder A worked example</x:v>
      </x:c>
    </x:row>
    <x:row r="734">
      <x:c r="A734" s="16" t="n">
        <x:v>733</x:v>
      </x:c>
      <x:c r="B734" s="16" t="str">
        <x:v>EXPERIMENT</x:v>
      </x:c>
      <x:c r="C734" s="16" t="str">
        <x:f>'Experiment_Coding_KT004'!A11</x:f>
        <x:v>PILOT_01_E10</x:v>
      </x:c>
      <x:c r="D734" s="16" t="str">
        <x:v>min_sequence_filter</x:v>
      </x:c>
      <x:c r="E734" s="16" t="str">
        <x:f>'Experiment_Coding_KT004'!N11</x:f>
        <x:v>NR</x:v>
      </x:c>
      <x:c r="F734" s="16" t="str">
        <x:f>'Experiment_Coding_KT004'!BR11</x:f>
        <x:v>Sec. 3 Datasets; Appendix A; Table 2; Table 1; Appendix B</x:v>
      </x:c>
      <x:c r="G734" s="16" t="str">
        <x:v>HIGH</x:v>
      </x:c>
      <x:c r="H734" s="16" t="str">
        <x:v>N</x:v>
      </x:c>
      <x:c r="I734" s="16" t="str">
        <x:v>Coder A worked example</x:v>
      </x:c>
    </x:row>
    <x:row r="735">
      <x:c r="A735" s="16" t="n">
        <x:v>734</x:v>
      </x:c>
      <x:c r="B735" s="16" t="str">
        <x:v>EXPERIMENT</x:v>
      </x:c>
      <x:c r="C735" s="16" t="str">
        <x:f>'Experiment_Coding_KT004'!A11</x:f>
        <x:v>PILOT_01_E10</x:v>
      </x:c>
      <x:c r="D735" s="16" t="str">
        <x:v>timestamp_used</x:v>
      </x:c>
      <x:c r="E735" s="16" t="str">
        <x:f>'Experiment_Coding_KT004'!O11</x:f>
        <x:v>UNCLEAR</x:v>
      </x:c>
      <x:c r="F735" s="16" t="str">
        <x:f>'Experiment_Coding_KT004'!BR11</x:f>
        <x:v>Sec. 3 Datasets; Appendix A; Table 2; Table 1; Appendix B</x:v>
      </x:c>
      <x:c r="G735" s="16" t="str">
        <x:v>HIGH</x:v>
      </x:c>
      <x:c r="H735" s="16" t="str">
        <x:v>Y</x:v>
      </x:c>
      <x:c r="I735" s="16" t="str">
        <x:v>Coder A worked example</x:v>
      </x:c>
    </x:row>
    <x:row r="736">
      <x:c r="A736" s="16" t="n">
        <x:v>735</x:v>
      </x:c>
      <x:c r="B736" s="16" t="str">
        <x:v>EXPERIMENT</x:v>
      </x:c>
      <x:c r="C736" s="16" t="str">
        <x:f>'Experiment_Coding_KT004'!A11</x:f>
        <x:v>PILOT_01_E10</x:v>
      </x:c>
      <x:c r="D736" s="16" t="str">
        <x:v>preprocessing_code_available</x:v>
      </x:c>
      <x:c r="E736" s="16" t="str">
        <x:f>'Experiment_Coding_KT004'!P11</x:f>
        <x:v>NR</x:v>
      </x:c>
      <x:c r="F736" s="16" t="str">
        <x:f>'Experiment_Coding_KT004'!BR11</x:f>
        <x:v>Sec. 3 Datasets; Appendix A; Table 2; Table 1; Appendix B</x:v>
      </x:c>
      <x:c r="G736" s="16" t="str">
        <x:v>HIGH</x:v>
      </x:c>
      <x:c r="H736" s="16" t="str">
        <x:v>Y</x:v>
      </x:c>
      <x:c r="I736" s="16" t="str">
        <x:v>Coder A worked example</x:v>
      </x:c>
    </x:row>
    <x:row r="737">
      <x:c r="A737" s="16" t="n">
        <x:v>736</x:v>
      </x:c>
      <x:c r="B737" s="16" t="str">
        <x:v>EXPERIMENT</x:v>
      </x:c>
      <x:c r="C737" s="16" t="str">
        <x:f>'Experiment_Coding_KT004'!A11</x:f>
        <x:v>PILOT_01_E10</x:v>
      </x:c>
      <x:c r="D737" s="16" t="str">
        <x:v>split_type</x:v>
      </x:c>
      <x:c r="E737" s="16" t="str">
        <x:f>'Experiment_Coding_KT004'!Q11</x:f>
        <x:v>LEARNER_BASED</x:v>
      </x:c>
      <x:c r="F737" s="16" t="str">
        <x:f>'Experiment_Coding_KT004'!BR11</x:f>
        <x:v>Sec. 3 Datasets; Appendix A; Table 2; Table 1; Appendix B</x:v>
      </x:c>
      <x:c r="G737" s="16" t="str">
        <x:v>HIGH</x:v>
      </x:c>
      <x:c r="H737" s="16" t="str">
        <x:v>Y</x:v>
      </x:c>
      <x:c r="I737" s="16" t="str">
        <x:v>Coder A worked example</x:v>
      </x:c>
    </x:row>
    <x:row r="738">
      <x:c r="A738" s="16" t="n">
        <x:v>737</x:v>
      </x:c>
      <x:c r="B738" s="16" t="str">
        <x:v>EXPERIMENT</x:v>
      </x:c>
      <x:c r="C738" s="16" t="str">
        <x:f>'Experiment_Coding_KT004'!A11</x:f>
        <x:v>PILOT_01_E10</x:v>
      </x:c>
      <x:c r="D738" s="16" t="str">
        <x:v>split_unit_original</x:v>
      </x:c>
      <x:c r="E738" s="16" t="str">
        <x:f>'Experiment_Coding_KT004'!R11</x:f>
        <x:v>students</x:v>
      </x:c>
      <x:c r="F738" s="16" t="str">
        <x:f>'Experiment_Coding_KT004'!BR11</x:f>
        <x:v>Sec. 3 Datasets; Appendix A; Table 2; Table 1; Appendix B</x:v>
      </x:c>
      <x:c r="G738" s="16" t="str">
        <x:v>HIGH</x:v>
      </x:c>
      <x:c r="H738" s="16" t="str">
        <x:v>N</x:v>
      </x:c>
      <x:c r="I738" s="16" t="str">
        <x:v>Coder A worked example</x:v>
      </x:c>
    </x:row>
    <x:row r="739">
      <x:c r="A739" s="16" t="n">
        <x:v>738</x:v>
      </x:c>
      <x:c r="B739" s="16" t="str">
        <x:v>EXPERIMENT</x:v>
      </x:c>
      <x:c r="C739" s="16" t="str">
        <x:f>'Experiment_Coding_KT004'!A11</x:f>
        <x:v>PILOT_01_E10</x:v>
      </x:c>
      <x:c r="D739" s="16" t="str">
        <x:v>train_fraction</x:v>
      </x:c>
      <x:c r="E739" s="16" t="n">
        <x:f>'Experiment_Coding_KT004'!S11</x:f>
        <x:v>0.8</x:v>
      </x:c>
      <x:c r="F739" s="16" t="str">
        <x:f>'Experiment_Coding_KT004'!BR11</x:f>
        <x:v>Sec. 3 Datasets; Appendix A; Table 2; Table 1; Appendix B</x:v>
      </x:c>
      <x:c r="G739" s="16" t="str">
        <x:v>HIGH</x:v>
      </x:c>
      <x:c r="H739" s="16" t="str">
        <x:v>N</x:v>
      </x:c>
      <x:c r="I739" s="16" t="str">
        <x:v>Coder A worked example</x:v>
      </x:c>
    </x:row>
    <x:row r="740">
      <x:c r="A740" s="16" t="n">
        <x:v>739</x:v>
      </x:c>
      <x:c r="B740" s="16" t="str">
        <x:v>EXPERIMENT</x:v>
      </x:c>
      <x:c r="C740" s="16" t="str">
        <x:f>'Experiment_Coding_KT004'!A11</x:f>
        <x:v>PILOT_01_E10</x:v>
      </x:c>
      <x:c r="D740" s="16" t="str">
        <x:v>validation_fraction</x:v>
      </x:c>
      <x:c r="E740" s="16" t="n">
        <x:f>'Experiment_Coding_KT004'!T11</x:f>
        <x:v>0.1</x:v>
      </x:c>
      <x:c r="F740" s="16" t="str">
        <x:f>'Experiment_Coding_KT004'!BR11</x:f>
        <x:v>Sec. 3 Datasets; Appendix A; Table 2; Table 1; Appendix B</x:v>
      </x:c>
      <x:c r="G740" s="16" t="str">
        <x:v>HIGH</x:v>
      </x:c>
      <x:c r="H740" s="16" t="str">
        <x:v>N</x:v>
      </x:c>
      <x:c r="I740" s="16" t="str">
        <x:v>Coder A worked example</x:v>
      </x:c>
    </x:row>
    <x:row r="741">
      <x:c r="A741" s="16" t="n">
        <x:v>740</x:v>
      </x:c>
      <x:c r="B741" s="16" t="str">
        <x:v>EXPERIMENT</x:v>
      </x:c>
      <x:c r="C741" s="16" t="str">
        <x:f>'Experiment_Coding_KT004'!A11</x:f>
        <x:v>PILOT_01_E10</x:v>
      </x:c>
      <x:c r="D741" s="16" t="str">
        <x:v>test_fraction</x:v>
      </x:c>
      <x:c r="E741" s="16" t="n">
        <x:f>'Experiment_Coding_KT004'!U11</x:f>
        <x:v>0.1</x:v>
      </x:c>
      <x:c r="F741" s="16" t="str">
        <x:f>'Experiment_Coding_KT004'!BR11</x:f>
        <x:v>Sec. 3 Datasets; Appendix A; Table 2; Table 1; Appendix B</x:v>
      </x:c>
      <x:c r="G741" s="16" t="str">
        <x:v>HIGH</x:v>
      </x:c>
      <x:c r="H741" s="16" t="str">
        <x:v>N</x:v>
      </x:c>
      <x:c r="I741" s="16" t="str">
        <x:v>Coder A worked example</x:v>
      </x:c>
    </x:row>
    <x:row r="742">
      <x:c r="A742" s="16" t="n">
        <x:v>741</x:v>
      </x:c>
      <x:c r="B742" s="16" t="str">
        <x:v>EXPERIMENT</x:v>
      </x:c>
      <x:c r="C742" s="16" t="str">
        <x:f>'Experiment_Coding_KT004'!A11</x:f>
        <x:v>PILOT_01_E10</x:v>
      </x:c>
      <x:c r="D742" s="16" t="str">
        <x:v>validation_set_separate</x:v>
      </x:c>
      <x:c r="E742" s="16" t="str">
        <x:f>'Experiment_Coding_KT004'!V11</x:f>
        <x:v>Y</x:v>
      </x:c>
      <x:c r="F742" s="16" t="str">
        <x:f>'Experiment_Coding_KT004'!BR11</x:f>
        <x:v>Sec. 3 Datasets; Appendix A; Table 2; Table 1; Appendix B</x:v>
      </x:c>
      <x:c r="G742" s="16" t="str">
        <x:v>HIGH</x:v>
      </x:c>
      <x:c r="H742" s="16" t="str">
        <x:v>Y</x:v>
      </x:c>
      <x:c r="I742" s="16" t="str">
        <x:v>Coder A worked example</x:v>
      </x:c>
    </x:row>
    <x:row r="743">
      <x:c r="A743" s="16" t="n">
        <x:v>742</x:v>
      </x:c>
      <x:c r="B743" s="16" t="str">
        <x:v>EXPERIMENT</x:v>
      </x:c>
      <x:c r="C743" s="16" t="str">
        <x:f>'Experiment_Coding_KT004'!A11</x:f>
        <x:v>PILOT_01_E10</x:v>
      </x:c>
      <x:c r="D743" s="16" t="str">
        <x:v>early_stopping_validation_only</x:v>
      </x:c>
      <x:c r="E743" s="16" t="str">
        <x:f>'Experiment_Coding_KT004'!W11</x:f>
        <x:v>UNCLEAR</x:v>
      </x:c>
      <x:c r="F743" s="16" t="str">
        <x:f>'Experiment_Coding_KT004'!BR11</x:f>
        <x:v>Sec. 3 Datasets; Appendix A; Table 2; Table 1; Appendix B</x:v>
      </x:c>
      <x:c r="G743" s="16" t="str">
        <x:v>HIGH</x:v>
      </x:c>
      <x:c r="H743" s="16" t="str">
        <x:v>Y</x:v>
      </x:c>
      <x:c r="I743" s="16" t="str">
        <x:v>Coder A worked example</x:v>
      </x:c>
    </x:row>
    <x:row r="744">
      <x:c r="A744" s="16" t="n">
        <x:v>743</x:v>
      </x:c>
      <x:c r="B744" s="16" t="str">
        <x:v>EXPERIMENT</x:v>
      </x:c>
      <x:c r="C744" s="16" t="str">
        <x:f>'Experiment_Coding_KT004'!A11</x:f>
        <x:v>PILOT_01_E10</x:v>
      </x:c>
      <x:c r="D744" s="16" t="str">
        <x:v>graph_train_only</x:v>
      </x:c>
      <x:c r="E744" s="16" t="str">
        <x:f>'Experiment_Coding_KT004'!X11</x:f>
        <x:v>Y</x:v>
      </x:c>
      <x:c r="F744" s="16" t="str">
        <x:f>'Experiment_Coding_KT004'!BR11</x:f>
        <x:v>Sec. 3 Datasets; Appendix A; Table 2; Table 1; Appendix B</x:v>
      </x:c>
      <x:c r="G744" s="16" t="str">
        <x:v>HIGH</x:v>
      </x:c>
      <x:c r="H744" s="16" t="str">
        <x:v>Y</x:v>
      </x:c>
      <x:c r="I744" s="16" t="str">
        <x:v>Coder A worked example</x:v>
      </x:c>
    </x:row>
    <x:row r="745">
      <x:c r="A745" s="16" t="n">
        <x:v>744</x:v>
      </x:c>
      <x:c r="B745" s="16" t="str">
        <x:v>EXPERIMENT</x:v>
      </x:c>
      <x:c r="C745" s="16" t="str">
        <x:f>'Experiment_Coding_KT004'!A11</x:f>
        <x:v>PILOT_01_E10</x:v>
      </x:c>
      <x:c r="D745" s="16" t="str">
        <x:v>normalization_train_only</x:v>
      </x:c>
      <x:c r="E745" s="16" t="str">
        <x:f>'Experiment_Coding_KT004'!Y11</x:f>
        <x:v>NR</x:v>
      </x:c>
      <x:c r="F745" s="16" t="str">
        <x:f>'Experiment_Coding_KT004'!BR11</x:f>
        <x:v>Sec. 3 Datasets; Appendix A; Table 2; Table 1; Appendix B</x:v>
      </x:c>
      <x:c r="G745" s="16" t="str">
        <x:v>HIGH</x:v>
      </x:c>
      <x:c r="H745" s="16" t="str">
        <x:v>Y</x:v>
      </x:c>
      <x:c r="I745" s="16" t="str">
        <x:v>Coder A worked example</x:v>
      </x:c>
    </x:row>
    <x:row r="746">
      <x:c r="A746" s="16" t="n">
        <x:v>745</x:v>
      </x:c>
      <x:c r="B746" s="16" t="str">
        <x:v>EXPERIMENT</x:v>
      </x:c>
      <x:c r="C746" s="16" t="str">
        <x:f>'Experiment_Coding_KT004'!A11</x:f>
        <x:v>PILOT_01_E10</x:v>
      </x:c>
      <x:c r="D746" s="16" t="str">
        <x:v>sparse_strata_train_only</x:v>
      </x:c>
      <x:c r="E746" s="16" t="str">
        <x:f>'Experiment_Coding_KT004'!Z11</x:f>
        <x:v>NA</x:v>
      </x:c>
      <x:c r="F746" s="16" t="str">
        <x:f>'Experiment_Coding_KT004'!BR11</x:f>
        <x:v>Sec. 3 Datasets; Appendix A; Table 2; Table 1; Appendix B</x:v>
      </x:c>
      <x:c r="G746" s="16" t="str">
        <x:v>HIGH</x:v>
      </x:c>
      <x:c r="H746" s="16" t="str">
        <x:v>Y</x:v>
      </x:c>
      <x:c r="I746" s="16" t="str">
        <x:v>Coder A worked example</x:v>
      </x:c>
    </x:row>
    <x:row r="747">
      <x:c r="A747" s="16" t="n">
        <x:v>746</x:v>
      </x:c>
      <x:c r="B747" s="16" t="str">
        <x:v>EXPERIMENT</x:v>
      </x:c>
      <x:c r="C747" s="16" t="str">
        <x:f>'Experiment_Coding_KT004'!A11</x:f>
        <x:v>PILOT_01_E10</x:v>
      </x:c>
      <x:c r="D747" s="16" t="str">
        <x:v>temporal_alignment_audited</x:v>
      </x:c>
      <x:c r="E747" s="16" t="str">
        <x:f>'Experiment_Coding_KT004'!AA11</x:f>
        <x:v>NR</x:v>
      </x:c>
      <x:c r="F747" s="16" t="str">
        <x:f>'Experiment_Coding_KT004'!BR11</x:f>
        <x:v>Sec. 3 Datasets; Appendix A; Table 2; Table 1; Appendix B</x:v>
      </x:c>
      <x:c r="G747" s="16" t="str">
        <x:v>HIGH</x:v>
      </x:c>
      <x:c r="H747" s="16" t="str">
        <x:v>Y</x:v>
      </x:c>
      <x:c r="I747" s="16" t="str">
        <x:v>Coder A worked example</x:v>
      </x:c>
    </x:row>
    <x:row r="748">
      <x:c r="A748" s="16" t="n">
        <x:v>747</x:v>
      </x:c>
      <x:c r="B748" s="16" t="str">
        <x:v>EXPERIMENT</x:v>
      </x:c>
      <x:c r="C748" s="16" t="str">
        <x:f>'Experiment_Coding_KT004'!A11</x:f>
        <x:v>PILOT_01_E10</x:v>
      </x:c>
      <x:c r="D748" s="16" t="str">
        <x:v>duplicate_entity_leakage_checked</x:v>
      </x:c>
      <x:c r="E748" s="16" t="str">
        <x:f>'Experiment_Coding_KT004'!AB11</x:f>
        <x:v>NR</x:v>
      </x:c>
      <x:c r="F748" s="16" t="str">
        <x:f>'Experiment_Coding_KT004'!BR11</x:f>
        <x:v>Sec. 3 Datasets; Appendix A; Table 2; Table 1; Appendix B</x:v>
      </x:c>
      <x:c r="G748" s="16" t="str">
        <x:v>HIGH</x:v>
      </x:c>
      <x:c r="H748" s="16" t="str">
        <x:v>Y</x:v>
      </x:c>
      <x:c r="I748" s="16" t="str">
        <x:v>Coder A worked example</x:v>
      </x:c>
    </x:row>
    <x:row r="749">
      <x:c r="A749" s="16" t="n">
        <x:v>748</x:v>
      </x:c>
      <x:c r="B749" s="16" t="str">
        <x:v>EXPERIMENT</x:v>
      </x:c>
      <x:c r="C749" s="16" t="str">
        <x:f>'Experiment_Coding_KT004'!A11</x:f>
        <x:v>PILOT_01_E10</x:v>
      </x:c>
      <x:c r="D749" s="16" t="str">
        <x:v>sparsity_construct</x:v>
      </x:c>
      <x:c r="E749" s="16" t="str">
        <x:f>'Experiment_Coding_KT004'!AC11</x:f>
        <x:v>NO_EXPLICIT_FOCUS</x:v>
      </x:c>
      <x:c r="F749" s="16" t="str">
        <x:f>'Experiment_Coding_KT004'!BR11</x:f>
        <x:v>Sec. 3 Datasets; Appendix A; Table 2; Table 1; Appendix B</x:v>
      </x:c>
      <x:c r="G749" s="16" t="str">
        <x:v>HIGH</x:v>
      </x:c>
      <x:c r="H749" s="16" t="str">
        <x:v>Y</x:v>
      </x:c>
      <x:c r="I749" s="16" t="str">
        <x:v>Coder A worked example</x:v>
      </x:c>
    </x:row>
    <x:row r="750">
      <x:c r="A750" s="16" t="n">
        <x:v>749</x:v>
      </x:c>
      <x:c r="B750" s="16" t="str">
        <x:v>EXPERIMENT</x:v>
      </x:c>
      <x:c r="C750" s="16" t="str">
        <x:f>'Experiment_Coding_KT004'!A11</x:f>
        <x:v>PILOT_01_E10</x:v>
      </x:c>
      <x:c r="D750" s="16" t="str">
        <x:v>sparse_definition_original</x:v>
      </x:c>
      <x:c r="E750" s="16" t="str">
        <x:f>'Experiment_Coding_KT004'!AD11</x:f>
        <x:v>NA</x:v>
      </x:c>
      <x:c r="F750" s="16" t="str">
        <x:f>'Experiment_Coding_KT004'!BR11</x:f>
        <x:v>Sec. 3 Datasets; Appendix A; Table 2; Table 1; Appendix B</x:v>
      </x:c>
      <x:c r="G750" s="16" t="str">
        <x:v>HIGH</x:v>
      </x:c>
      <x:c r="H750" s="16" t="str">
        <x:v>N</x:v>
      </x:c>
      <x:c r="I750" s="16" t="str">
        <x:v>Coder A worked example</x:v>
      </x:c>
    </x:row>
    <x:row r="751">
      <x:c r="A751" s="16" t="n">
        <x:v>750</x:v>
      </x:c>
      <x:c r="B751" s="16" t="str">
        <x:v>EXPERIMENT</x:v>
      </x:c>
      <x:c r="C751" s="16" t="str">
        <x:f>'Experiment_Coding_KT004'!A11</x:f>
        <x:v>PILOT_01_E10</x:v>
      </x:c>
      <x:c r="D751" s="16" t="str">
        <x:v>sparse_threshold_original</x:v>
      </x:c>
      <x:c r="E751" s="16" t="str">
        <x:f>'Experiment_Coding_KT004'!AE11</x:f>
        <x:v>NA</x:v>
      </x:c>
      <x:c r="F751" s="16" t="str">
        <x:f>'Experiment_Coding_KT004'!BR11</x:f>
        <x:v>Sec. 3 Datasets; Appendix A; Table 2; Table 1; Appendix B</x:v>
      </x:c>
      <x:c r="G751" s="16" t="str">
        <x:v>HIGH</x:v>
      </x:c>
      <x:c r="H751" s="16" t="str">
        <x:v>N</x:v>
      </x:c>
      <x:c r="I751" s="16" t="str">
        <x:v>Coder A worked example</x:v>
      </x:c>
    </x:row>
    <x:row r="752">
      <x:c r="A752" s="16" t="n">
        <x:v>751</x:v>
      </x:c>
      <x:c r="B752" s="16" t="str">
        <x:v>EXPERIMENT</x:v>
      </x:c>
      <x:c r="C752" s="16" t="str">
        <x:f>'Experiment_Coding_KT004'!A11</x:f>
        <x:v>PILOT_01_E10</x:v>
      </x:c>
      <x:c r="D752" s="16" t="str">
        <x:v>threshold_source</x:v>
      </x:c>
      <x:c r="E752" s="16" t="str">
        <x:f>'Experiment_Coding_KT004'!AF11</x:f>
        <x:v>NA</x:v>
      </x:c>
      <x:c r="F752" s="16" t="str">
        <x:f>'Experiment_Coding_KT004'!BR11</x:f>
        <x:v>Sec. 3 Datasets; Appendix A; Table 2; Table 1; Appendix B</x:v>
      </x:c>
      <x:c r="G752" s="16" t="str">
        <x:v>HIGH</x:v>
      </x:c>
      <x:c r="H752" s="16" t="str">
        <x:v>Y</x:v>
      </x:c>
      <x:c r="I752" s="16" t="str">
        <x:v>Coder A worked example</x:v>
      </x:c>
    </x:row>
    <x:row r="753">
      <x:c r="A753" s="16" t="n">
        <x:v>752</x:v>
      </x:c>
      <x:c r="B753" s="16" t="str">
        <x:v>EXPERIMENT</x:v>
      </x:c>
      <x:c r="C753" s="16" t="str">
        <x:f>'Experiment_Coding_KT004'!A11</x:f>
        <x:v>PILOT_01_E10</x:v>
      </x:c>
      <x:c r="D753" s="16" t="str">
        <x:v>frequency_computed_on</x:v>
      </x:c>
      <x:c r="E753" s="16" t="str">
        <x:f>'Experiment_Coding_KT004'!AG11</x:f>
        <x:v>NA</x:v>
      </x:c>
      <x:c r="F753" s="16" t="str">
        <x:f>'Experiment_Coding_KT004'!BR11</x:f>
        <x:v>Sec. 3 Datasets; Appendix A; Table 2; Table 1; Appendix B</x:v>
      </x:c>
      <x:c r="G753" s="16" t="str">
        <x:v>HIGH</x:v>
      </x:c>
      <x:c r="H753" s="16" t="str">
        <x:v>Y</x:v>
      </x:c>
      <x:c r="I753" s="16" t="str">
        <x:v>Coder A worked example</x:v>
      </x:c>
    </x:row>
    <x:row r="754">
      <x:c r="A754" s="16" t="n">
        <x:v>753</x:v>
      </x:c>
      <x:c r="B754" s="16" t="str">
        <x:v>EXPERIMENT</x:v>
      </x:c>
      <x:c r="C754" s="16" t="str">
        <x:f>'Experiment_Coding_KT004'!A11</x:f>
        <x:v>PILOT_01_E10</x:v>
      </x:c>
      <x:c r="D754" s="16" t="str">
        <x:v>strict_zero_train_verified</x:v>
      </x:c>
      <x:c r="E754" s="16" t="str">
        <x:f>'Experiment_Coding_KT004'!AH11</x:f>
        <x:v>NA</x:v>
      </x:c>
      <x:c r="F754" s="16" t="str">
        <x:f>'Experiment_Coding_KT004'!BR11</x:f>
        <x:v>Sec. 3 Datasets; Appendix A; Table 2; Table 1; Appendix B</x:v>
      </x:c>
      <x:c r="G754" s="16" t="str">
        <x:v>HIGH</x:v>
      </x:c>
      <x:c r="H754" s="16" t="str">
        <x:v>Y</x:v>
      </x:c>
      <x:c r="I754" s="16" t="str">
        <x:v>Coder A worked example</x:v>
      </x:c>
    </x:row>
    <x:row r="755">
      <x:c r="A755" s="16" t="n">
        <x:v>754</x:v>
      </x:c>
      <x:c r="B755" s="16" t="str">
        <x:v>EXPERIMENT</x:v>
      </x:c>
      <x:c r="C755" s="16" t="str">
        <x:f>'Experiment_Coding_KT004'!A11</x:f>
        <x:v>PILOT_01_E10</x:v>
      </x:c>
      <x:c r="D755" s="16" t="str">
        <x:v>external_info_for_unseen_kc</x:v>
      </x:c>
      <x:c r="E755" s="16" t="str">
        <x:f>'Experiment_Coding_KT004'!AI11</x:f>
        <x:v>NA</x:v>
      </x:c>
      <x:c r="F755" s="16" t="str">
        <x:f>'Experiment_Coding_KT004'!BR11</x:f>
        <x:v>Sec. 3 Datasets; Appendix A; Table 2; Table 1; Appendix B</x:v>
      </x:c>
      <x:c r="G755" s="16" t="str">
        <x:v>HIGH</x:v>
      </x:c>
      <x:c r="H755" s="16" t="str">
        <x:v>Y</x:v>
      </x:c>
      <x:c r="I755" s="16" t="str">
        <x:v>Coder A worked example</x:v>
      </x:c>
    </x:row>
    <x:row r="756">
      <x:c r="A756" s="16" t="n">
        <x:v>755</x:v>
      </x:c>
      <x:c r="B756" s="16" t="str">
        <x:v>EXPERIMENT</x:v>
      </x:c>
      <x:c r="C756" s="16" t="str">
        <x:f>'Experiment_Coding_KT004'!A11</x:f>
        <x:v>PILOT_01_E10</x:v>
      </x:c>
      <x:c r="D756" s="16" t="str">
        <x:v>support_kcs</x:v>
      </x:c>
      <x:c r="E756" s="16" t="str">
        <x:f>'Experiment_Coding_KT004'!AJ11</x:f>
        <x:v>NA</x:v>
      </x:c>
      <x:c r="F756" s="16" t="str">
        <x:f>'Experiment_Coding_KT004'!BR11</x:f>
        <x:v>Sec. 3 Datasets; Appendix A; Table 2; Table 1; Appendix B</x:v>
      </x:c>
      <x:c r="G756" s="16" t="str">
        <x:v>HIGH</x:v>
      </x:c>
      <x:c r="H756" s="16" t="str">
        <x:v>N</x:v>
      </x:c>
      <x:c r="I756" s="16" t="str">
        <x:v>Coder A worked example</x:v>
      </x:c>
    </x:row>
    <x:row r="757">
      <x:c r="A757" s="16" t="n">
        <x:v>756</x:v>
      </x:c>
      <x:c r="B757" s="16" t="str">
        <x:v>EXPERIMENT</x:v>
      </x:c>
      <x:c r="C757" s="16" t="str">
        <x:f>'Experiment_Coding_KT004'!A11</x:f>
        <x:v>PILOT_01_E10</x:v>
      </x:c>
      <x:c r="D757" s="16" t="str">
        <x:v>support_learners</x:v>
      </x:c>
      <x:c r="E757" s="16" t="str">
        <x:f>'Experiment_Coding_KT004'!AK11</x:f>
        <x:v>NA</x:v>
      </x:c>
      <x:c r="F757" s="16" t="str">
        <x:f>'Experiment_Coding_KT004'!BR11</x:f>
        <x:v>Sec. 3 Datasets; Appendix A; Table 2; Table 1; Appendix B</x:v>
      </x:c>
      <x:c r="G757" s="16" t="str">
        <x:v>HIGH</x:v>
      </x:c>
      <x:c r="H757" s="16" t="str">
        <x:v>N</x:v>
      </x:c>
      <x:c r="I757" s="16" t="str">
        <x:v>Coder A worked example</x:v>
      </x:c>
    </x:row>
    <x:row r="758">
      <x:c r="A758" s="16" t="n">
        <x:v>757</x:v>
      </x:c>
      <x:c r="B758" s="16" t="str">
        <x:v>EXPERIMENT</x:v>
      </x:c>
      <x:c r="C758" s="16" t="str">
        <x:f>'Experiment_Coding_KT004'!A11</x:f>
        <x:v>PILOT_01_E10</x:v>
      </x:c>
      <x:c r="D758" s="16" t="str">
        <x:v>support_items</x:v>
      </x:c>
      <x:c r="E758" s="16" t="str">
        <x:f>'Experiment_Coding_KT004'!AL11</x:f>
        <x:v>NA</x:v>
      </x:c>
      <x:c r="F758" s="16" t="str">
        <x:f>'Experiment_Coding_KT004'!BR11</x:f>
        <x:v>Sec. 3 Datasets; Appendix A; Table 2; Table 1; Appendix B</x:v>
      </x:c>
      <x:c r="G758" s="16" t="str">
        <x:v>HIGH</x:v>
      </x:c>
      <x:c r="H758" s="16" t="str">
        <x:v>N</x:v>
      </x:c>
      <x:c r="I758" s="16" t="str">
        <x:v>Coder A worked example</x:v>
      </x:c>
    </x:row>
    <x:row r="759">
      <x:c r="A759" s="16" t="n">
        <x:v>758</x:v>
      </x:c>
      <x:c r="B759" s="16" t="str">
        <x:v>EXPERIMENT</x:v>
      </x:c>
      <x:c r="C759" s="16" t="str">
        <x:f>'Experiment_Coding_KT004'!A11</x:f>
        <x:v>PILOT_01_E10</x:v>
      </x:c>
      <x:c r="D759" s="16" t="str">
        <x:v>support_test_interactions</x:v>
      </x:c>
      <x:c r="E759" s="16" t="str">
        <x:f>'Experiment_Coding_KT004'!AM11</x:f>
        <x:v>NA</x:v>
      </x:c>
      <x:c r="F759" s="16" t="str">
        <x:f>'Experiment_Coding_KT004'!BR11</x:f>
        <x:v>Sec. 3 Datasets; Appendix A; Table 2; Table 1; Appendix B</x:v>
      </x:c>
      <x:c r="G759" s="16" t="str">
        <x:v>HIGH</x:v>
      </x:c>
      <x:c r="H759" s="16" t="str">
        <x:v>N</x:v>
      </x:c>
      <x:c r="I759" s="16" t="str">
        <x:v>Coder A worked example</x:v>
      </x:c>
    </x:row>
    <x:row r="760">
      <x:c r="A760" s="16" t="n">
        <x:v>759</x:v>
      </x:c>
      <x:c r="B760" s="16" t="str">
        <x:v>EXPERIMENT</x:v>
      </x:c>
      <x:c r="C760" s="16" t="str">
        <x:f>'Experiment_Coding_KT004'!A11</x:f>
        <x:v>PILOT_01_E10</x:v>
      </x:c>
      <x:c r="D760" s="16" t="str">
        <x:v>positive_count</x:v>
      </x:c>
      <x:c r="E760" s="16" t="str">
        <x:f>'Experiment_Coding_KT004'!AN11</x:f>
        <x:v>NA</x:v>
      </x:c>
      <x:c r="F760" s="16" t="str">
        <x:f>'Experiment_Coding_KT004'!BR11</x:f>
        <x:v>Sec. 3 Datasets; Appendix A; Table 2; Table 1; Appendix B</x:v>
      </x:c>
      <x:c r="G760" s="16" t="str">
        <x:v>HIGH</x:v>
      </x:c>
      <x:c r="H760" s="16" t="str">
        <x:v>N</x:v>
      </x:c>
      <x:c r="I760" s="16" t="str">
        <x:v>Coder A worked example</x:v>
      </x:c>
    </x:row>
    <x:row r="761">
      <x:c r="A761" s="16" t="n">
        <x:v>760</x:v>
      </x:c>
      <x:c r="B761" s="16" t="str">
        <x:v>EXPERIMENT</x:v>
      </x:c>
      <x:c r="C761" s="16" t="str">
        <x:f>'Experiment_Coding_KT004'!A11</x:f>
        <x:v>PILOT_01_E10</x:v>
      </x:c>
      <x:c r="D761" s="16" t="str">
        <x:v>negative_count</x:v>
      </x:c>
      <x:c r="E761" s="16" t="str">
        <x:f>'Experiment_Coding_KT004'!AO11</x:f>
        <x:v>NA</x:v>
      </x:c>
      <x:c r="F761" s="16" t="str">
        <x:f>'Experiment_Coding_KT004'!BR11</x:f>
        <x:v>Sec. 3 Datasets; Appendix A; Table 2; Table 1; Appendix B</x:v>
      </x:c>
      <x:c r="G761" s="16" t="str">
        <x:v>HIGH</x:v>
      </x:c>
      <x:c r="H761" s="16" t="str">
        <x:v>N</x:v>
      </x:c>
      <x:c r="I761" s="16" t="str">
        <x:v>Coder A worked example</x:v>
      </x:c>
    </x:row>
    <x:row r="762">
      <x:c r="A762" s="16" t="n">
        <x:v>761</x:v>
      </x:c>
      <x:c r="B762" s="16" t="str">
        <x:v>EXPERIMENT</x:v>
      </x:c>
      <x:c r="C762" s="16" t="str">
        <x:f>'Experiment_Coding_KT004'!A11</x:f>
        <x:v>PILOT_01_E10</x:v>
      </x:c>
      <x:c r="D762" s="16" t="str">
        <x:v>metric_name_original</x:v>
      </x:c>
      <x:c r="E762" s="16" t="str">
        <x:f>'Experiment_Coding_KT004'!AP11</x:f>
        <x:v>AUC</x:v>
      </x:c>
      <x:c r="F762" s="16" t="str">
        <x:f>'Experiment_Coding_KT004'!BR11</x:f>
        <x:v>Sec. 3 Datasets; Appendix A; Table 2; Table 1; Appendix B</x:v>
      </x:c>
      <x:c r="G762" s="16" t="str">
        <x:v>HIGH</x:v>
      </x:c>
      <x:c r="H762" s="16" t="str">
        <x:v>N</x:v>
      </x:c>
      <x:c r="I762" s="16" t="str">
        <x:v>Coder A worked example</x:v>
      </x:c>
    </x:row>
    <x:row r="763">
      <x:c r="A763" s="16" t="n">
        <x:v>762</x:v>
      </x:c>
      <x:c r="B763" s="16" t="str">
        <x:v>EXPERIMENT</x:v>
      </x:c>
      <x:c r="C763" s="16" t="str">
        <x:f>'Experiment_Coding_KT004'!A11</x:f>
        <x:v>PILOT_01_E10</x:v>
      </x:c>
      <x:c r="D763" s="16" t="str">
        <x:v>metric_value_original</x:v>
      </x:c>
      <x:c r="E763" s="16" t="n">
        <x:f>'Experiment_Coding_KT004'!AQ11</x:f>
        <x:v>0.766</x:v>
      </x:c>
      <x:c r="F763" s="16" t="str">
        <x:f>'Experiment_Coding_KT004'!BR11</x:f>
        <x:v>Sec. 3 Datasets; Appendix A; Table 2; Table 1; Appendix B</x:v>
      </x:c>
      <x:c r="G763" s="16" t="str">
        <x:v>HIGH</x:v>
      </x:c>
      <x:c r="H763" s="16" t="str">
        <x:v>N</x:v>
      </x:c>
      <x:c r="I763" s="16" t="str">
        <x:v>Coder A worked example</x:v>
      </x:c>
    </x:row>
    <x:row r="764">
      <x:c r="A764" s="16" t="n">
        <x:v>763</x:v>
      </x:c>
      <x:c r="B764" s="16" t="str">
        <x:v>EXPERIMENT</x:v>
      </x:c>
      <x:c r="C764" s="16" t="str">
        <x:f>'Experiment_Coding_KT004'!A11</x:f>
        <x:v>PILOT_01_E10</x:v>
      </x:c>
      <x:c r="D764" s="16" t="str">
        <x:v>metric_scope</x:v>
      </x:c>
      <x:c r="E764" s="16" t="str">
        <x:f>'Experiment_Coding_KT004'!AR11</x:f>
        <x:v>OVERALL</x:v>
      </x:c>
      <x:c r="F764" s="16" t="str">
        <x:f>'Experiment_Coding_KT004'!BR11</x:f>
        <x:v>Sec. 3 Datasets; Appendix A; Table 2; Table 1; Appendix B</x:v>
      </x:c>
      <x:c r="G764" s="16" t="str">
        <x:v>HIGH</x:v>
      </x:c>
      <x:c r="H764" s="16" t="str">
        <x:v>Y</x:v>
      </x:c>
      <x:c r="I764" s="16" t="str">
        <x:v>Coder A worked example</x:v>
      </x:c>
    </x:row>
    <x:row r="765">
      <x:c r="A765" s="16" t="n">
        <x:v>764</x:v>
      </x:c>
      <x:c r="B765" s="16" t="str">
        <x:v>EXPERIMENT</x:v>
      </x:c>
      <x:c r="C765" s="16" t="str">
        <x:f>'Experiment_Coding_KT004'!A11</x:f>
        <x:v>PILOT_01_E10</x:v>
      </x:c>
      <x:c r="D765" s="16" t="str">
        <x:v>n_seeds</x:v>
      </x:c>
      <x:c r="E765" s="16" t="str">
        <x:f>'Experiment_Coding_KT004'!AS11</x:f>
        <x:v>NR</x:v>
      </x:c>
      <x:c r="F765" s="16" t="str">
        <x:f>'Experiment_Coding_KT004'!BR11</x:f>
        <x:v>Sec. 3 Datasets; Appendix A; Table 2; Table 1; Appendix B</x:v>
      </x:c>
      <x:c r="G765" s="16" t="str">
        <x:v>HIGH</x:v>
      </x:c>
      <x:c r="H765" s="16" t="str">
        <x:v>N</x:v>
      </x:c>
      <x:c r="I765" s="16" t="str">
        <x:v>Coder A worked example</x:v>
      </x:c>
    </x:row>
    <x:row r="766">
      <x:c r="A766" s="16" t="n">
        <x:v>765</x:v>
      </x:c>
      <x:c r="B766" s="16" t="str">
        <x:v>EXPERIMENT</x:v>
      </x:c>
      <x:c r="C766" s="16" t="str">
        <x:f>'Experiment_Coding_KT004'!A11</x:f>
        <x:v>PILOT_01_E10</x:v>
      </x:c>
      <x:c r="D766" s="16" t="str">
        <x:v>seed_values_reported</x:v>
      </x:c>
      <x:c r="E766" s="16" t="str">
        <x:f>'Experiment_Coding_KT004'!AT11</x:f>
        <x:v>NR</x:v>
      </x:c>
      <x:c r="F766" s="16" t="str">
        <x:f>'Experiment_Coding_KT004'!BR11</x:f>
        <x:v>Sec. 3 Datasets; Appendix A; Table 2; Table 1; Appendix B</x:v>
      </x:c>
      <x:c r="G766" s="16" t="str">
        <x:v>HIGH</x:v>
      </x:c>
      <x:c r="H766" s="16" t="str">
        <x:v>N</x:v>
      </x:c>
      <x:c r="I766" s="16" t="str">
        <x:v>Coder A worked example</x:v>
      </x:c>
    </x:row>
    <x:row r="767">
      <x:c r="A767" s="16" t="n">
        <x:v>766</x:v>
      </x:c>
      <x:c r="B767" s="16" t="str">
        <x:v>EXPERIMENT</x:v>
      </x:c>
      <x:c r="C767" s="16" t="str">
        <x:f>'Experiment_Coding_KT004'!A11</x:f>
        <x:v>PILOT_01_E10</x:v>
      </x:c>
      <x:c r="D767" s="16" t="str">
        <x:v>mean_std_reported</x:v>
      </x:c>
      <x:c r="E767" s="16" t="str">
        <x:f>'Experiment_Coding_KT004'!AU11</x:f>
        <x:v>N</x:v>
      </x:c>
      <x:c r="F767" s="16" t="str">
        <x:f>'Experiment_Coding_KT004'!BR11</x:f>
        <x:v>Sec. 3 Datasets; Appendix A; Table 2; Table 1; Appendix B</x:v>
      </x:c>
      <x:c r="G767" s="16" t="str">
        <x:v>HIGH</x:v>
      </x:c>
      <x:c r="H767" s="16" t="str">
        <x:v>Y</x:v>
      </x:c>
      <x:c r="I767" s="16" t="str">
        <x:v>Coder A worked example</x:v>
      </x:c>
    </x:row>
    <x:row r="768">
      <x:c r="A768" s="16" t="n">
        <x:v>767</x:v>
      </x:c>
      <x:c r="B768" s="16" t="str">
        <x:v>EXPERIMENT</x:v>
      </x:c>
      <x:c r="C768" s="16" t="str">
        <x:f>'Experiment_Coding_KT004'!A11</x:f>
        <x:v>PILOT_01_E10</x:v>
      </x:c>
      <x:c r="D768" s="16" t="str">
        <x:v>confidence_interval</x:v>
      </x:c>
      <x:c r="E768" s="16" t="str">
        <x:f>'Experiment_Coding_KT004'!AV11</x:f>
        <x:v>NR</x:v>
      </x:c>
      <x:c r="F768" s="16" t="str">
        <x:f>'Experiment_Coding_KT004'!BR11</x:f>
        <x:v>Sec. 3 Datasets; Appendix A; Table 2; Table 1; Appendix B</x:v>
      </x:c>
      <x:c r="G768" s="16" t="str">
        <x:v>HIGH</x:v>
      </x:c>
      <x:c r="H768" s="16" t="str">
        <x:v>N</x:v>
      </x:c>
      <x:c r="I768" s="16" t="str">
        <x:v>Coder A worked example</x:v>
      </x:c>
    </x:row>
    <x:row r="769">
      <x:c r="A769" s="16" t="n">
        <x:v>768</x:v>
      </x:c>
      <x:c r="B769" s="16" t="str">
        <x:v>EXPERIMENT</x:v>
      </x:c>
      <x:c r="C769" s="16" t="str">
        <x:f>'Experiment_Coding_KT004'!A11</x:f>
        <x:v>PILOT_01_E10</x:v>
      </x:c>
      <x:c r="D769" s="16" t="str">
        <x:v>bootstrap_unit</x:v>
      </x:c>
      <x:c r="E769" s="16" t="str">
        <x:f>'Experiment_Coding_KT004'!AW11</x:f>
        <x:v>NA</x:v>
      </x:c>
      <x:c r="F769" s="16" t="str">
        <x:f>'Experiment_Coding_KT004'!BR11</x:f>
        <x:v>Sec. 3 Datasets; Appendix A; Table 2; Table 1; Appendix B</x:v>
      </x:c>
      <x:c r="G769" s="16" t="str">
        <x:v>HIGH</x:v>
      </x:c>
      <x:c r="H769" s="16" t="str">
        <x:v>Y</x:v>
      </x:c>
      <x:c r="I769" s="16" t="str">
        <x:v>Coder A worked example</x:v>
      </x:c>
    </x:row>
    <x:row r="770">
      <x:c r="A770" s="16" t="n">
        <x:v>769</x:v>
      </x:c>
      <x:c r="B770" s="16" t="str">
        <x:v>EXPERIMENT</x:v>
      </x:c>
      <x:c r="C770" s="16" t="str">
        <x:f>'Experiment_Coding_KT004'!A11</x:f>
        <x:v>PILOT_01_E10</x:v>
      </x:c>
      <x:c r="D770" s="16" t="str">
        <x:v>statistical_test</x:v>
      </x:c>
      <x:c r="E770" s="16" t="str">
        <x:f>'Experiment_Coding_KT004'!AX11</x:f>
        <x:v>NR</x:v>
      </x:c>
      <x:c r="F770" s="16" t="str">
        <x:f>'Experiment_Coding_KT004'!BR11</x:f>
        <x:v>Sec. 3 Datasets; Appendix A; Table 2; Table 1; Appendix B</x:v>
      </x:c>
      <x:c r="G770" s="16" t="str">
        <x:v>HIGH</x:v>
      </x:c>
      <x:c r="H770" s="16" t="str">
        <x:v>N</x:v>
      </x:c>
      <x:c r="I770" s="16" t="str">
        <x:v>Coder A worked example</x:v>
      </x:c>
    </x:row>
    <x:row r="771">
      <x:c r="A771" s="16" t="n">
        <x:v>770</x:v>
      </x:c>
      <x:c r="B771" s="16" t="str">
        <x:v>EXPERIMENT</x:v>
      </x:c>
      <x:c r="C771" s="16" t="str">
        <x:f>'Experiment_Coding_KT004'!A11</x:f>
        <x:v>PILOT_01_E10</x:v>
      </x:c>
      <x:c r="D771" s="16" t="str">
        <x:v>multiple_comparison_correction</x:v>
      </x:c>
      <x:c r="E771" s="16" t="str">
        <x:f>'Experiment_Coding_KT004'!AY11</x:f>
        <x:v>NR</x:v>
      </x:c>
      <x:c r="F771" s="16" t="str">
        <x:f>'Experiment_Coding_KT004'!BR11</x:f>
        <x:v>Sec. 3 Datasets; Appendix A; Table 2; Table 1; Appendix B</x:v>
      </x:c>
      <x:c r="G771" s="16" t="str">
        <x:v>HIGH</x:v>
      </x:c>
      <x:c r="H771" s="16" t="str">
        <x:v>N</x:v>
      </x:c>
      <x:c r="I771" s="16" t="str">
        <x:v>Coder A worked example</x:v>
      </x:c>
    </x:row>
    <x:row r="772">
      <x:c r="A772" s="16" t="n">
        <x:v>771</x:v>
      </x:c>
      <x:c r="B772" s="16" t="str">
        <x:v>EXPERIMENT</x:v>
      </x:c>
      <x:c r="C772" s="16" t="str">
        <x:f>'Experiment_Coding_KT004'!A11</x:f>
        <x:v>PILOT_01_E10</x:v>
      </x:c>
      <x:c r="D772" s="16" t="str">
        <x:v>effect_size</x:v>
      </x:c>
      <x:c r="E772" s="16" t="str">
        <x:f>'Experiment_Coding_KT004'!AZ11</x:f>
        <x:v>NR</x:v>
      </x:c>
      <x:c r="F772" s="16" t="str">
        <x:f>'Experiment_Coding_KT004'!BR11</x:f>
        <x:v>Sec. 3 Datasets; Appendix A; Table 2; Table 1; Appendix B</x:v>
      </x:c>
      <x:c r="G772" s="16" t="str">
        <x:v>HIGH</x:v>
      </x:c>
      <x:c r="H772" s="16" t="str">
        <x:v>N</x:v>
      </x:c>
      <x:c r="I772" s="16" t="str">
        <x:v>Coder A worked example</x:v>
      </x:c>
    </x:row>
    <x:row r="773">
      <x:c r="A773" s="16" t="n">
        <x:v>772</x:v>
      </x:c>
      <x:c r="B773" s="16" t="str">
        <x:v>EXPERIMENT</x:v>
      </x:c>
      <x:c r="C773" s="16" t="str">
        <x:f>'Experiment_Coding_KT004'!A11</x:f>
        <x:v>PILOT_01_E10</x:v>
      </x:c>
      <x:c r="D773" s="16" t="str">
        <x:v>paired_design</x:v>
      </x:c>
      <x:c r="E773" s="16" t="str">
        <x:f>'Experiment_Coding_KT004'!BA11</x:f>
        <x:v>NR</x:v>
      </x:c>
      <x:c r="F773" s="16" t="str">
        <x:f>'Experiment_Coding_KT004'!BR11</x:f>
        <x:v>Sec. 3 Datasets; Appendix A; Table 2; Table 1; Appendix B</x:v>
      </x:c>
      <x:c r="G773" s="16" t="str">
        <x:v>HIGH</x:v>
      </x:c>
      <x:c r="H773" s="16" t="str">
        <x:v>Y</x:v>
      </x:c>
      <x:c r="I773" s="16" t="str">
        <x:v>Coder A worked example</x:v>
      </x:c>
    </x:row>
    <x:row r="774">
      <x:c r="A774" s="16" t="n">
        <x:v>773</x:v>
      </x:c>
      <x:c r="B774" s="16" t="str">
        <x:v>EXPERIMENT</x:v>
      </x:c>
      <x:c r="C774" s="16" t="str">
        <x:f>'Experiment_Coding_KT004'!A11</x:f>
        <x:v>PILOT_01_E10</x:v>
      </x:c>
      <x:c r="D774" s="16" t="str">
        <x:v>significance_threshold</x:v>
      </x:c>
      <x:c r="E774" s="16" t="str">
        <x:f>'Experiment_Coding_KT004'!BB11</x:f>
        <x:v>NR</x:v>
      </x:c>
      <x:c r="F774" s="16" t="str">
        <x:f>'Experiment_Coding_KT004'!BR11</x:f>
        <x:v>Sec. 3 Datasets; Appendix A; Table 2; Table 1; Appendix B</x:v>
      </x:c>
      <x:c r="G774" s="16" t="str">
        <x:v>HIGH</x:v>
      </x:c>
      <x:c r="H774" s="16" t="str">
        <x:v>N</x:v>
      </x:c>
      <x:c r="I774" s="16" t="str">
        <x:v>Coder A worked example</x:v>
      </x:c>
    </x:row>
    <x:row r="775">
      <x:c r="A775" s="16" t="n">
        <x:v>774</x:v>
      </x:c>
      <x:c r="B775" s="16" t="str">
        <x:v>EXPERIMENT</x:v>
      </x:c>
      <x:c r="C775" s="16" t="str">
        <x:f>'Experiment_Coding_KT004'!A11</x:f>
        <x:v>PILOT_01_E10</x:v>
      </x:c>
      <x:c r="D775" s="16" t="str">
        <x:v>parameter_count</x:v>
      </x:c>
      <x:c r="E775" s="16" t="str">
        <x:f>'Experiment_Coding_KT004'!BC11</x:f>
        <x:v>NR</x:v>
      </x:c>
      <x:c r="F775" s="16" t="str">
        <x:f>'Experiment_Coding_KT004'!BR11</x:f>
        <x:v>Sec. 3 Datasets; Appendix A; Table 2; Table 1; Appendix B</x:v>
      </x:c>
      <x:c r="G775" s="16" t="str">
        <x:v>HIGH</x:v>
      </x:c>
      <x:c r="H775" s="16" t="str">
        <x:v>N</x:v>
      </x:c>
      <x:c r="I775" s="16" t="str">
        <x:v>Coder A worked example</x:v>
      </x:c>
    </x:row>
    <x:row r="776">
      <x:c r="A776" s="16" t="n">
        <x:v>775</x:v>
      </x:c>
      <x:c r="B776" s="16" t="str">
        <x:v>EXPERIMENT</x:v>
      </x:c>
      <x:c r="C776" s="16" t="str">
        <x:f>'Experiment_Coding_KT004'!A11</x:f>
        <x:v>PILOT_01_E10</x:v>
      </x:c>
      <x:c r="D776" s="16" t="str">
        <x:v>train_time</x:v>
      </x:c>
      <x:c r="E776" s="16" t="str">
        <x:f>'Experiment_Coding_KT004'!BD11</x:f>
        <x:v>NR</x:v>
      </x:c>
      <x:c r="F776" s="16" t="str">
        <x:f>'Experiment_Coding_KT004'!BR11</x:f>
        <x:v>Sec. 3 Datasets; Appendix A; Table 2; Table 1; Appendix B</x:v>
      </x:c>
      <x:c r="G776" s="16" t="str">
        <x:v>HIGH</x:v>
      </x:c>
      <x:c r="H776" s="16" t="str">
        <x:v>N</x:v>
      </x:c>
      <x:c r="I776" s="16" t="str">
        <x:v>Coder A worked example</x:v>
      </x:c>
    </x:row>
    <x:row r="777">
      <x:c r="A777" s="16" t="n">
        <x:v>776</x:v>
      </x:c>
      <x:c r="B777" s="16" t="str">
        <x:v>EXPERIMENT</x:v>
      </x:c>
      <x:c r="C777" s="16" t="str">
        <x:f>'Experiment_Coding_KT004'!A11</x:f>
        <x:v>PILOT_01_E10</x:v>
      </x:c>
      <x:c r="D777" s="16" t="str">
        <x:v>time_per_epoch</x:v>
      </x:c>
      <x:c r="E777" s="16" t="str">
        <x:f>'Experiment_Coding_KT004'!BE11</x:f>
        <x:v>NR</x:v>
      </x:c>
      <x:c r="F777" s="16" t="str">
        <x:f>'Experiment_Coding_KT004'!BR11</x:f>
        <x:v>Sec. 3 Datasets; Appendix A; Table 2; Table 1; Appendix B</x:v>
      </x:c>
      <x:c r="G777" s="16" t="str">
        <x:v>HIGH</x:v>
      </x:c>
      <x:c r="H777" s="16" t="str">
        <x:v>N</x:v>
      </x:c>
      <x:c r="I777" s="16" t="str">
        <x:v>Coder A worked example</x:v>
      </x:c>
    </x:row>
    <x:row r="778">
      <x:c r="A778" s="16" t="n">
        <x:v>777</x:v>
      </x:c>
      <x:c r="B778" s="16" t="str">
        <x:v>EXPERIMENT</x:v>
      </x:c>
      <x:c r="C778" s="16" t="str">
        <x:f>'Experiment_Coding_KT004'!A11</x:f>
        <x:v>PILOT_01_E10</x:v>
      </x:c>
      <x:c r="D778" s="16" t="str">
        <x:v>inference_latency</x:v>
      </x:c>
      <x:c r="E778" s="16" t="str">
        <x:f>'Experiment_Coding_KT004'!BF11</x:f>
        <x:v>NR</x:v>
      </x:c>
      <x:c r="F778" s="16" t="str">
        <x:f>'Experiment_Coding_KT004'!BR11</x:f>
        <x:v>Sec. 3 Datasets; Appendix A; Table 2; Table 1; Appendix B</x:v>
      </x:c>
      <x:c r="G778" s="16" t="str">
        <x:v>HIGH</x:v>
      </x:c>
      <x:c r="H778" s="16" t="str">
        <x:v>N</x:v>
      </x:c>
      <x:c r="I778" s="16" t="str">
        <x:v>Coder A worked example</x:v>
      </x:c>
    </x:row>
    <x:row r="779">
      <x:c r="A779" s="16" t="n">
        <x:v>778</x:v>
      </x:c>
      <x:c r="B779" s="16" t="str">
        <x:v>EXPERIMENT</x:v>
      </x:c>
      <x:c r="C779" s="16" t="str">
        <x:f>'Experiment_Coding_KT004'!A11</x:f>
        <x:v>PILOT_01_E10</x:v>
      </x:c>
      <x:c r="D779" s="16" t="str">
        <x:v>throughput</x:v>
      </x:c>
      <x:c r="E779" s="16" t="str">
        <x:f>'Experiment_Coding_KT004'!BG11</x:f>
        <x:v>NR</x:v>
      </x:c>
      <x:c r="F779" s="16" t="str">
        <x:f>'Experiment_Coding_KT004'!BR11</x:f>
        <x:v>Sec. 3 Datasets; Appendix A; Table 2; Table 1; Appendix B</x:v>
      </x:c>
      <x:c r="G779" s="16" t="str">
        <x:v>HIGH</x:v>
      </x:c>
      <x:c r="H779" s="16" t="str">
        <x:v>N</x:v>
      </x:c>
      <x:c r="I779" s="16" t="str">
        <x:v>Coder A worked example</x:v>
      </x:c>
    </x:row>
    <x:row r="780">
      <x:c r="A780" s="16" t="n">
        <x:v>779</x:v>
      </x:c>
      <x:c r="B780" s="16" t="str">
        <x:v>EXPERIMENT</x:v>
      </x:c>
      <x:c r="C780" s="16" t="str">
        <x:f>'Experiment_Coding_KT004'!A11</x:f>
        <x:v>PILOT_01_E10</x:v>
      </x:c>
      <x:c r="D780" s="16" t="str">
        <x:v>cpu_ram</x:v>
      </x:c>
      <x:c r="E780" s="16" t="str">
        <x:f>'Experiment_Coding_KT004'!BH11</x:f>
        <x:v>NR</x:v>
      </x:c>
      <x:c r="F780" s="16" t="str">
        <x:f>'Experiment_Coding_KT004'!BR11</x:f>
        <x:v>Sec. 3 Datasets; Appendix A; Table 2; Table 1; Appendix B</x:v>
      </x:c>
      <x:c r="G780" s="16" t="str">
        <x:v>HIGH</x:v>
      </x:c>
      <x:c r="H780" s="16" t="str">
        <x:v>N</x:v>
      </x:c>
      <x:c r="I780" s="16" t="str">
        <x:v>Coder A worked example</x:v>
      </x:c>
    </x:row>
    <x:row r="781">
      <x:c r="A781" s="16" t="n">
        <x:v>780</x:v>
      </x:c>
      <x:c r="B781" s="16" t="str">
        <x:v>EXPERIMENT</x:v>
      </x:c>
      <x:c r="C781" s="16" t="str">
        <x:f>'Experiment_Coding_KT004'!A11</x:f>
        <x:v>PILOT_01_E10</x:v>
      </x:c>
      <x:c r="D781" s="16" t="str">
        <x:v>gpu_vram</x:v>
      </x:c>
      <x:c r="E781" s="16" t="str">
        <x:f>'Experiment_Coding_KT004'!BI11</x:f>
        <x:v>NR</x:v>
      </x:c>
      <x:c r="F781" s="16" t="str">
        <x:f>'Experiment_Coding_KT004'!BR11</x:f>
        <x:v>Sec. 3 Datasets; Appendix A; Table 2; Table 1; Appendix B</x:v>
      </x:c>
      <x:c r="G781" s="16" t="str">
        <x:v>HIGH</x:v>
      </x:c>
      <x:c r="H781" s="16" t="str">
        <x:v>N</x:v>
      </x:c>
      <x:c r="I781" s="16" t="str">
        <x:v>Coder A worked example</x:v>
      </x:c>
    </x:row>
    <x:row r="782">
      <x:c r="A782" s="16" t="n">
        <x:v>781</x:v>
      </x:c>
      <x:c r="B782" s="16" t="str">
        <x:v>EXPERIMENT</x:v>
      </x:c>
      <x:c r="C782" s="16" t="str">
        <x:f>'Experiment_Coding_KT004'!A11</x:f>
        <x:v>PILOT_01_E10</x:v>
      </x:c>
      <x:c r="D782" s="16" t="str">
        <x:v>hardware</x:v>
      </x:c>
      <x:c r="E782" s="16" t="str">
        <x:f>'Experiment_Coding_KT004'!BJ11</x:f>
        <x:v>NR</x:v>
      </x:c>
      <x:c r="F782" s="16" t="str">
        <x:f>'Experiment_Coding_KT004'!BR11</x:f>
        <x:v>Sec. 3 Datasets; Appendix A; Table 2; Table 1; Appendix B</x:v>
      </x:c>
      <x:c r="G782" s="16" t="str">
        <x:v>HIGH</x:v>
      </x:c>
      <x:c r="H782" s="16" t="str">
        <x:v>N</x:v>
      </x:c>
      <x:c r="I782" s="16" t="str">
        <x:v>Coder A worked example</x:v>
      </x:c>
    </x:row>
    <x:row r="783">
      <x:c r="A783" s="16" t="n">
        <x:v>782</x:v>
      </x:c>
      <x:c r="B783" s="16" t="str">
        <x:v>EXPERIMENT</x:v>
      </x:c>
      <x:c r="C783" s="16" t="str">
        <x:f>'Experiment_Coding_KT004'!A11</x:f>
        <x:v>PILOT_01_E10</x:v>
      </x:c>
      <x:c r="D783" s="16" t="str">
        <x:v>graph_construction_time</x:v>
      </x:c>
      <x:c r="E783" s="16" t="str">
        <x:f>'Experiment_Coding_KT004'!BK11</x:f>
        <x:v>NR</x:v>
      </x:c>
      <x:c r="F783" s="16" t="str">
        <x:f>'Experiment_Coding_KT004'!BR11</x:f>
        <x:v>Sec. 3 Datasets; Appendix A; Table 2; Table 1; Appendix B</x:v>
      </x:c>
      <x:c r="G783" s="16" t="str">
        <x:v>HIGH</x:v>
      </x:c>
      <x:c r="H783" s="16" t="str">
        <x:v>N</x:v>
      </x:c>
      <x:c r="I783" s="16" t="str">
        <x:v>Coder A worked example</x:v>
      </x:c>
    </x:row>
    <x:row r="784">
      <x:c r="A784" s="16" t="n">
        <x:v>783</x:v>
      </x:c>
      <x:c r="B784" s="16" t="str">
        <x:v>EXPERIMENT</x:v>
      </x:c>
      <x:c r="C784" s="16" t="str">
        <x:f>'Experiment_Coding_KT004'!A11</x:f>
        <x:v>PILOT_01_E10</x:v>
      </x:c>
      <x:c r="D784" s="16" t="str">
        <x:v>complexity_formula</x:v>
      </x:c>
      <x:c r="E784" s="16" t="str">
        <x:f>'Experiment_Coding_KT004'!BL11</x:f>
        <x:v>NR</x:v>
      </x:c>
      <x:c r="F784" s="16" t="str">
        <x:f>'Experiment_Coding_KT004'!BR11</x:f>
        <x:v>Sec. 3 Datasets; Appendix A; Table 2; Table 1; Appendix B</x:v>
      </x:c>
      <x:c r="G784" s="16" t="str">
        <x:v>HIGH</x:v>
      </x:c>
      <x:c r="H784" s="16" t="str">
        <x:v>N</x:v>
      </x:c>
      <x:c r="I784" s="16" t="str">
        <x:v>Coder A worked example</x:v>
      </x:c>
    </x:row>
    <x:row r="785">
      <x:c r="A785" s="16" t="n">
        <x:v>784</x:v>
      </x:c>
      <x:c r="B785" s="16" t="str">
        <x:v>EXPERIMENT</x:v>
      </x:c>
      <x:c r="C785" s="16" t="str">
        <x:f>'Experiment_Coding_KT004'!A11</x:f>
        <x:v>PILOT_01_E10</x:v>
      </x:c>
      <x:c r="D785" s="16" t="str">
        <x:v>scale_up_experiment</x:v>
      </x:c>
      <x:c r="E785" s="16" t="str">
        <x:f>'Experiment_Coding_KT004'!BM11</x:f>
        <x:v>N</x:v>
      </x:c>
      <x:c r="F785" s="16" t="str">
        <x:f>'Experiment_Coding_KT004'!BR11</x:f>
        <x:v>Sec. 3 Datasets; Appendix A; Table 2; Table 1; Appendix B</x:v>
      </x:c>
      <x:c r="G785" s="16" t="str">
        <x:v>HIGH</x:v>
      </x:c>
      <x:c r="H785" s="16" t="str">
        <x:v>Y</x:v>
      </x:c>
      <x:c r="I785" s="16" t="str">
        <x:v>Coder A worked example</x:v>
      </x:c>
    </x:row>
    <x:row r="786">
      <x:c r="A786" s="16" t="n">
        <x:v>785</x:v>
      </x:c>
      <x:c r="B786" s="16" t="str">
        <x:v>EXPERIMENT</x:v>
      </x:c>
      <x:c r="C786" s="16" t="str">
        <x:f>'Experiment_Coding_KT004'!A11</x:f>
        <x:v>PILOT_01_E10</x:v>
      </x:c>
      <x:c r="D786" s="16" t="str">
        <x:v>oom_timeout_reported</x:v>
      </x:c>
      <x:c r="E786" s="16" t="str">
        <x:f>'Experiment_Coding_KT004'!BN11</x:f>
        <x:v>NR</x:v>
      </x:c>
      <x:c r="F786" s="16" t="str">
        <x:f>'Experiment_Coding_KT004'!BR11</x:f>
        <x:v>Sec. 3 Datasets; Appendix A; Table 2; Table 1; Appendix B</x:v>
      </x:c>
      <x:c r="G786" s="16" t="str">
        <x:v>HIGH</x:v>
      </x:c>
      <x:c r="H786" s="16" t="str">
        <x:v>Y</x:v>
      </x:c>
      <x:c r="I786" s="16" t="str">
        <x:v>Coder A worked example</x:v>
      </x:c>
    </x:row>
    <x:row r="787">
      <x:c r="A787" s="16" t="n">
        <x:v>786</x:v>
      </x:c>
      <x:c r="B787" s="16" t="str">
        <x:v>EXPERIMENT</x:v>
      </x:c>
      <x:c r="C787" s="16" t="str">
        <x:f>'Experiment_Coding_KT004'!A12</x:f>
        <x:v>PILOT_01_E11</x:v>
      </x:c>
      <x:c r="D787" s="16" t="str">
        <x:v>dataset_name</x:v>
      </x:c>
      <x:c r="E787" s="16" t="str">
        <x:f>'Experiment_Coding_KT004'!D12</x:f>
        <x:v>ASSISTments</x:v>
      </x:c>
      <x:c r="F787" s="16" t="str">
        <x:f>'Experiment_Coding_KT004'!BR12</x:f>
        <x:v>Sec. 3 Datasets; Appendix A; Table 2; Table 1; Appendix B</x:v>
      </x:c>
      <x:c r="G787" s="16" t="str">
        <x:v>HIGH</x:v>
      </x:c>
      <x:c r="H787" s="16" t="str">
        <x:v>N</x:v>
      </x:c>
      <x:c r="I787" s="16" t="str">
        <x:v>Coder A worked example</x:v>
      </x:c>
    </x:row>
    <x:row r="788">
      <x:c r="A788" s="16" t="n">
        <x:v>787</x:v>
      </x:c>
      <x:c r="B788" s="16" t="str">
        <x:v>EXPERIMENT</x:v>
      </x:c>
      <x:c r="C788" s="16" t="str">
        <x:f>'Experiment_Coding_KT004'!A12</x:f>
        <x:v>PILOT_01_E11</x:v>
      </x:c>
      <x:c r="D788" s="16" t="str">
        <x:v>dataset_version</x:v>
      </x:c>
      <x:c r="E788" s="16" t="str">
        <x:f>'Experiment_Coding_KT004'!E12</x:f>
        <x:v>2009-2010 Skill Builder</x:v>
      </x:c>
      <x:c r="F788" s="16" t="str">
        <x:f>'Experiment_Coding_KT004'!BR12</x:f>
        <x:v>Sec. 3 Datasets; Appendix A; Table 2; Table 1; Appendix B</x:v>
      </x:c>
      <x:c r="G788" s="16" t="str">
        <x:v>HIGH</x:v>
      </x:c>
      <x:c r="H788" s="16" t="str">
        <x:v>N</x:v>
      </x:c>
      <x:c r="I788" s="16" t="str">
        <x:v>Coder A worked example</x:v>
      </x:c>
    </x:row>
    <x:row r="789">
      <x:c r="A789" s="16" t="n">
        <x:v>788</x:v>
      </x:c>
      <x:c r="B789" s="16" t="str">
        <x:v>EXPERIMENT</x:v>
      </x:c>
      <x:c r="C789" s="16" t="str">
        <x:f>'Experiment_Coding_KT004'!A12</x:f>
        <x:v>PILOT_01_E11</x:v>
      </x:c>
      <x:c r="D789" s="16" t="str">
        <x:v>n_learners_reported</x:v>
      </x:c>
      <x:c r="E789" s="16" t="n">
        <x:f>'Experiment_Coding_KT004'!G12</x:f>
        <x:v>1000</x:v>
      </x:c>
      <x:c r="F789" s="16" t="str">
        <x:f>'Experiment_Coding_KT004'!BR12</x:f>
        <x:v>Sec. 3 Datasets; Appendix A; Table 2; Table 1; Appendix B</x:v>
      </x:c>
      <x:c r="G789" s="16" t="str">
        <x:v>HIGH</x:v>
      </x:c>
      <x:c r="H789" s="16" t="str">
        <x:v>N</x:v>
      </x:c>
      <x:c r="I789" s="16" t="str">
        <x:v>Coder A worked example</x:v>
      </x:c>
    </x:row>
    <x:row r="790">
      <x:c r="A790" s="16" t="n">
        <x:v>789</x:v>
      </x:c>
      <x:c r="B790" s="16" t="str">
        <x:v>EXPERIMENT</x:v>
      </x:c>
      <x:c r="C790" s="16" t="str">
        <x:f>'Experiment_Coding_KT004'!A12</x:f>
        <x:v>PILOT_01_E11</x:v>
      </x:c>
      <x:c r="D790" s="16" t="str">
        <x:v>n_items_reported</x:v>
      </x:c>
      <x:c r="E790" s="16" t="str">
        <x:f>'Experiment_Coding_KT004'!H12</x:f>
        <x:v>NR</x:v>
      </x:c>
      <x:c r="F790" s="16" t="str">
        <x:f>'Experiment_Coding_KT004'!BR12</x:f>
        <x:v>Sec. 3 Datasets; Appendix A; Table 2; Table 1; Appendix B</x:v>
      </x:c>
      <x:c r="G790" s="16" t="str">
        <x:v>HIGH</x:v>
      </x:c>
      <x:c r="H790" s="16" t="str">
        <x:v>N</x:v>
      </x:c>
      <x:c r="I790" s="16" t="str">
        <x:v>Coder A worked example</x:v>
      </x:c>
    </x:row>
    <x:row r="791">
      <x:c r="A791" s="16" t="n">
        <x:v>790</x:v>
      </x:c>
      <x:c r="B791" s="16" t="str">
        <x:v>EXPERIMENT</x:v>
      </x:c>
      <x:c r="C791" s="16" t="str">
        <x:f>'Experiment_Coding_KT004'!A12</x:f>
        <x:v>PILOT_01_E11</x:v>
      </x:c>
      <x:c r="D791" s="16" t="str">
        <x:v>n_kcs_reported</x:v>
      </x:c>
      <x:c r="E791" s="16" t="n">
        <x:f>'Experiment_Coding_KT004'!I12</x:f>
        <x:v>101</x:v>
      </x:c>
      <x:c r="F791" s="16" t="str">
        <x:f>'Experiment_Coding_KT004'!BR12</x:f>
        <x:v>Sec. 3 Datasets; Appendix A; Table 2; Table 1; Appendix B</x:v>
      </x:c>
      <x:c r="G791" s="16" t="str">
        <x:v>HIGH</x:v>
      </x:c>
      <x:c r="H791" s="16" t="str">
        <x:v>N</x:v>
      </x:c>
      <x:c r="I791" s="16" t="str">
        <x:v>Coder A worked example</x:v>
      </x:c>
    </x:row>
    <x:row r="792">
      <x:c r="A792" s="16" t="n">
        <x:v>791</x:v>
      </x:c>
      <x:c r="B792" s="16" t="str">
        <x:v>EXPERIMENT</x:v>
      </x:c>
      <x:c r="C792" s="16" t="str">
        <x:f>'Experiment_Coding_KT004'!A12</x:f>
        <x:v>PILOT_01_E11</x:v>
      </x:c>
      <x:c r="D792" s="16" t="str">
        <x:v>n_interactions_reported</x:v>
      </x:c>
      <x:c r="E792" s="16" t="n">
        <x:f>'Experiment_Coding_KT004'!J12</x:f>
        <x:v>62955</x:v>
      </x:c>
      <x:c r="F792" s="16" t="str">
        <x:f>'Experiment_Coding_KT004'!BR12</x:f>
        <x:v>Sec. 3 Datasets; Appendix A; Table 2; Table 1; Appendix B</x:v>
      </x:c>
      <x:c r="G792" s="16" t="str">
        <x:v>HIGH</x:v>
      </x:c>
      <x:c r="H792" s="16" t="str">
        <x:v>N</x:v>
      </x:c>
      <x:c r="I792" s="16" t="str">
        <x:v>Coder A worked example</x:v>
      </x:c>
    </x:row>
    <x:row r="793">
      <x:c r="A793" s="16" t="n">
        <x:v>792</x:v>
      </x:c>
      <x:c r="B793" s="16" t="str">
        <x:v>EXPERIMENT</x:v>
      </x:c>
      <x:c r="C793" s="16" t="str">
        <x:f>'Experiment_Coding_KT004'!A12</x:f>
        <x:v>PILOT_01_E11</x:v>
      </x:c>
      <x:c r="D793" s="16" t="str">
        <x:v>multi_skill_present</x:v>
      </x:c>
      <x:c r="E793" s="16" t="str">
        <x:f>'Experiment_Coding_KT004'!K12</x:f>
        <x:v>UNCLEAR</x:v>
      </x:c>
      <x:c r="F793" s="16" t="str">
        <x:f>'Experiment_Coding_KT004'!BR12</x:f>
        <x:v>Sec. 3 Datasets; Appendix A; Table 2; Table 1; Appendix B</x:v>
      </x:c>
      <x:c r="G793" s="16" t="str">
        <x:v>HIGH</x:v>
      </x:c>
      <x:c r="H793" s="16" t="str">
        <x:v>Y</x:v>
      </x:c>
      <x:c r="I793" s="16" t="str">
        <x:v>Coder A worked example</x:v>
      </x:c>
    </x:row>
    <x:row r="794">
      <x:c r="A794" s="16" t="n">
        <x:v>793</x:v>
      </x:c>
      <x:c r="B794" s="16" t="str">
        <x:v>EXPERIMENT</x:v>
      </x:c>
      <x:c r="C794" s="16" t="str">
        <x:f>'Experiment_Coding_KT004'!A12</x:f>
        <x:v>PILOT_01_E11</x:v>
      </x:c>
      <x:c r="D794" s="16" t="str">
        <x:v>multi_skill_handling</x:v>
      </x:c>
      <x:c r="E794" s="16" t="str">
        <x:f>'Experiment_Coding_KT004'!L12</x:f>
        <x:v>Combine simultaneous answer logs into one; extract named skill tags</x:v>
      </x:c>
      <x:c r="F794" s="16" t="str">
        <x:f>'Experiment_Coding_KT004'!BR12</x:f>
        <x:v>Sec. 3 Datasets; Appendix A; Table 2; Table 1; Appendix B</x:v>
      </x:c>
      <x:c r="G794" s="16" t="str">
        <x:v>HIGH</x:v>
      </x:c>
      <x:c r="H794" s="16" t="str">
        <x:v>N</x:v>
      </x:c>
      <x:c r="I794" s="16" t="str">
        <x:v>Coder A worked example</x:v>
      </x:c>
    </x:row>
    <x:row r="795">
      <x:c r="A795" s="16" t="n">
        <x:v>794</x:v>
      </x:c>
      <x:c r="B795" s="16" t="str">
        <x:v>EXPERIMENT</x:v>
      </x:c>
      <x:c r="C795" s="16" t="str">
        <x:f>'Experiment_Coding_KT004'!A12</x:f>
        <x:v>PILOT_01_E11</x:v>
      </x:c>
      <x:c r="D795" s="16" t="str">
        <x:v>sequence_truncation</x:v>
      </x:c>
      <x:c r="E795" s="16" t="str">
        <x:f>'Experiment_Coding_KT004'!M12</x:f>
        <x:v>NR</x:v>
      </x:c>
      <x:c r="F795" s="16" t="str">
        <x:f>'Experiment_Coding_KT004'!BR12</x:f>
        <x:v>Sec. 3 Datasets; Appendix A; Table 2; Table 1; Appendix B</x:v>
      </x:c>
      <x:c r="G795" s="16" t="str">
        <x:v>HIGH</x:v>
      </x:c>
      <x:c r="H795" s="16" t="str">
        <x:v>N</x:v>
      </x:c>
      <x:c r="I795" s="16" t="str">
        <x:v>Coder A worked example</x:v>
      </x:c>
    </x:row>
    <x:row r="796">
      <x:c r="A796" s="16" t="n">
        <x:v>795</x:v>
      </x:c>
      <x:c r="B796" s="16" t="str">
        <x:v>EXPERIMENT</x:v>
      </x:c>
      <x:c r="C796" s="16" t="str">
        <x:f>'Experiment_Coding_KT004'!A12</x:f>
        <x:v>PILOT_01_E11</x:v>
      </x:c>
      <x:c r="D796" s="16" t="str">
        <x:v>min_sequence_filter</x:v>
      </x:c>
      <x:c r="E796" s="16" t="str">
        <x:f>'Experiment_Coding_KT004'!N12</x:f>
        <x:v>NR</x:v>
      </x:c>
      <x:c r="F796" s="16" t="str">
        <x:f>'Experiment_Coding_KT004'!BR12</x:f>
        <x:v>Sec. 3 Datasets; Appendix A; Table 2; Table 1; Appendix B</x:v>
      </x:c>
      <x:c r="G796" s="16" t="str">
        <x:v>HIGH</x:v>
      </x:c>
      <x:c r="H796" s="16" t="str">
        <x:v>N</x:v>
      </x:c>
      <x:c r="I796" s="16" t="str">
        <x:v>Coder A worked example</x:v>
      </x:c>
    </x:row>
    <x:row r="797">
      <x:c r="A797" s="16" t="n">
        <x:v>796</x:v>
      </x:c>
      <x:c r="B797" s="16" t="str">
        <x:v>EXPERIMENT</x:v>
      </x:c>
      <x:c r="C797" s="16" t="str">
        <x:f>'Experiment_Coding_KT004'!A12</x:f>
        <x:v>PILOT_01_E11</x:v>
      </x:c>
      <x:c r="D797" s="16" t="str">
        <x:v>timestamp_used</x:v>
      </x:c>
      <x:c r="E797" s="16" t="str">
        <x:f>'Experiment_Coding_KT004'!O12</x:f>
        <x:v>UNCLEAR</x:v>
      </x:c>
      <x:c r="F797" s="16" t="str">
        <x:f>'Experiment_Coding_KT004'!BR12</x:f>
        <x:v>Sec. 3 Datasets; Appendix A; Table 2; Table 1; Appendix B</x:v>
      </x:c>
      <x:c r="G797" s="16" t="str">
        <x:v>HIGH</x:v>
      </x:c>
      <x:c r="H797" s="16" t="str">
        <x:v>Y</x:v>
      </x:c>
      <x:c r="I797" s="16" t="str">
        <x:v>Coder A worked example</x:v>
      </x:c>
    </x:row>
    <x:row r="798">
      <x:c r="A798" s="16" t="n">
        <x:v>797</x:v>
      </x:c>
      <x:c r="B798" s="16" t="str">
        <x:v>EXPERIMENT</x:v>
      </x:c>
      <x:c r="C798" s="16" t="str">
        <x:f>'Experiment_Coding_KT004'!A12</x:f>
        <x:v>PILOT_01_E11</x:v>
      </x:c>
      <x:c r="D798" s="16" t="str">
        <x:v>preprocessing_code_available</x:v>
      </x:c>
      <x:c r="E798" s="16" t="str">
        <x:f>'Experiment_Coding_KT004'!P12</x:f>
        <x:v>NR</x:v>
      </x:c>
      <x:c r="F798" s="16" t="str">
        <x:f>'Experiment_Coding_KT004'!BR12</x:f>
        <x:v>Sec. 3 Datasets; Appendix A; Table 2; Table 1; Appendix B</x:v>
      </x:c>
      <x:c r="G798" s="16" t="str">
        <x:v>HIGH</x:v>
      </x:c>
      <x:c r="H798" s="16" t="str">
        <x:v>Y</x:v>
      </x:c>
      <x:c r="I798" s="16" t="str">
        <x:v>Coder A worked example</x:v>
      </x:c>
    </x:row>
    <x:row r="799">
      <x:c r="A799" s="16" t="n">
        <x:v>798</x:v>
      </x:c>
      <x:c r="B799" s="16" t="str">
        <x:v>EXPERIMENT</x:v>
      </x:c>
      <x:c r="C799" s="16" t="str">
        <x:f>'Experiment_Coding_KT004'!A12</x:f>
        <x:v>PILOT_01_E11</x:v>
      </x:c>
      <x:c r="D799" s="16" t="str">
        <x:v>split_type</x:v>
      </x:c>
      <x:c r="E799" s="16" t="str">
        <x:f>'Experiment_Coding_KT004'!Q12</x:f>
        <x:v>LEARNER_BASED</x:v>
      </x:c>
      <x:c r="F799" s="16" t="str">
        <x:f>'Experiment_Coding_KT004'!BR12</x:f>
        <x:v>Sec. 3 Datasets; Appendix A; Table 2; Table 1; Appendix B</x:v>
      </x:c>
      <x:c r="G799" s="16" t="str">
        <x:v>HIGH</x:v>
      </x:c>
      <x:c r="H799" s="16" t="str">
        <x:v>Y</x:v>
      </x:c>
      <x:c r="I799" s="16" t="str">
        <x:v>Coder A worked example</x:v>
      </x:c>
    </x:row>
    <x:row r="800">
      <x:c r="A800" s="16" t="n">
        <x:v>799</x:v>
      </x:c>
      <x:c r="B800" s="16" t="str">
        <x:v>EXPERIMENT</x:v>
      </x:c>
      <x:c r="C800" s="16" t="str">
        <x:f>'Experiment_Coding_KT004'!A12</x:f>
        <x:v>PILOT_01_E11</x:v>
      </x:c>
      <x:c r="D800" s="16" t="str">
        <x:v>split_unit_original</x:v>
      </x:c>
      <x:c r="E800" s="16" t="str">
        <x:f>'Experiment_Coding_KT004'!R12</x:f>
        <x:v>students</x:v>
      </x:c>
      <x:c r="F800" s="16" t="str">
        <x:f>'Experiment_Coding_KT004'!BR12</x:f>
        <x:v>Sec. 3 Datasets; Appendix A; Table 2; Table 1; Appendix B</x:v>
      </x:c>
      <x:c r="G800" s="16" t="str">
        <x:v>HIGH</x:v>
      </x:c>
      <x:c r="H800" s="16" t="str">
        <x:v>N</x:v>
      </x:c>
      <x:c r="I800" s="16" t="str">
        <x:v>Coder A worked example</x:v>
      </x:c>
    </x:row>
    <x:row r="801">
      <x:c r="A801" s="16" t="n">
        <x:v>800</x:v>
      </x:c>
      <x:c r="B801" s="16" t="str">
        <x:v>EXPERIMENT</x:v>
      </x:c>
      <x:c r="C801" s="16" t="str">
        <x:f>'Experiment_Coding_KT004'!A12</x:f>
        <x:v>PILOT_01_E11</x:v>
      </x:c>
      <x:c r="D801" s="16" t="str">
        <x:v>train_fraction</x:v>
      </x:c>
      <x:c r="E801" s="16" t="n">
        <x:f>'Experiment_Coding_KT004'!S12</x:f>
        <x:v>0.8</x:v>
      </x:c>
      <x:c r="F801" s="16" t="str">
        <x:f>'Experiment_Coding_KT004'!BR12</x:f>
        <x:v>Sec. 3 Datasets; Appendix A; Table 2; Table 1; Appendix B</x:v>
      </x:c>
      <x:c r="G801" s="16" t="str">
        <x:v>HIGH</x:v>
      </x:c>
      <x:c r="H801" s="16" t="str">
        <x:v>N</x:v>
      </x:c>
      <x:c r="I801" s="16" t="str">
        <x:v>Coder A worked example</x:v>
      </x:c>
    </x:row>
    <x:row r="802">
      <x:c r="A802" s="16" t="n">
        <x:v>801</x:v>
      </x:c>
      <x:c r="B802" s="16" t="str">
        <x:v>EXPERIMENT</x:v>
      </x:c>
      <x:c r="C802" s="16" t="str">
        <x:f>'Experiment_Coding_KT004'!A12</x:f>
        <x:v>PILOT_01_E11</x:v>
      </x:c>
      <x:c r="D802" s="16" t="str">
        <x:v>validation_fraction</x:v>
      </x:c>
      <x:c r="E802" s="16" t="n">
        <x:f>'Experiment_Coding_KT004'!T12</x:f>
        <x:v>0.1</x:v>
      </x:c>
      <x:c r="F802" s="16" t="str">
        <x:f>'Experiment_Coding_KT004'!BR12</x:f>
        <x:v>Sec. 3 Datasets; Appendix A; Table 2; Table 1; Appendix B</x:v>
      </x:c>
      <x:c r="G802" s="16" t="str">
        <x:v>HIGH</x:v>
      </x:c>
      <x:c r="H802" s="16" t="str">
        <x:v>N</x:v>
      </x:c>
      <x:c r="I802" s="16" t="str">
        <x:v>Coder A worked example</x:v>
      </x:c>
    </x:row>
    <x:row r="803">
      <x:c r="A803" s="16" t="n">
        <x:v>802</x:v>
      </x:c>
      <x:c r="B803" s="16" t="str">
        <x:v>EXPERIMENT</x:v>
      </x:c>
      <x:c r="C803" s="16" t="str">
        <x:f>'Experiment_Coding_KT004'!A12</x:f>
        <x:v>PILOT_01_E11</x:v>
      </x:c>
      <x:c r="D803" s="16" t="str">
        <x:v>test_fraction</x:v>
      </x:c>
      <x:c r="E803" s="16" t="n">
        <x:f>'Experiment_Coding_KT004'!U12</x:f>
        <x:v>0.1</x:v>
      </x:c>
      <x:c r="F803" s="16" t="str">
        <x:f>'Experiment_Coding_KT004'!BR12</x:f>
        <x:v>Sec. 3 Datasets; Appendix A; Table 2; Table 1; Appendix B</x:v>
      </x:c>
      <x:c r="G803" s="16" t="str">
        <x:v>HIGH</x:v>
      </x:c>
      <x:c r="H803" s="16" t="str">
        <x:v>N</x:v>
      </x:c>
      <x:c r="I803" s="16" t="str">
        <x:v>Coder A worked example</x:v>
      </x:c>
    </x:row>
    <x:row r="804">
      <x:c r="A804" s="16" t="n">
        <x:v>803</x:v>
      </x:c>
      <x:c r="B804" s="16" t="str">
        <x:v>EXPERIMENT</x:v>
      </x:c>
      <x:c r="C804" s="16" t="str">
        <x:f>'Experiment_Coding_KT004'!A12</x:f>
        <x:v>PILOT_01_E11</x:v>
      </x:c>
      <x:c r="D804" s="16" t="str">
        <x:v>validation_set_separate</x:v>
      </x:c>
      <x:c r="E804" s="16" t="str">
        <x:f>'Experiment_Coding_KT004'!V12</x:f>
        <x:v>Y</x:v>
      </x:c>
      <x:c r="F804" s="16" t="str">
        <x:f>'Experiment_Coding_KT004'!BR12</x:f>
        <x:v>Sec. 3 Datasets; Appendix A; Table 2; Table 1; Appendix B</x:v>
      </x:c>
      <x:c r="G804" s="16" t="str">
        <x:v>HIGH</x:v>
      </x:c>
      <x:c r="H804" s="16" t="str">
        <x:v>Y</x:v>
      </x:c>
      <x:c r="I804" s="16" t="str">
        <x:v>Coder A worked example</x:v>
      </x:c>
    </x:row>
    <x:row r="805">
      <x:c r="A805" s="16" t="n">
        <x:v>804</x:v>
      </x:c>
      <x:c r="B805" s="16" t="str">
        <x:v>EXPERIMENT</x:v>
      </x:c>
      <x:c r="C805" s="16" t="str">
        <x:f>'Experiment_Coding_KT004'!A12</x:f>
        <x:v>PILOT_01_E11</x:v>
      </x:c>
      <x:c r="D805" s="16" t="str">
        <x:v>early_stopping_validation_only</x:v>
      </x:c>
      <x:c r="E805" s="16" t="str">
        <x:f>'Experiment_Coding_KT004'!W12</x:f>
        <x:v>UNCLEAR</x:v>
      </x:c>
      <x:c r="F805" s="16" t="str">
        <x:f>'Experiment_Coding_KT004'!BR12</x:f>
        <x:v>Sec. 3 Datasets; Appendix A; Table 2; Table 1; Appendix B</x:v>
      </x:c>
      <x:c r="G805" s="16" t="str">
        <x:v>HIGH</x:v>
      </x:c>
      <x:c r="H805" s="16" t="str">
        <x:v>Y</x:v>
      </x:c>
      <x:c r="I805" s="16" t="str">
        <x:v>Coder A worked example</x:v>
      </x:c>
    </x:row>
    <x:row r="806">
      <x:c r="A806" s="16" t="n">
        <x:v>805</x:v>
      </x:c>
      <x:c r="B806" s="16" t="str">
        <x:v>EXPERIMENT</x:v>
      </x:c>
      <x:c r="C806" s="16" t="str">
        <x:f>'Experiment_Coding_KT004'!A12</x:f>
        <x:v>PILOT_01_E11</x:v>
      </x:c>
      <x:c r="D806" s="16" t="str">
        <x:v>graph_train_only</x:v>
      </x:c>
      <x:c r="E806" s="16" t="str">
        <x:f>'Experiment_Coding_KT004'!X12</x:f>
        <x:v>Y</x:v>
      </x:c>
      <x:c r="F806" s="16" t="str">
        <x:f>'Experiment_Coding_KT004'!BR12</x:f>
        <x:v>Sec. 3 Datasets; Appendix A; Table 2; Table 1; Appendix B</x:v>
      </x:c>
      <x:c r="G806" s="16" t="str">
        <x:v>HIGH</x:v>
      </x:c>
      <x:c r="H806" s="16" t="str">
        <x:v>Y</x:v>
      </x:c>
      <x:c r="I806" s="16" t="str">
        <x:v>Coder A worked example</x:v>
      </x:c>
    </x:row>
    <x:row r="807">
      <x:c r="A807" s="16" t="n">
        <x:v>806</x:v>
      </x:c>
      <x:c r="B807" s="16" t="str">
        <x:v>EXPERIMENT</x:v>
      </x:c>
      <x:c r="C807" s="16" t="str">
        <x:f>'Experiment_Coding_KT004'!A12</x:f>
        <x:v>PILOT_01_E11</x:v>
      </x:c>
      <x:c r="D807" s="16" t="str">
        <x:v>normalization_train_only</x:v>
      </x:c>
      <x:c r="E807" s="16" t="str">
        <x:f>'Experiment_Coding_KT004'!Y12</x:f>
        <x:v>NR</x:v>
      </x:c>
      <x:c r="F807" s="16" t="str">
        <x:f>'Experiment_Coding_KT004'!BR12</x:f>
        <x:v>Sec. 3 Datasets; Appendix A; Table 2; Table 1; Appendix B</x:v>
      </x:c>
      <x:c r="G807" s="16" t="str">
        <x:v>HIGH</x:v>
      </x:c>
      <x:c r="H807" s="16" t="str">
        <x:v>Y</x:v>
      </x:c>
      <x:c r="I807" s="16" t="str">
        <x:v>Coder A worked example</x:v>
      </x:c>
    </x:row>
    <x:row r="808">
      <x:c r="A808" s="16" t="n">
        <x:v>807</x:v>
      </x:c>
      <x:c r="B808" s="16" t="str">
        <x:v>EXPERIMENT</x:v>
      </x:c>
      <x:c r="C808" s="16" t="str">
        <x:f>'Experiment_Coding_KT004'!A12</x:f>
        <x:v>PILOT_01_E11</x:v>
      </x:c>
      <x:c r="D808" s="16" t="str">
        <x:v>sparse_strata_train_only</x:v>
      </x:c>
      <x:c r="E808" s="16" t="str">
        <x:f>'Experiment_Coding_KT004'!Z12</x:f>
        <x:v>NA</x:v>
      </x:c>
      <x:c r="F808" s="16" t="str">
        <x:f>'Experiment_Coding_KT004'!BR12</x:f>
        <x:v>Sec. 3 Datasets; Appendix A; Table 2; Table 1; Appendix B</x:v>
      </x:c>
      <x:c r="G808" s="16" t="str">
        <x:v>HIGH</x:v>
      </x:c>
      <x:c r="H808" s="16" t="str">
        <x:v>Y</x:v>
      </x:c>
      <x:c r="I808" s="16" t="str">
        <x:v>Coder A worked example</x:v>
      </x:c>
    </x:row>
    <x:row r="809">
      <x:c r="A809" s="16" t="n">
        <x:v>808</x:v>
      </x:c>
      <x:c r="B809" s="16" t="str">
        <x:v>EXPERIMENT</x:v>
      </x:c>
      <x:c r="C809" s="16" t="str">
        <x:f>'Experiment_Coding_KT004'!A12</x:f>
        <x:v>PILOT_01_E11</x:v>
      </x:c>
      <x:c r="D809" s="16" t="str">
        <x:v>temporal_alignment_audited</x:v>
      </x:c>
      <x:c r="E809" s="16" t="str">
        <x:f>'Experiment_Coding_KT004'!AA12</x:f>
        <x:v>NR</x:v>
      </x:c>
      <x:c r="F809" s="16" t="str">
        <x:f>'Experiment_Coding_KT004'!BR12</x:f>
        <x:v>Sec. 3 Datasets; Appendix A; Table 2; Table 1; Appendix B</x:v>
      </x:c>
      <x:c r="G809" s="16" t="str">
        <x:v>HIGH</x:v>
      </x:c>
      <x:c r="H809" s="16" t="str">
        <x:v>Y</x:v>
      </x:c>
      <x:c r="I809" s="16" t="str">
        <x:v>Coder A worked example</x:v>
      </x:c>
    </x:row>
    <x:row r="810">
      <x:c r="A810" s="16" t="n">
        <x:v>809</x:v>
      </x:c>
      <x:c r="B810" s="16" t="str">
        <x:v>EXPERIMENT</x:v>
      </x:c>
      <x:c r="C810" s="16" t="str">
        <x:f>'Experiment_Coding_KT004'!A12</x:f>
        <x:v>PILOT_01_E11</x:v>
      </x:c>
      <x:c r="D810" s="16" t="str">
        <x:v>duplicate_entity_leakage_checked</x:v>
      </x:c>
      <x:c r="E810" s="16" t="str">
        <x:f>'Experiment_Coding_KT004'!AB12</x:f>
        <x:v>NR</x:v>
      </x:c>
      <x:c r="F810" s="16" t="str">
        <x:f>'Experiment_Coding_KT004'!BR12</x:f>
        <x:v>Sec. 3 Datasets; Appendix A; Table 2; Table 1; Appendix B</x:v>
      </x:c>
      <x:c r="G810" s="16" t="str">
        <x:v>HIGH</x:v>
      </x:c>
      <x:c r="H810" s="16" t="str">
        <x:v>Y</x:v>
      </x:c>
      <x:c r="I810" s="16" t="str">
        <x:v>Coder A worked example</x:v>
      </x:c>
    </x:row>
    <x:row r="811">
      <x:c r="A811" s="16" t="n">
        <x:v>810</x:v>
      </x:c>
      <x:c r="B811" s="16" t="str">
        <x:v>EXPERIMENT</x:v>
      </x:c>
      <x:c r="C811" s="16" t="str">
        <x:f>'Experiment_Coding_KT004'!A12</x:f>
        <x:v>PILOT_01_E11</x:v>
      </x:c>
      <x:c r="D811" s="16" t="str">
        <x:v>sparsity_construct</x:v>
      </x:c>
      <x:c r="E811" s="16" t="str">
        <x:f>'Experiment_Coding_KT004'!AC12</x:f>
        <x:v>NO_EXPLICIT_FOCUS</x:v>
      </x:c>
      <x:c r="F811" s="16" t="str">
        <x:f>'Experiment_Coding_KT004'!BR12</x:f>
        <x:v>Sec. 3 Datasets; Appendix A; Table 2; Table 1; Appendix B</x:v>
      </x:c>
      <x:c r="G811" s="16" t="str">
        <x:v>HIGH</x:v>
      </x:c>
      <x:c r="H811" s="16" t="str">
        <x:v>Y</x:v>
      </x:c>
      <x:c r="I811" s="16" t="str">
        <x:v>Coder A worked example</x:v>
      </x:c>
    </x:row>
    <x:row r="812">
      <x:c r="A812" s="16" t="n">
        <x:v>811</x:v>
      </x:c>
      <x:c r="B812" s="16" t="str">
        <x:v>EXPERIMENT</x:v>
      </x:c>
      <x:c r="C812" s="16" t="str">
        <x:f>'Experiment_Coding_KT004'!A12</x:f>
        <x:v>PILOT_01_E11</x:v>
      </x:c>
      <x:c r="D812" s="16" t="str">
        <x:v>sparse_definition_original</x:v>
      </x:c>
      <x:c r="E812" s="16" t="str">
        <x:f>'Experiment_Coding_KT004'!AD12</x:f>
        <x:v>NA</x:v>
      </x:c>
      <x:c r="F812" s="16" t="str">
        <x:f>'Experiment_Coding_KT004'!BR12</x:f>
        <x:v>Sec. 3 Datasets; Appendix A; Table 2; Table 1; Appendix B</x:v>
      </x:c>
      <x:c r="G812" s="16" t="str">
        <x:v>HIGH</x:v>
      </x:c>
      <x:c r="H812" s="16" t="str">
        <x:v>N</x:v>
      </x:c>
      <x:c r="I812" s="16" t="str">
        <x:v>Coder A worked example</x:v>
      </x:c>
    </x:row>
    <x:row r="813">
      <x:c r="A813" s="16" t="n">
        <x:v>812</x:v>
      </x:c>
      <x:c r="B813" s="16" t="str">
        <x:v>EXPERIMENT</x:v>
      </x:c>
      <x:c r="C813" s="16" t="str">
        <x:f>'Experiment_Coding_KT004'!A12</x:f>
        <x:v>PILOT_01_E11</x:v>
      </x:c>
      <x:c r="D813" s="16" t="str">
        <x:v>sparse_threshold_original</x:v>
      </x:c>
      <x:c r="E813" s="16" t="str">
        <x:f>'Experiment_Coding_KT004'!AE12</x:f>
        <x:v>NA</x:v>
      </x:c>
      <x:c r="F813" s="16" t="str">
        <x:f>'Experiment_Coding_KT004'!BR12</x:f>
        <x:v>Sec. 3 Datasets; Appendix A; Table 2; Table 1; Appendix B</x:v>
      </x:c>
      <x:c r="G813" s="16" t="str">
        <x:v>HIGH</x:v>
      </x:c>
      <x:c r="H813" s="16" t="str">
        <x:v>N</x:v>
      </x:c>
      <x:c r="I813" s="16" t="str">
        <x:v>Coder A worked example</x:v>
      </x:c>
    </x:row>
    <x:row r="814">
      <x:c r="A814" s="16" t="n">
        <x:v>813</x:v>
      </x:c>
      <x:c r="B814" s="16" t="str">
        <x:v>EXPERIMENT</x:v>
      </x:c>
      <x:c r="C814" s="16" t="str">
        <x:f>'Experiment_Coding_KT004'!A12</x:f>
        <x:v>PILOT_01_E11</x:v>
      </x:c>
      <x:c r="D814" s="16" t="str">
        <x:v>threshold_source</x:v>
      </x:c>
      <x:c r="E814" s="16" t="str">
        <x:f>'Experiment_Coding_KT004'!AF12</x:f>
        <x:v>NA</x:v>
      </x:c>
      <x:c r="F814" s="16" t="str">
        <x:f>'Experiment_Coding_KT004'!BR12</x:f>
        <x:v>Sec. 3 Datasets; Appendix A; Table 2; Table 1; Appendix B</x:v>
      </x:c>
      <x:c r="G814" s="16" t="str">
        <x:v>HIGH</x:v>
      </x:c>
      <x:c r="H814" s="16" t="str">
        <x:v>Y</x:v>
      </x:c>
      <x:c r="I814" s="16" t="str">
        <x:v>Coder A worked example</x:v>
      </x:c>
    </x:row>
    <x:row r="815">
      <x:c r="A815" s="16" t="n">
        <x:v>814</x:v>
      </x:c>
      <x:c r="B815" s="16" t="str">
        <x:v>EXPERIMENT</x:v>
      </x:c>
      <x:c r="C815" s="16" t="str">
        <x:f>'Experiment_Coding_KT004'!A12</x:f>
        <x:v>PILOT_01_E11</x:v>
      </x:c>
      <x:c r="D815" s="16" t="str">
        <x:v>frequency_computed_on</x:v>
      </x:c>
      <x:c r="E815" s="16" t="str">
        <x:f>'Experiment_Coding_KT004'!AG12</x:f>
        <x:v>NA</x:v>
      </x:c>
      <x:c r="F815" s="16" t="str">
        <x:f>'Experiment_Coding_KT004'!BR12</x:f>
        <x:v>Sec. 3 Datasets; Appendix A; Table 2; Table 1; Appendix B</x:v>
      </x:c>
      <x:c r="G815" s="16" t="str">
        <x:v>HIGH</x:v>
      </x:c>
      <x:c r="H815" s="16" t="str">
        <x:v>Y</x:v>
      </x:c>
      <x:c r="I815" s="16" t="str">
        <x:v>Coder A worked example</x:v>
      </x:c>
    </x:row>
    <x:row r="816">
      <x:c r="A816" s="16" t="n">
        <x:v>815</x:v>
      </x:c>
      <x:c r="B816" s="16" t="str">
        <x:v>EXPERIMENT</x:v>
      </x:c>
      <x:c r="C816" s="16" t="str">
        <x:f>'Experiment_Coding_KT004'!A12</x:f>
        <x:v>PILOT_01_E11</x:v>
      </x:c>
      <x:c r="D816" s="16" t="str">
        <x:v>strict_zero_train_verified</x:v>
      </x:c>
      <x:c r="E816" s="16" t="str">
        <x:f>'Experiment_Coding_KT004'!AH12</x:f>
        <x:v>NA</x:v>
      </x:c>
      <x:c r="F816" s="16" t="str">
        <x:f>'Experiment_Coding_KT004'!BR12</x:f>
        <x:v>Sec. 3 Datasets; Appendix A; Table 2; Table 1; Appendix B</x:v>
      </x:c>
      <x:c r="G816" s="16" t="str">
        <x:v>HIGH</x:v>
      </x:c>
      <x:c r="H816" s="16" t="str">
        <x:v>Y</x:v>
      </x:c>
      <x:c r="I816" s="16" t="str">
        <x:v>Coder A worked example</x:v>
      </x:c>
    </x:row>
    <x:row r="817">
      <x:c r="A817" s="16" t="n">
        <x:v>816</x:v>
      </x:c>
      <x:c r="B817" s="16" t="str">
        <x:v>EXPERIMENT</x:v>
      </x:c>
      <x:c r="C817" s="16" t="str">
        <x:f>'Experiment_Coding_KT004'!A12</x:f>
        <x:v>PILOT_01_E11</x:v>
      </x:c>
      <x:c r="D817" s="16" t="str">
        <x:v>external_info_for_unseen_kc</x:v>
      </x:c>
      <x:c r="E817" s="16" t="str">
        <x:f>'Experiment_Coding_KT004'!AI12</x:f>
        <x:v>NA</x:v>
      </x:c>
      <x:c r="F817" s="16" t="str">
        <x:f>'Experiment_Coding_KT004'!BR12</x:f>
        <x:v>Sec. 3 Datasets; Appendix A; Table 2; Table 1; Appendix B</x:v>
      </x:c>
      <x:c r="G817" s="16" t="str">
        <x:v>HIGH</x:v>
      </x:c>
      <x:c r="H817" s="16" t="str">
        <x:v>Y</x:v>
      </x:c>
      <x:c r="I817" s="16" t="str">
        <x:v>Coder A worked example</x:v>
      </x:c>
    </x:row>
    <x:row r="818">
      <x:c r="A818" s="16" t="n">
        <x:v>817</x:v>
      </x:c>
      <x:c r="B818" s="16" t="str">
        <x:v>EXPERIMENT</x:v>
      </x:c>
      <x:c r="C818" s="16" t="str">
        <x:f>'Experiment_Coding_KT004'!A12</x:f>
        <x:v>PILOT_01_E11</x:v>
      </x:c>
      <x:c r="D818" s="16" t="str">
        <x:v>support_kcs</x:v>
      </x:c>
      <x:c r="E818" s="16" t="str">
        <x:f>'Experiment_Coding_KT004'!AJ12</x:f>
        <x:v>NA</x:v>
      </x:c>
      <x:c r="F818" s="16" t="str">
        <x:f>'Experiment_Coding_KT004'!BR12</x:f>
        <x:v>Sec. 3 Datasets; Appendix A; Table 2; Table 1; Appendix B</x:v>
      </x:c>
      <x:c r="G818" s="16" t="str">
        <x:v>HIGH</x:v>
      </x:c>
      <x:c r="H818" s="16" t="str">
        <x:v>N</x:v>
      </x:c>
      <x:c r="I818" s="16" t="str">
        <x:v>Coder A worked example</x:v>
      </x:c>
    </x:row>
    <x:row r="819">
      <x:c r="A819" s="16" t="n">
        <x:v>818</x:v>
      </x:c>
      <x:c r="B819" s="16" t="str">
        <x:v>EXPERIMENT</x:v>
      </x:c>
      <x:c r="C819" s="16" t="str">
        <x:f>'Experiment_Coding_KT004'!A12</x:f>
        <x:v>PILOT_01_E11</x:v>
      </x:c>
      <x:c r="D819" s="16" t="str">
        <x:v>support_learners</x:v>
      </x:c>
      <x:c r="E819" s="16" t="str">
        <x:f>'Experiment_Coding_KT004'!AK12</x:f>
        <x:v>NA</x:v>
      </x:c>
      <x:c r="F819" s="16" t="str">
        <x:f>'Experiment_Coding_KT004'!BR12</x:f>
        <x:v>Sec. 3 Datasets; Appendix A; Table 2; Table 1; Appendix B</x:v>
      </x:c>
      <x:c r="G819" s="16" t="str">
        <x:v>HIGH</x:v>
      </x:c>
      <x:c r="H819" s="16" t="str">
        <x:v>N</x:v>
      </x:c>
      <x:c r="I819" s="16" t="str">
        <x:v>Coder A worked example</x:v>
      </x:c>
    </x:row>
    <x:row r="820">
      <x:c r="A820" s="16" t="n">
        <x:v>819</x:v>
      </x:c>
      <x:c r="B820" s="16" t="str">
        <x:v>EXPERIMENT</x:v>
      </x:c>
      <x:c r="C820" s="16" t="str">
        <x:f>'Experiment_Coding_KT004'!A12</x:f>
        <x:v>PILOT_01_E11</x:v>
      </x:c>
      <x:c r="D820" s="16" t="str">
        <x:v>support_items</x:v>
      </x:c>
      <x:c r="E820" s="16" t="str">
        <x:f>'Experiment_Coding_KT004'!AL12</x:f>
        <x:v>NA</x:v>
      </x:c>
      <x:c r="F820" s="16" t="str">
        <x:f>'Experiment_Coding_KT004'!BR12</x:f>
        <x:v>Sec. 3 Datasets; Appendix A; Table 2; Table 1; Appendix B</x:v>
      </x:c>
      <x:c r="G820" s="16" t="str">
        <x:v>HIGH</x:v>
      </x:c>
      <x:c r="H820" s="16" t="str">
        <x:v>N</x:v>
      </x:c>
      <x:c r="I820" s="16" t="str">
        <x:v>Coder A worked example</x:v>
      </x:c>
    </x:row>
    <x:row r="821">
      <x:c r="A821" s="16" t="n">
        <x:v>820</x:v>
      </x:c>
      <x:c r="B821" s="16" t="str">
        <x:v>EXPERIMENT</x:v>
      </x:c>
      <x:c r="C821" s="16" t="str">
        <x:f>'Experiment_Coding_KT004'!A12</x:f>
        <x:v>PILOT_01_E11</x:v>
      </x:c>
      <x:c r="D821" s="16" t="str">
        <x:v>support_test_interactions</x:v>
      </x:c>
      <x:c r="E821" s="16" t="str">
        <x:f>'Experiment_Coding_KT004'!AM12</x:f>
        <x:v>NA</x:v>
      </x:c>
      <x:c r="F821" s="16" t="str">
        <x:f>'Experiment_Coding_KT004'!BR12</x:f>
        <x:v>Sec. 3 Datasets; Appendix A; Table 2; Table 1; Appendix B</x:v>
      </x:c>
      <x:c r="G821" s="16" t="str">
        <x:v>HIGH</x:v>
      </x:c>
      <x:c r="H821" s="16" t="str">
        <x:v>N</x:v>
      </x:c>
      <x:c r="I821" s="16" t="str">
        <x:v>Coder A worked example</x:v>
      </x:c>
    </x:row>
    <x:row r="822">
      <x:c r="A822" s="16" t="n">
        <x:v>821</x:v>
      </x:c>
      <x:c r="B822" s="16" t="str">
        <x:v>EXPERIMENT</x:v>
      </x:c>
      <x:c r="C822" s="16" t="str">
        <x:f>'Experiment_Coding_KT004'!A12</x:f>
        <x:v>PILOT_01_E11</x:v>
      </x:c>
      <x:c r="D822" s="16" t="str">
        <x:v>positive_count</x:v>
      </x:c>
      <x:c r="E822" s="16" t="str">
        <x:f>'Experiment_Coding_KT004'!AN12</x:f>
        <x:v>NA</x:v>
      </x:c>
      <x:c r="F822" s="16" t="str">
        <x:f>'Experiment_Coding_KT004'!BR12</x:f>
        <x:v>Sec. 3 Datasets; Appendix A; Table 2; Table 1; Appendix B</x:v>
      </x:c>
      <x:c r="G822" s="16" t="str">
        <x:v>HIGH</x:v>
      </x:c>
      <x:c r="H822" s="16" t="str">
        <x:v>N</x:v>
      </x:c>
      <x:c r="I822" s="16" t="str">
        <x:v>Coder A worked example</x:v>
      </x:c>
    </x:row>
    <x:row r="823">
      <x:c r="A823" s="16" t="n">
        <x:v>822</x:v>
      </x:c>
      <x:c r="B823" s="16" t="str">
        <x:v>EXPERIMENT</x:v>
      </x:c>
      <x:c r="C823" s="16" t="str">
        <x:f>'Experiment_Coding_KT004'!A12</x:f>
        <x:v>PILOT_01_E11</x:v>
      </x:c>
      <x:c r="D823" s="16" t="str">
        <x:v>negative_count</x:v>
      </x:c>
      <x:c r="E823" s="16" t="str">
        <x:f>'Experiment_Coding_KT004'!AO12</x:f>
        <x:v>NA</x:v>
      </x:c>
      <x:c r="F823" s="16" t="str">
        <x:f>'Experiment_Coding_KT004'!BR12</x:f>
        <x:v>Sec. 3 Datasets; Appendix A; Table 2; Table 1; Appendix B</x:v>
      </x:c>
      <x:c r="G823" s="16" t="str">
        <x:v>HIGH</x:v>
      </x:c>
      <x:c r="H823" s="16" t="str">
        <x:v>N</x:v>
      </x:c>
      <x:c r="I823" s="16" t="str">
        <x:v>Coder A worked example</x:v>
      </x:c>
    </x:row>
    <x:row r="824">
      <x:c r="A824" s="16" t="n">
        <x:v>823</x:v>
      </x:c>
      <x:c r="B824" s="16" t="str">
        <x:v>EXPERIMENT</x:v>
      </x:c>
      <x:c r="C824" s="16" t="str">
        <x:f>'Experiment_Coding_KT004'!A12</x:f>
        <x:v>PILOT_01_E11</x:v>
      </x:c>
      <x:c r="D824" s="16" t="str">
        <x:v>metric_name_original</x:v>
      </x:c>
      <x:c r="E824" s="16" t="str">
        <x:f>'Experiment_Coding_KT004'!AP12</x:f>
        <x:v>AUC</x:v>
      </x:c>
      <x:c r="F824" s="16" t="str">
        <x:f>'Experiment_Coding_KT004'!BR12</x:f>
        <x:v>Sec. 3 Datasets; Appendix A; Table 2; Table 1; Appendix B</x:v>
      </x:c>
      <x:c r="G824" s="16" t="str">
        <x:v>HIGH</x:v>
      </x:c>
      <x:c r="H824" s="16" t="str">
        <x:v>N</x:v>
      </x:c>
      <x:c r="I824" s="16" t="str">
        <x:v>Coder A worked example</x:v>
      </x:c>
    </x:row>
    <x:row r="825">
      <x:c r="A825" s="16" t="n">
        <x:v>824</x:v>
      </x:c>
      <x:c r="B825" s="16" t="str">
        <x:v>EXPERIMENT</x:v>
      </x:c>
      <x:c r="C825" s="16" t="str">
        <x:f>'Experiment_Coding_KT004'!A12</x:f>
        <x:v>PILOT_01_E11</x:v>
      </x:c>
      <x:c r="D825" s="16" t="str">
        <x:v>metric_value_original</x:v>
      </x:c>
      <x:c r="E825" s="16" t="n">
        <x:f>'Experiment_Coding_KT004'!AQ12</x:f>
        <x:v>0.722</x:v>
      </x:c>
      <x:c r="F825" s="16" t="str">
        <x:f>'Experiment_Coding_KT004'!BR12</x:f>
        <x:v>Sec. 3 Datasets; Appendix A; Table 2; Table 1; Appendix B</x:v>
      </x:c>
      <x:c r="G825" s="16" t="str">
        <x:v>HIGH</x:v>
      </x:c>
      <x:c r="H825" s="16" t="str">
        <x:v>N</x:v>
      </x:c>
      <x:c r="I825" s="16" t="str">
        <x:v>Coder A worked example</x:v>
      </x:c>
    </x:row>
    <x:row r="826">
      <x:c r="A826" s="16" t="n">
        <x:v>825</x:v>
      </x:c>
      <x:c r="B826" s="16" t="str">
        <x:v>EXPERIMENT</x:v>
      </x:c>
      <x:c r="C826" s="16" t="str">
        <x:f>'Experiment_Coding_KT004'!A12</x:f>
        <x:v>PILOT_01_E11</x:v>
      </x:c>
      <x:c r="D826" s="16" t="str">
        <x:v>metric_scope</x:v>
      </x:c>
      <x:c r="E826" s="16" t="str">
        <x:f>'Experiment_Coding_KT004'!AR12</x:f>
        <x:v>OVERALL</x:v>
      </x:c>
      <x:c r="F826" s="16" t="str">
        <x:f>'Experiment_Coding_KT004'!BR12</x:f>
        <x:v>Sec. 3 Datasets; Appendix A; Table 2; Table 1; Appendix B</x:v>
      </x:c>
      <x:c r="G826" s="16" t="str">
        <x:v>HIGH</x:v>
      </x:c>
      <x:c r="H826" s="16" t="str">
        <x:v>Y</x:v>
      </x:c>
      <x:c r="I826" s="16" t="str">
        <x:v>Coder A worked example</x:v>
      </x:c>
    </x:row>
    <x:row r="827">
      <x:c r="A827" s="16" t="n">
        <x:v>826</x:v>
      </x:c>
      <x:c r="B827" s="16" t="str">
        <x:v>EXPERIMENT</x:v>
      </x:c>
      <x:c r="C827" s="16" t="str">
        <x:f>'Experiment_Coding_KT004'!A12</x:f>
        <x:v>PILOT_01_E11</x:v>
      </x:c>
      <x:c r="D827" s="16" t="str">
        <x:v>n_seeds</x:v>
      </x:c>
      <x:c r="E827" s="16" t="str">
        <x:f>'Experiment_Coding_KT004'!AS12</x:f>
        <x:v>NR</x:v>
      </x:c>
      <x:c r="F827" s="16" t="str">
        <x:f>'Experiment_Coding_KT004'!BR12</x:f>
        <x:v>Sec. 3 Datasets; Appendix A; Table 2; Table 1; Appendix B</x:v>
      </x:c>
      <x:c r="G827" s="16" t="str">
        <x:v>HIGH</x:v>
      </x:c>
      <x:c r="H827" s="16" t="str">
        <x:v>N</x:v>
      </x:c>
      <x:c r="I827" s="16" t="str">
        <x:v>Coder A worked example</x:v>
      </x:c>
    </x:row>
    <x:row r="828">
      <x:c r="A828" s="16" t="n">
        <x:v>827</x:v>
      </x:c>
      <x:c r="B828" s="16" t="str">
        <x:v>EXPERIMENT</x:v>
      </x:c>
      <x:c r="C828" s="16" t="str">
        <x:f>'Experiment_Coding_KT004'!A12</x:f>
        <x:v>PILOT_01_E11</x:v>
      </x:c>
      <x:c r="D828" s="16" t="str">
        <x:v>seed_values_reported</x:v>
      </x:c>
      <x:c r="E828" s="16" t="str">
        <x:f>'Experiment_Coding_KT004'!AT12</x:f>
        <x:v>NR</x:v>
      </x:c>
      <x:c r="F828" s="16" t="str">
        <x:f>'Experiment_Coding_KT004'!BR12</x:f>
        <x:v>Sec. 3 Datasets; Appendix A; Table 2; Table 1; Appendix B</x:v>
      </x:c>
      <x:c r="G828" s="16" t="str">
        <x:v>HIGH</x:v>
      </x:c>
      <x:c r="H828" s="16" t="str">
        <x:v>N</x:v>
      </x:c>
      <x:c r="I828" s="16" t="str">
        <x:v>Coder A worked example</x:v>
      </x:c>
    </x:row>
    <x:row r="829">
      <x:c r="A829" s="16" t="n">
        <x:v>828</x:v>
      </x:c>
      <x:c r="B829" s="16" t="str">
        <x:v>EXPERIMENT</x:v>
      </x:c>
      <x:c r="C829" s="16" t="str">
        <x:f>'Experiment_Coding_KT004'!A12</x:f>
        <x:v>PILOT_01_E11</x:v>
      </x:c>
      <x:c r="D829" s="16" t="str">
        <x:v>mean_std_reported</x:v>
      </x:c>
      <x:c r="E829" s="16" t="str">
        <x:f>'Experiment_Coding_KT004'!AU12</x:f>
        <x:v>N</x:v>
      </x:c>
      <x:c r="F829" s="16" t="str">
        <x:f>'Experiment_Coding_KT004'!BR12</x:f>
        <x:v>Sec. 3 Datasets; Appendix A; Table 2; Table 1; Appendix B</x:v>
      </x:c>
      <x:c r="G829" s="16" t="str">
        <x:v>HIGH</x:v>
      </x:c>
      <x:c r="H829" s="16" t="str">
        <x:v>Y</x:v>
      </x:c>
      <x:c r="I829" s="16" t="str">
        <x:v>Coder A worked example</x:v>
      </x:c>
    </x:row>
    <x:row r="830">
      <x:c r="A830" s="16" t="n">
        <x:v>829</x:v>
      </x:c>
      <x:c r="B830" s="16" t="str">
        <x:v>EXPERIMENT</x:v>
      </x:c>
      <x:c r="C830" s="16" t="str">
        <x:f>'Experiment_Coding_KT004'!A12</x:f>
        <x:v>PILOT_01_E11</x:v>
      </x:c>
      <x:c r="D830" s="16" t="str">
        <x:v>confidence_interval</x:v>
      </x:c>
      <x:c r="E830" s="16" t="str">
        <x:f>'Experiment_Coding_KT004'!AV12</x:f>
        <x:v>NR</x:v>
      </x:c>
      <x:c r="F830" s="16" t="str">
        <x:f>'Experiment_Coding_KT004'!BR12</x:f>
        <x:v>Sec. 3 Datasets; Appendix A; Table 2; Table 1; Appendix B</x:v>
      </x:c>
      <x:c r="G830" s="16" t="str">
        <x:v>HIGH</x:v>
      </x:c>
      <x:c r="H830" s="16" t="str">
        <x:v>N</x:v>
      </x:c>
      <x:c r="I830" s="16" t="str">
        <x:v>Coder A worked example</x:v>
      </x:c>
    </x:row>
    <x:row r="831">
      <x:c r="A831" s="16" t="n">
        <x:v>830</x:v>
      </x:c>
      <x:c r="B831" s="16" t="str">
        <x:v>EXPERIMENT</x:v>
      </x:c>
      <x:c r="C831" s="16" t="str">
        <x:f>'Experiment_Coding_KT004'!A12</x:f>
        <x:v>PILOT_01_E11</x:v>
      </x:c>
      <x:c r="D831" s="16" t="str">
        <x:v>bootstrap_unit</x:v>
      </x:c>
      <x:c r="E831" s="16" t="str">
        <x:f>'Experiment_Coding_KT004'!AW12</x:f>
        <x:v>NA</x:v>
      </x:c>
      <x:c r="F831" s="16" t="str">
        <x:f>'Experiment_Coding_KT004'!BR12</x:f>
        <x:v>Sec. 3 Datasets; Appendix A; Table 2; Table 1; Appendix B</x:v>
      </x:c>
      <x:c r="G831" s="16" t="str">
        <x:v>HIGH</x:v>
      </x:c>
      <x:c r="H831" s="16" t="str">
        <x:v>Y</x:v>
      </x:c>
      <x:c r="I831" s="16" t="str">
        <x:v>Coder A worked example</x:v>
      </x:c>
    </x:row>
    <x:row r="832">
      <x:c r="A832" s="16" t="n">
        <x:v>831</x:v>
      </x:c>
      <x:c r="B832" s="16" t="str">
        <x:v>EXPERIMENT</x:v>
      </x:c>
      <x:c r="C832" s="16" t="str">
        <x:f>'Experiment_Coding_KT004'!A12</x:f>
        <x:v>PILOT_01_E11</x:v>
      </x:c>
      <x:c r="D832" s="16" t="str">
        <x:v>statistical_test</x:v>
      </x:c>
      <x:c r="E832" s="16" t="str">
        <x:f>'Experiment_Coding_KT004'!AX12</x:f>
        <x:v>NR</x:v>
      </x:c>
      <x:c r="F832" s="16" t="str">
        <x:f>'Experiment_Coding_KT004'!BR12</x:f>
        <x:v>Sec. 3 Datasets; Appendix A; Table 2; Table 1; Appendix B</x:v>
      </x:c>
      <x:c r="G832" s="16" t="str">
        <x:v>HIGH</x:v>
      </x:c>
      <x:c r="H832" s="16" t="str">
        <x:v>N</x:v>
      </x:c>
      <x:c r="I832" s="16" t="str">
        <x:v>Coder A worked example</x:v>
      </x:c>
    </x:row>
    <x:row r="833">
      <x:c r="A833" s="16" t="n">
        <x:v>832</x:v>
      </x:c>
      <x:c r="B833" s="16" t="str">
        <x:v>EXPERIMENT</x:v>
      </x:c>
      <x:c r="C833" s="16" t="str">
        <x:f>'Experiment_Coding_KT004'!A12</x:f>
        <x:v>PILOT_01_E11</x:v>
      </x:c>
      <x:c r="D833" s="16" t="str">
        <x:v>multiple_comparison_correction</x:v>
      </x:c>
      <x:c r="E833" s="16" t="str">
        <x:f>'Experiment_Coding_KT004'!AY12</x:f>
        <x:v>NR</x:v>
      </x:c>
      <x:c r="F833" s="16" t="str">
        <x:f>'Experiment_Coding_KT004'!BR12</x:f>
        <x:v>Sec. 3 Datasets; Appendix A; Table 2; Table 1; Appendix B</x:v>
      </x:c>
      <x:c r="G833" s="16" t="str">
        <x:v>HIGH</x:v>
      </x:c>
      <x:c r="H833" s="16" t="str">
        <x:v>N</x:v>
      </x:c>
      <x:c r="I833" s="16" t="str">
        <x:v>Coder A worked example</x:v>
      </x:c>
    </x:row>
    <x:row r="834">
      <x:c r="A834" s="16" t="n">
        <x:v>833</x:v>
      </x:c>
      <x:c r="B834" s="16" t="str">
        <x:v>EXPERIMENT</x:v>
      </x:c>
      <x:c r="C834" s="16" t="str">
        <x:f>'Experiment_Coding_KT004'!A12</x:f>
        <x:v>PILOT_01_E11</x:v>
      </x:c>
      <x:c r="D834" s="16" t="str">
        <x:v>effect_size</x:v>
      </x:c>
      <x:c r="E834" s="16" t="str">
        <x:f>'Experiment_Coding_KT004'!AZ12</x:f>
        <x:v>NR</x:v>
      </x:c>
      <x:c r="F834" s="16" t="str">
        <x:f>'Experiment_Coding_KT004'!BR12</x:f>
        <x:v>Sec. 3 Datasets; Appendix A; Table 2; Table 1; Appendix B</x:v>
      </x:c>
      <x:c r="G834" s="16" t="str">
        <x:v>HIGH</x:v>
      </x:c>
      <x:c r="H834" s="16" t="str">
        <x:v>N</x:v>
      </x:c>
      <x:c r="I834" s="16" t="str">
        <x:v>Coder A worked example</x:v>
      </x:c>
    </x:row>
    <x:row r="835">
      <x:c r="A835" s="16" t="n">
        <x:v>834</x:v>
      </x:c>
      <x:c r="B835" s="16" t="str">
        <x:v>EXPERIMENT</x:v>
      </x:c>
      <x:c r="C835" s="16" t="str">
        <x:f>'Experiment_Coding_KT004'!A12</x:f>
        <x:v>PILOT_01_E11</x:v>
      </x:c>
      <x:c r="D835" s="16" t="str">
        <x:v>paired_design</x:v>
      </x:c>
      <x:c r="E835" s="16" t="str">
        <x:f>'Experiment_Coding_KT004'!BA12</x:f>
        <x:v>NR</x:v>
      </x:c>
      <x:c r="F835" s="16" t="str">
        <x:f>'Experiment_Coding_KT004'!BR12</x:f>
        <x:v>Sec. 3 Datasets; Appendix A; Table 2; Table 1; Appendix B</x:v>
      </x:c>
      <x:c r="G835" s="16" t="str">
        <x:v>HIGH</x:v>
      </x:c>
      <x:c r="H835" s="16" t="str">
        <x:v>Y</x:v>
      </x:c>
      <x:c r="I835" s="16" t="str">
        <x:v>Coder A worked example</x:v>
      </x:c>
    </x:row>
    <x:row r="836">
      <x:c r="A836" s="16" t="n">
        <x:v>835</x:v>
      </x:c>
      <x:c r="B836" s="16" t="str">
        <x:v>EXPERIMENT</x:v>
      </x:c>
      <x:c r="C836" s="16" t="str">
        <x:f>'Experiment_Coding_KT004'!A12</x:f>
        <x:v>PILOT_01_E11</x:v>
      </x:c>
      <x:c r="D836" s="16" t="str">
        <x:v>significance_threshold</x:v>
      </x:c>
      <x:c r="E836" s="16" t="str">
        <x:f>'Experiment_Coding_KT004'!BB12</x:f>
        <x:v>NR</x:v>
      </x:c>
      <x:c r="F836" s="16" t="str">
        <x:f>'Experiment_Coding_KT004'!BR12</x:f>
        <x:v>Sec. 3 Datasets; Appendix A; Table 2; Table 1; Appendix B</x:v>
      </x:c>
      <x:c r="G836" s="16" t="str">
        <x:v>HIGH</x:v>
      </x:c>
      <x:c r="H836" s="16" t="str">
        <x:v>N</x:v>
      </x:c>
      <x:c r="I836" s="16" t="str">
        <x:v>Coder A worked example</x:v>
      </x:c>
    </x:row>
    <x:row r="837">
      <x:c r="A837" s="16" t="n">
        <x:v>836</x:v>
      </x:c>
      <x:c r="B837" s="16" t="str">
        <x:v>EXPERIMENT</x:v>
      </x:c>
      <x:c r="C837" s="16" t="str">
        <x:f>'Experiment_Coding_KT004'!A12</x:f>
        <x:v>PILOT_01_E11</x:v>
      </x:c>
      <x:c r="D837" s="16" t="str">
        <x:v>parameter_count</x:v>
      </x:c>
      <x:c r="E837" s="16" t="str">
        <x:f>'Experiment_Coding_KT004'!BC12</x:f>
        <x:v>NR</x:v>
      </x:c>
      <x:c r="F837" s="16" t="str">
        <x:f>'Experiment_Coding_KT004'!BR12</x:f>
        <x:v>Sec. 3 Datasets; Appendix A; Table 2; Table 1; Appendix B</x:v>
      </x:c>
      <x:c r="G837" s="16" t="str">
        <x:v>HIGH</x:v>
      </x:c>
      <x:c r="H837" s="16" t="str">
        <x:v>N</x:v>
      </x:c>
      <x:c r="I837" s="16" t="str">
        <x:v>Coder A worked example</x:v>
      </x:c>
    </x:row>
    <x:row r="838">
      <x:c r="A838" s="16" t="n">
        <x:v>837</x:v>
      </x:c>
      <x:c r="B838" s="16" t="str">
        <x:v>EXPERIMENT</x:v>
      </x:c>
      <x:c r="C838" s="16" t="str">
        <x:f>'Experiment_Coding_KT004'!A12</x:f>
        <x:v>PILOT_01_E11</x:v>
      </x:c>
      <x:c r="D838" s="16" t="str">
        <x:v>train_time</x:v>
      </x:c>
      <x:c r="E838" s="16" t="str">
        <x:f>'Experiment_Coding_KT004'!BD12</x:f>
        <x:v>NR</x:v>
      </x:c>
      <x:c r="F838" s="16" t="str">
        <x:f>'Experiment_Coding_KT004'!BR12</x:f>
        <x:v>Sec. 3 Datasets; Appendix A; Table 2; Table 1; Appendix B</x:v>
      </x:c>
      <x:c r="G838" s="16" t="str">
        <x:v>HIGH</x:v>
      </x:c>
      <x:c r="H838" s="16" t="str">
        <x:v>N</x:v>
      </x:c>
      <x:c r="I838" s="16" t="str">
        <x:v>Coder A worked example</x:v>
      </x:c>
    </x:row>
    <x:row r="839">
      <x:c r="A839" s="16" t="n">
        <x:v>838</x:v>
      </x:c>
      <x:c r="B839" s="16" t="str">
        <x:v>EXPERIMENT</x:v>
      </x:c>
      <x:c r="C839" s="16" t="str">
        <x:f>'Experiment_Coding_KT004'!A12</x:f>
        <x:v>PILOT_01_E11</x:v>
      </x:c>
      <x:c r="D839" s="16" t="str">
        <x:v>time_per_epoch</x:v>
      </x:c>
      <x:c r="E839" s="16" t="str">
        <x:f>'Experiment_Coding_KT004'!BE12</x:f>
        <x:v>NR</x:v>
      </x:c>
      <x:c r="F839" s="16" t="str">
        <x:f>'Experiment_Coding_KT004'!BR12</x:f>
        <x:v>Sec. 3 Datasets; Appendix A; Table 2; Table 1; Appendix B</x:v>
      </x:c>
      <x:c r="G839" s="16" t="str">
        <x:v>HIGH</x:v>
      </x:c>
      <x:c r="H839" s="16" t="str">
        <x:v>N</x:v>
      </x:c>
      <x:c r="I839" s="16" t="str">
        <x:v>Coder A worked example</x:v>
      </x:c>
    </x:row>
    <x:row r="840">
      <x:c r="A840" s="16" t="n">
        <x:v>839</x:v>
      </x:c>
      <x:c r="B840" s="16" t="str">
        <x:v>EXPERIMENT</x:v>
      </x:c>
      <x:c r="C840" s="16" t="str">
        <x:f>'Experiment_Coding_KT004'!A12</x:f>
        <x:v>PILOT_01_E11</x:v>
      </x:c>
      <x:c r="D840" s="16" t="str">
        <x:v>inference_latency</x:v>
      </x:c>
      <x:c r="E840" s="16" t="str">
        <x:f>'Experiment_Coding_KT004'!BF12</x:f>
        <x:v>NR</x:v>
      </x:c>
      <x:c r="F840" s="16" t="str">
        <x:f>'Experiment_Coding_KT004'!BR12</x:f>
        <x:v>Sec. 3 Datasets; Appendix A; Table 2; Table 1; Appendix B</x:v>
      </x:c>
      <x:c r="G840" s="16" t="str">
        <x:v>HIGH</x:v>
      </x:c>
      <x:c r="H840" s="16" t="str">
        <x:v>N</x:v>
      </x:c>
      <x:c r="I840" s="16" t="str">
        <x:v>Coder A worked example</x:v>
      </x:c>
    </x:row>
    <x:row r="841">
      <x:c r="A841" s="16" t="n">
        <x:v>840</x:v>
      </x:c>
      <x:c r="B841" s="16" t="str">
        <x:v>EXPERIMENT</x:v>
      </x:c>
      <x:c r="C841" s="16" t="str">
        <x:f>'Experiment_Coding_KT004'!A12</x:f>
        <x:v>PILOT_01_E11</x:v>
      </x:c>
      <x:c r="D841" s="16" t="str">
        <x:v>throughput</x:v>
      </x:c>
      <x:c r="E841" s="16" t="str">
        <x:f>'Experiment_Coding_KT004'!BG12</x:f>
        <x:v>NR</x:v>
      </x:c>
      <x:c r="F841" s="16" t="str">
        <x:f>'Experiment_Coding_KT004'!BR12</x:f>
        <x:v>Sec. 3 Datasets; Appendix A; Table 2; Table 1; Appendix B</x:v>
      </x:c>
      <x:c r="G841" s="16" t="str">
        <x:v>HIGH</x:v>
      </x:c>
      <x:c r="H841" s="16" t="str">
        <x:v>N</x:v>
      </x:c>
      <x:c r="I841" s="16" t="str">
        <x:v>Coder A worked example</x:v>
      </x:c>
    </x:row>
    <x:row r="842">
      <x:c r="A842" s="16" t="n">
        <x:v>841</x:v>
      </x:c>
      <x:c r="B842" s="16" t="str">
        <x:v>EXPERIMENT</x:v>
      </x:c>
      <x:c r="C842" s="16" t="str">
        <x:f>'Experiment_Coding_KT004'!A12</x:f>
        <x:v>PILOT_01_E11</x:v>
      </x:c>
      <x:c r="D842" s="16" t="str">
        <x:v>cpu_ram</x:v>
      </x:c>
      <x:c r="E842" s="16" t="str">
        <x:f>'Experiment_Coding_KT004'!BH12</x:f>
        <x:v>NR</x:v>
      </x:c>
      <x:c r="F842" s="16" t="str">
        <x:f>'Experiment_Coding_KT004'!BR12</x:f>
        <x:v>Sec. 3 Datasets; Appendix A; Table 2; Table 1; Appendix B</x:v>
      </x:c>
      <x:c r="G842" s="16" t="str">
        <x:v>HIGH</x:v>
      </x:c>
      <x:c r="H842" s="16" t="str">
        <x:v>N</x:v>
      </x:c>
      <x:c r="I842" s="16" t="str">
        <x:v>Coder A worked example</x:v>
      </x:c>
    </x:row>
    <x:row r="843">
      <x:c r="A843" s="16" t="n">
        <x:v>842</x:v>
      </x:c>
      <x:c r="B843" s="16" t="str">
        <x:v>EXPERIMENT</x:v>
      </x:c>
      <x:c r="C843" s="16" t="str">
        <x:f>'Experiment_Coding_KT004'!A12</x:f>
        <x:v>PILOT_01_E11</x:v>
      </x:c>
      <x:c r="D843" s="16" t="str">
        <x:v>gpu_vram</x:v>
      </x:c>
      <x:c r="E843" s="16" t="str">
        <x:f>'Experiment_Coding_KT004'!BI12</x:f>
        <x:v>NR</x:v>
      </x:c>
      <x:c r="F843" s="16" t="str">
        <x:f>'Experiment_Coding_KT004'!BR12</x:f>
        <x:v>Sec. 3 Datasets; Appendix A; Table 2; Table 1; Appendix B</x:v>
      </x:c>
      <x:c r="G843" s="16" t="str">
        <x:v>HIGH</x:v>
      </x:c>
      <x:c r="H843" s="16" t="str">
        <x:v>N</x:v>
      </x:c>
      <x:c r="I843" s="16" t="str">
        <x:v>Coder A worked example</x:v>
      </x:c>
    </x:row>
    <x:row r="844">
      <x:c r="A844" s="16" t="n">
        <x:v>843</x:v>
      </x:c>
      <x:c r="B844" s="16" t="str">
        <x:v>EXPERIMENT</x:v>
      </x:c>
      <x:c r="C844" s="16" t="str">
        <x:f>'Experiment_Coding_KT004'!A12</x:f>
        <x:v>PILOT_01_E11</x:v>
      </x:c>
      <x:c r="D844" s="16" t="str">
        <x:v>hardware</x:v>
      </x:c>
      <x:c r="E844" s="16" t="str">
        <x:f>'Experiment_Coding_KT004'!BJ12</x:f>
        <x:v>NR</x:v>
      </x:c>
      <x:c r="F844" s="16" t="str">
        <x:f>'Experiment_Coding_KT004'!BR12</x:f>
        <x:v>Sec. 3 Datasets; Appendix A; Table 2; Table 1; Appendix B</x:v>
      </x:c>
      <x:c r="G844" s="16" t="str">
        <x:v>HIGH</x:v>
      </x:c>
      <x:c r="H844" s="16" t="str">
        <x:v>N</x:v>
      </x:c>
      <x:c r="I844" s="16" t="str">
        <x:v>Coder A worked example</x:v>
      </x:c>
    </x:row>
    <x:row r="845">
      <x:c r="A845" s="16" t="n">
        <x:v>844</x:v>
      </x:c>
      <x:c r="B845" s="16" t="str">
        <x:v>EXPERIMENT</x:v>
      </x:c>
      <x:c r="C845" s="16" t="str">
        <x:f>'Experiment_Coding_KT004'!A12</x:f>
        <x:v>PILOT_01_E11</x:v>
      </x:c>
      <x:c r="D845" s="16" t="str">
        <x:v>graph_construction_time</x:v>
      </x:c>
      <x:c r="E845" s="16" t="str">
        <x:f>'Experiment_Coding_KT004'!BK12</x:f>
        <x:v>NR</x:v>
      </x:c>
      <x:c r="F845" s="16" t="str">
        <x:f>'Experiment_Coding_KT004'!BR12</x:f>
        <x:v>Sec. 3 Datasets; Appendix A; Table 2; Table 1; Appendix B</x:v>
      </x:c>
      <x:c r="G845" s="16" t="str">
        <x:v>HIGH</x:v>
      </x:c>
      <x:c r="H845" s="16" t="str">
        <x:v>N</x:v>
      </x:c>
      <x:c r="I845" s="16" t="str">
        <x:v>Coder A worked example</x:v>
      </x:c>
    </x:row>
    <x:row r="846">
      <x:c r="A846" s="16" t="n">
        <x:v>845</x:v>
      </x:c>
      <x:c r="B846" s="16" t="str">
        <x:v>EXPERIMENT</x:v>
      </x:c>
      <x:c r="C846" s="16" t="str">
        <x:f>'Experiment_Coding_KT004'!A12</x:f>
        <x:v>PILOT_01_E11</x:v>
      </x:c>
      <x:c r="D846" s="16" t="str">
        <x:v>complexity_formula</x:v>
      </x:c>
      <x:c r="E846" s="16" t="str">
        <x:f>'Experiment_Coding_KT004'!BL12</x:f>
        <x:v>O(KN^2) -&gt; O(KN) for modified VAE edge inference</x:v>
      </x:c>
      <x:c r="F846" s="16" t="str">
        <x:f>'Experiment_Coding_KT004'!BR12</x:f>
        <x:v>Sec. 3 Datasets; Appendix A; Table 2; Table 1; Appendix B</x:v>
      </x:c>
      <x:c r="G846" s="16" t="str">
        <x:v>HIGH</x:v>
      </x:c>
      <x:c r="H846" s="16" t="str">
        <x:v>N</x:v>
      </x:c>
      <x:c r="I846" s="16" t="str">
        <x:v>Coder A worked example</x:v>
      </x:c>
    </x:row>
    <x:row r="847">
      <x:c r="A847" s="16" t="n">
        <x:v>846</x:v>
      </x:c>
      <x:c r="B847" s="16" t="str">
        <x:v>EXPERIMENT</x:v>
      </x:c>
      <x:c r="C847" s="16" t="str">
        <x:f>'Experiment_Coding_KT004'!A12</x:f>
        <x:v>PILOT_01_E11</x:v>
      </x:c>
      <x:c r="D847" s="16" t="str">
        <x:v>scale_up_experiment</x:v>
      </x:c>
      <x:c r="E847" s="16" t="str">
        <x:f>'Experiment_Coding_KT004'!BM12</x:f>
        <x:v>N</x:v>
      </x:c>
      <x:c r="F847" s="16" t="str">
        <x:f>'Experiment_Coding_KT004'!BR12</x:f>
        <x:v>Sec. 3 Datasets; Appendix A; Table 2; Table 1; Appendix B</x:v>
      </x:c>
      <x:c r="G847" s="16" t="str">
        <x:v>HIGH</x:v>
      </x:c>
      <x:c r="H847" s="16" t="str">
        <x:v>Y</x:v>
      </x:c>
      <x:c r="I847" s="16" t="str">
        <x:v>Coder A worked example</x:v>
      </x:c>
    </x:row>
    <x:row r="848">
      <x:c r="A848" s="16" t="n">
        <x:v>847</x:v>
      </x:c>
      <x:c r="B848" s="16" t="str">
        <x:v>EXPERIMENT</x:v>
      </x:c>
      <x:c r="C848" s="16" t="str">
        <x:f>'Experiment_Coding_KT004'!A12</x:f>
        <x:v>PILOT_01_E11</x:v>
      </x:c>
      <x:c r="D848" s="16" t="str">
        <x:v>oom_timeout_reported</x:v>
      </x:c>
      <x:c r="E848" s="16" t="str">
        <x:f>'Experiment_Coding_KT004'!BN12</x:f>
        <x:v>NR</x:v>
      </x:c>
      <x:c r="F848" s="16" t="str">
        <x:f>'Experiment_Coding_KT004'!BR12</x:f>
        <x:v>Sec. 3 Datasets; Appendix A; Table 2; Table 1; Appendix B</x:v>
      </x:c>
      <x:c r="G848" s="16" t="str">
        <x:v>HIGH</x:v>
      </x:c>
      <x:c r="H848" s="16" t="str">
        <x:v>Y</x:v>
      </x:c>
      <x:c r="I848" s="16" t="str">
        <x:v>Coder A worked example</x:v>
      </x:c>
    </x:row>
    <x:row r="849">
      <x:c r="A849" s="16" t="n">
        <x:v>848</x:v>
      </x:c>
      <x:c r="B849" s="16" t="str">
        <x:v>EXPERIMENT</x:v>
      </x:c>
      <x:c r="C849" s="16" t="str">
        <x:f>'Experiment_Coding_KT004'!A13</x:f>
        <x:v>PILOT_01_E12</x:v>
      </x:c>
      <x:c r="D849" s="16" t="str">
        <x:v>dataset_name</x:v>
      </x:c>
      <x:c r="E849" s="16" t="str">
        <x:f>'Experiment_Coding_KT004'!D13</x:f>
        <x:v>KDDCup</x:v>
      </x:c>
      <x:c r="F849" s="16" t="str">
        <x:f>'Experiment_Coding_KT004'!BR13</x:f>
        <x:v>Sec. 3 Datasets; Appendix A; Table 2; Table 1; Appendix B</x:v>
      </x:c>
      <x:c r="G849" s="16" t="str">
        <x:v>HIGH</x:v>
      </x:c>
      <x:c r="H849" s="16" t="str">
        <x:v>N</x:v>
      </x:c>
      <x:c r="I849" s="16" t="str">
        <x:v>Coder A worked example</x:v>
      </x:c>
    </x:row>
    <x:row r="850">
      <x:c r="A850" s="16" t="n">
        <x:v>849</x:v>
      </x:c>
      <x:c r="B850" s="16" t="str">
        <x:v>EXPERIMENT</x:v>
      </x:c>
      <x:c r="C850" s="16" t="str">
        <x:f>'Experiment_Coding_KT004'!A13</x:f>
        <x:v>PILOT_01_E12</x:v>
      </x:c>
      <x:c r="D850" s="16" t="str">
        <x:v>dataset_version</x:v>
      </x:c>
      <x:c r="E850" s="16" t="str">
        <x:f>'Experiment_Coding_KT004'!E13</x:f>
        <x:v>Bridge to Algebra 2006-2007</x:v>
      </x:c>
      <x:c r="F850" s="16" t="str">
        <x:f>'Experiment_Coding_KT004'!BR13</x:f>
        <x:v>Sec. 3 Datasets; Appendix A; Table 2; Table 1; Appendix B</x:v>
      </x:c>
      <x:c r="G850" s="16" t="str">
        <x:v>HIGH</x:v>
      </x:c>
      <x:c r="H850" s="16" t="str">
        <x:v>N</x:v>
      </x:c>
      <x:c r="I850" s="16" t="str">
        <x:v>Coder A worked example</x:v>
      </x:c>
    </x:row>
    <x:row r="851">
      <x:c r="A851" s="16" t="n">
        <x:v>850</x:v>
      </x:c>
      <x:c r="B851" s="16" t="str">
        <x:v>EXPERIMENT</x:v>
      </x:c>
      <x:c r="C851" s="16" t="str">
        <x:f>'Experiment_Coding_KT004'!A13</x:f>
        <x:v>PILOT_01_E12</x:v>
      </x:c>
      <x:c r="D851" s="16" t="str">
        <x:v>n_learners_reported</x:v>
      </x:c>
      <x:c r="E851" s="16" t="n">
        <x:f>'Experiment_Coding_KT004'!G13</x:f>
        <x:v>1000</x:v>
      </x:c>
      <x:c r="F851" s="16" t="str">
        <x:f>'Experiment_Coding_KT004'!BR13</x:f>
        <x:v>Sec. 3 Datasets; Appendix A; Table 2; Table 1; Appendix B</x:v>
      </x:c>
      <x:c r="G851" s="16" t="str">
        <x:v>HIGH</x:v>
      </x:c>
      <x:c r="H851" s="16" t="str">
        <x:v>N</x:v>
      </x:c>
      <x:c r="I851" s="16" t="str">
        <x:v>Coder A worked example</x:v>
      </x:c>
    </x:row>
    <x:row r="852">
      <x:c r="A852" s="16" t="n">
        <x:v>851</x:v>
      </x:c>
      <x:c r="B852" s="16" t="str">
        <x:v>EXPERIMENT</x:v>
      </x:c>
      <x:c r="C852" s="16" t="str">
        <x:f>'Experiment_Coding_KT004'!A13</x:f>
        <x:v>PILOT_01_E12</x:v>
      </x:c>
      <x:c r="D852" s="16" t="str">
        <x:v>n_items_reported</x:v>
      </x:c>
      <x:c r="E852" s="16" t="str">
        <x:f>'Experiment_Coding_KT004'!H13</x:f>
        <x:v>NR</x:v>
      </x:c>
      <x:c r="F852" s="16" t="str">
        <x:f>'Experiment_Coding_KT004'!BR13</x:f>
        <x:v>Sec. 3 Datasets; Appendix A; Table 2; Table 1; Appendix B</x:v>
      </x:c>
      <x:c r="G852" s="16" t="str">
        <x:v>HIGH</x:v>
      </x:c>
      <x:c r="H852" s="16" t="str">
        <x:v>N</x:v>
      </x:c>
      <x:c r="I852" s="16" t="str">
        <x:v>Coder A worked example</x:v>
      </x:c>
    </x:row>
    <x:row r="853">
      <x:c r="A853" s="16" t="n">
        <x:v>852</x:v>
      </x:c>
      <x:c r="B853" s="16" t="str">
        <x:v>EXPERIMENT</x:v>
      </x:c>
      <x:c r="C853" s="16" t="str">
        <x:f>'Experiment_Coding_KT004'!A13</x:f>
        <x:v>PILOT_01_E12</x:v>
      </x:c>
      <x:c r="D853" s="16" t="str">
        <x:v>n_kcs_reported</x:v>
      </x:c>
      <x:c r="E853" s="16" t="n">
        <x:f>'Experiment_Coding_KT004'!I13</x:f>
        <x:v>211</x:v>
      </x:c>
      <x:c r="F853" s="16" t="str">
        <x:f>'Experiment_Coding_KT004'!BR13</x:f>
        <x:v>Sec. 3 Datasets; Appendix A; Table 2; Table 1; Appendix B</x:v>
      </x:c>
      <x:c r="G853" s="16" t="str">
        <x:v>HIGH</x:v>
      </x:c>
      <x:c r="H853" s="16" t="str">
        <x:v>N</x:v>
      </x:c>
      <x:c r="I853" s="16" t="str">
        <x:v>Coder A worked example</x:v>
      </x:c>
    </x:row>
    <x:row r="854">
      <x:c r="A854" s="16" t="n">
        <x:v>853</x:v>
      </x:c>
      <x:c r="B854" s="16" t="str">
        <x:v>EXPERIMENT</x:v>
      </x:c>
      <x:c r="C854" s="16" t="str">
        <x:f>'Experiment_Coding_KT004'!A13</x:f>
        <x:v>PILOT_01_E12</x:v>
      </x:c>
      <x:c r="D854" s="16" t="str">
        <x:v>n_interactions_reported</x:v>
      </x:c>
      <x:c r="E854" s="16" t="n">
        <x:f>'Experiment_Coding_KT004'!J13</x:f>
        <x:v>98200</x:v>
      </x:c>
      <x:c r="F854" s="16" t="str">
        <x:f>'Experiment_Coding_KT004'!BR13</x:f>
        <x:v>Sec. 3 Datasets; Appendix A; Table 2; Table 1; Appendix B</x:v>
      </x:c>
      <x:c r="G854" s="16" t="str">
        <x:v>HIGH</x:v>
      </x:c>
      <x:c r="H854" s="16" t="str">
        <x:v>N</x:v>
      </x:c>
      <x:c r="I854" s="16" t="str">
        <x:v>Coder A worked example</x:v>
      </x:c>
    </x:row>
    <x:row r="855">
      <x:c r="A855" s="16" t="n">
        <x:v>854</x:v>
      </x:c>
      <x:c r="B855" s="16" t="str">
        <x:v>EXPERIMENT</x:v>
      </x:c>
      <x:c r="C855" s="16" t="str">
        <x:f>'Experiment_Coding_KT004'!A13</x:f>
        <x:v>PILOT_01_E12</x:v>
      </x:c>
      <x:c r="D855" s="16" t="str">
        <x:v>multi_skill_present</x:v>
      </x:c>
      <x:c r="E855" s="16" t="str">
        <x:f>'Experiment_Coding_KT004'!K13</x:f>
        <x:v>UNCLEAR</x:v>
      </x:c>
      <x:c r="F855" s="16" t="str">
        <x:f>'Experiment_Coding_KT004'!BR13</x:f>
        <x:v>Sec. 3 Datasets; Appendix A; Table 2; Table 1; Appendix B</x:v>
      </x:c>
      <x:c r="G855" s="16" t="str">
        <x:v>HIGH</x:v>
      </x:c>
      <x:c r="H855" s="16" t="str">
        <x:v>Y</x:v>
      </x:c>
      <x:c r="I855" s="16" t="str">
        <x:v>Coder A worked example</x:v>
      </x:c>
    </x:row>
    <x:row r="856">
      <x:c r="A856" s="16" t="n">
        <x:v>855</x:v>
      </x:c>
      <x:c r="B856" s="16" t="str">
        <x:v>EXPERIMENT</x:v>
      </x:c>
      <x:c r="C856" s="16" t="str">
        <x:f>'Experiment_Coding_KT004'!A13</x:f>
        <x:v>PILOT_01_E12</x:v>
      </x:c>
      <x:c r="D856" s="16" t="str">
        <x:v>multi_skill_handling</x:v>
      </x:c>
      <x:c r="E856" s="16" t="str">
        <x:f>'Experiment_Coding_KT004'!L13</x:f>
        <x:v>Combine simultaneous answer logs into one; extract named skill tags</x:v>
      </x:c>
      <x:c r="F856" s="16" t="str">
        <x:f>'Experiment_Coding_KT004'!BR13</x:f>
        <x:v>Sec. 3 Datasets; Appendix A; Table 2; Table 1; Appendix B</x:v>
      </x:c>
      <x:c r="G856" s="16" t="str">
        <x:v>HIGH</x:v>
      </x:c>
      <x:c r="H856" s="16" t="str">
        <x:v>N</x:v>
      </x:c>
      <x:c r="I856" s="16" t="str">
        <x:v>Coder A worked example</x:v>
      </x:c>
    </x:row>
    <x:row r="857">
      <x:c r="A857" s="16" t="n">
        <x:v>856</x:v>
      </x:c>
      <x:c r="B857" s="16" t="str">
        <x:v>EXPERIMENT</x:v>
      </x:c>
      <x:c r="C857" s="16" t="str">
        <x:f>'Experiment_Coding_KT004'!A13</x:f>
        <x:v>PILOT_01_E12</x:v>
      </x:c>
      <x:c r="D857" s="16" t="str">
        <x:v>sequence_truncation</x:v>
      </x:c>
      <x:c r="E857" s="16" t="str">
        <x:f>'Experiment_Coding_KT004'!M13</x:f>
        <x:v>NR</x:v>
      </x:c>
      <x:c r="F857" s="16" t="str">
        <x:f>'Experiment_Coding_KT004'!BR13</x:f>
        <x:v>Sec. 3 Datasets; Appendix A; Table 2; Table 1; Appendix B</x:v>
      </x:c>
      <x:c r="G857" s="16" t="str">
        <x:v>HIGH</x:v>
      </x:c>
      <x:c r="H857" s="16" t="str">
        <x:v>N</x:v>
      </x:c>
      <x:c r="I857" s="16" t="str">
        <x:v>Coder A worked example</x:v>
      </x:c>
    </x:row>
    <x:row r="858">
      <x:c r="A858" s="16" t="n">
        <x:v>857</x:v>
      </x:c>
      <x:c r="B858" s="16" t="str">
        <x:v>EXPERIMENT</x:v>
      </x:c>
      <x:c r="C858" s="16" t="str">
        <x:f>'Experiment_Coding_KT004'!A13</x:f>
        <x:v>PILOT_01_E12</x:v>
      </x:c>
      <x:c r="D858" s="16" t="str">
        <x:v>min_sequence_filter</x:v>
      </x:c>
      <x:c r="E858" s="16" t="str">
        <x:f>'Experiment_Coding_KT004'!N13</x:f>
        <x:v>NR</x:v>
      </x:c>
      <x:c r="F858" s="16" t="str">
        <x:f>'Experiment_Coding_KT004'!BR13</x:f>
        <x:v>Sec. 3 Datasets; Appendix A; Table 2; Table 1; Appendix B</x:v>
      </x:c>
      <x:c r="G858" s="16" t="str">
        <x:v>HIGH</x:v>
      </x:c>
      <x:c r="H858" s="16" t="str">
        <x:v>N</x:v>
      </x:c>
      <x:c r="I858" s="16" t="str">
        <x:v>Coder A worked example</x:v>
      </x:c>
    </x:row>
    <x:row r="859">
      <x:c r="A859" s="16" t="n">
        <x:v>858</x:v>
      </x:c>
      <x:c r="B859" s="16" t="str">
        <x:v>EXPERIMENT</x:v>
      </x:c>
      <x:c r="C859" s="16" t="str">
        <x:f>'Experiment_Coding_KT004'!A13</x:f>
        <x:v>PILOT_01_E12</x:v>
      </x:c>
      <x:c r="D859" s="16" t="str">
        <x:v>timestamp_used</x:v>
      </x:c>
      <x:c r="E859" s="16" t="str">
        <x:f>'Experiment_Coding_KT004'!O13</x:f>
        <x:v>UNCLEAR</x:v>
      </x:c>
      <x:c r="F859" s="16" t="str">
        <x:f>'Experiment_Coding_KT004'!BR13</x:f>
        <x:v>Sec. 3 Datasets; Appendix A; Table 2; Table 1; Appendix B</x:v>
      </x:c>
      <x:c r="G859" s="16" t="str">
        <x:v>HIGH</x:v>
      </x:c>
      <x:c r="H859" s="16" t="str">
        <x:v>Y</x:v>
      </x:c>
      <x:c r="I859" s="16" t="str">
        <x:v>Coder A worked example</x:v>
      </x:c>
    </x:row>
    <x:row r="860">
      <x:c r="A860" s="16" t="n">
        <x:v>859</x:v>
      </x:c>
      <x:c r="B860" s="16" t="str">
        <x:v>EXPERIMENT</x:v>
      </x:c>
      <x:c r="C860" s="16" t="str">
        <x:f>'Experiment_Coding_KT004'!A13</x:f>
        <x:v>PILOT_01_E12</x:v>
      </x:c>
      <x:c r="D860" s="16" t="str">
        <x:v>preprocessing_code_available</x:v>
      </x:c>
      <x:c r="E860" s="16" t="str">
        <x:f>'Experiment_Coding_KT004'!P13</x:f>
        <x:v>NR</x:v>
      </x:c>
      <x:c r="F860" s="16" t="str">
        <x:f>'Experiment_Coding_KT004'!BR13</x:f>
        <x:v>Sec. 3 Datasets; Appendix A; Table 2; Table 1; Appendix B</x:v>
      </x:c>
      <x:c r="G860" s="16" t="str">
        <x:v>HIGH</x:v>
      </x:c>
      <x:c r="H860" s="16" t="str">
        <x:v>Y</x:v>
      </x:c>
      <x:c r="I860" s="16" t="str">
        <x:v>Coder A worked example</x:v>
      </x:c>
    </x:row>
    <x:row r="861">
      <x:c r="A861" s="16" t="n">
        <x:v>860</x:v>
      </x:c>
      <x:c r="B861" s="16" t="str">
        <x:v>EXPERIMENT</x:v>
      </x:c>
      <x:c r="C861" s="16" t="str">
        <x:f>'Experiment_Coding_KT004'!A13</x:f>
        <x:v>PILOT_01_E12</x:v>
      </x:c>
      <x:c r="D861" s="16" t="str">
        <x:v>split_type</x:v>
      </x:c>
      <x:c r="E861" s="16" t="str">
        <x:f>'Experiment_Coding_KT004'!Q13</x:f>
        <x:v>LEARNER_BASED</x:v>
      </x:c>
      <x:c r="F861" s="16" t="str">
        <x:f>'Experiment_Coding_KT004'!BR13</x:f>
        <x:v>Sec. 3 Datasets; Appendix A; Table 2; Table 1; Appendix B</x:v>
      </x:c>
      <x:c r="G861" s="16" t="str">
        <x:v>HIGH</x:v>
      </x:c>
      <x:c r="H861" s="16" t="str">
        <x:v>Y</x:v>
      </x:c>
      <x:c r="I861" s="16" t="str">
        <x:v>Coder A worked example</x:v>
      </x:c>
    </x:row>
    <x:row r="862">
      <x:c r="A862" s="16" t="n">
        <x:v>861</x:v>
      </x:c>
      <x:c r="B862" s="16" t="str">
        <x:v>EXPERIMENT</x:v>
      </x:c>
      <x:c r="C862" s="16" t="str">
        <x:f>'Experiment_Coding_KT004'!A13</x:f>
        <x:v>PILOT_01_E12</x:v>
      </x:c>
      <x:c r="D862" s="16" t="str">
        <x:v>split_unit_original</x:v>
      </x:c>
      <x:c r="E862" s="16" t="str">
        <x:f>'Experiment_Coding_KT004'!R13</x:f>
        <x:v>students</x:v>
      </x:c>
      <x:c r="F862" s="16" t="str">
        <x:f>'Experiment_Coding_KT004'!BR13</x:f>
        <x:v>Sec. 3 Datasets; Appendix A; Table 2; Table 1; Appendix B</x:v>
      </x:c>
      <x:c r="G862" s="16" t="str">
        <x:v>HIGH</x:v>
      </x:c>
      <x:c r="H862" s="16" t="str">
        <x:v>N</x:v>
      </x:c>
      <x:c r="I862" s="16" t="str">
        <x:v>Coder A worked example</x:v>
      </x:c>
    </x:row>
    <x:row r="863">
      <x:c r="A863" s="16" t="n">
        <x:v>862</x:v>
      </x:c>
      <x:c r="B863" s="16" t="str">
        <x:v>EXPERIMENT</x:v>
      </x:c>
      <x:c r="C863" s="16" t="str">
        <x:f>'Experiment_Coding_KT004'!A13</x:f>
        <x:v>PILOT_01_E12</x:v>
      </x:c>
      <x:c r="D863" s="16" t="str">
        <x:v>train_fraction</x:v>
      </x:c>
      <x:c r="E863" s="16" t="n">
        <x:f>'Experiment_Coding_KT004'!S13</x:f>
        <x:v>0.8</x:v>
      </x:c>
      <x:c r="F863" s="16" t="str">
        <x:f>'Experiment_Coding_KT004'!BR13</x:f>
        <x:v>Sec. 3 Datasets; Appendix A; Table 2; Table 1; Appendix B</x:v>
      </x:c>
      <x:c r="G863" s="16" t="str">
        <x:v>HIGH</x:v>
      </x:c>
      <x:c r="H863" s="16" t="str">
        <x:v>N</x:v>
      </x:c>
      <x:c r="I863" s="16" t="str">
        <x:v>Coder A worked example</x:v>
      </x:c>
    </x:row>
    <x:row r="864">
      <x:c r="A864" s="16" t="n">
        <x:v>863</x:v>
      </x:c>
      <x:c r="B864" s="16" t="str">
        <x:v>EXPERIMENT</x:v>
      </x:c>
      <x:c r="C864" s="16" t="str">
        <x:f>'Experiment_Coding_KT004'!A13</x:f>
        <x:v>PILOT_01_E12</x:v>
      </x:c>
      <x:c r="D864" s="16" t="str">
        <x:v>validation_fraction</x:v>
      </x:c>
      <x:c r="E864" s="16" t="n">
        <x:f>'Experiment_Coding_KT004'!T13</x:f>
        <x:v>0.1</x:v>
      </x:c>
      <x:c r="F864" s="16" t="str">
        <x:f>'Experiment_Coding_KT004'!BR13</x:f>
        <x:v>Sec. 3 Datasets; Appendix A; Table 2; Table 1; Appendix B</x:v>
      </x:c>
      <x:c r="G864" s="16" t="str">
        <x:v>HIGH</x:v>
      </x:c>
      <x:c r="H864" s="16" t="str">
        <x:v>N</x:v>
      </x:c>
      <x:c r="I864" s="16" t="str">
        <x:v>Coder A worked example</x:v>
      </x:c>
    </x:row>
    <x:row r="865">
      <x:c r="A865" s="16" t="n">
        <x:v>864</x:v>
      </x:c>
      <x:c r="B865" s="16" t="str">
        <x:v>EXPERIMENT</x:v>
      </x:c>
      <x:c r="C865" s="16" t="str">
        <x:f>'Experiment_Coding_KT004'!A13</x:f>
        <x:v>PILOT_01_E12</x:v>
      </x:c>
      <x:c r="D865" s="16" t="str">
        <x:v>test_fraction</x:v>
      </x:c>
      <x:c r="E865" s="16" t="n">
        <x:f>'Experiment_Coding_KT004'!U13</x:f>
        <x:v>0.1</x:v>
      </x:c>
      <x:c r="F865" s="16" t="str">
        <x:f>'Experiment_Coding_KT004'!BR13</x:f>
        <x:v>Sec. 3 Datasets; Appendix A; Table 2; Table 1; Appendix B</x:v>
      </x:c>
      <x:c r="G865" s="16" t="str">
        <x:v>HIGH</x:v>
      </x:c>
      <x:c r="H865" s="16" t="str">
        <x:v>N</x:v>
      </x:c>
      <x:c r="I865" s="16" t="str">
        <x:v>Coder A worked example</x:v>
      </x:c>
    </x:row>
    <x:row r="866">
      <x:c r="A866" s="16" t="n">
        <x:v>865</x:v>
      </x:c>
      <x:c r="B866" s="16" t="str">
        <x:v>EXPERIMENT</x:v>
      </x:c>
      <x:c r="C866" s="16" t="str">
        <x:f>'Experiment_Coding_KT004'!A13</x:f>
        <x:v>PILOT_01_E12</x:v>
      </x:c>
      <x:c r="D866" s="16" t="str">
        <x:v>validation_set_separate</x:v>
      </x:c>
      <x:c r="E866" s="16" t="str">
        <x:f>'Experiment_Coding_KT004'!V13</x:f>
        <x:v>Y</x:v>
      </x:c>
      <x:c r="F866" s="16" t="str">
        <x:f>'Experiment_Coding_KT004'!BR13</x:f>
        <x:v>Sec. 3 Datasets; Appendix A; Table 2; Table 1; Appendix B</x:v>
      </x:c>
      <x:c r="G866" s="16" t="str">
        <x:v>HIGH</x:v>
      </x:c>
      <x:c r="H866" s="16" t="str">
        <x:v>Y</x:v>
      </x:c>
      <x:c r="I866" s="16" t="str">
        <x:v>Coder A worked example</x:v>
      </x:c>
    </x:row>
    <x:row r="867">
      <x:c r="A867" s="16" t="n">
        <x:v>866</x:v>
      </x:c>
      <x:c r="B867" s="16" t="str">
        <x:v>EXPERIMENT</x:v>
      </x:c>
      <x:c r="C867" s="16" t="str">
        <x:f>'Experiment_Coding_KT004'!A13</x:f>
        <x:v>PILOT_01_E12</x:v>
      </x:c>
      <x:c r="D867" s="16" t="str">
        <x:v>early_stopping_validation_only</x:v>
      </x:c>
      <x:c r="E867" s="16" t="str">
        <x:f>'Experiment_Coding_KT004'!W13</x:f>
        <x:v>UNCLEAR</x:v>
      </x:c>
      <x:c r="F867" s="16" t="str">
        <x:f>'Experiment_Coding_KT004'!BR13</x:f>
        <x:v>Sec. 3 Datasets; Appendix A; Table 2; Table 1; Appendix B</x:v>
      </x:c>
      <x:c r="G867" s="16" t="str">
        <x:v>HIGH</x:v>
      </x:c>
      <x:c r="H867" s="16" t="str">
        <x:v>Y</x:v>
      </x:c>
      <x:c r="I867" s="16" t="str">
        <x:v>Coder A worked example</x:v>
      </x:c>
    </x:row>
    <x:row r="868">
      <x:c r="A868" s="16" t="n">
        <x:v>867</x:v>
      </x:c>
      <x:c r="B868" s="16" t="str">
        <x:v>EXPERIMENT</x:v>
      </x:c>
      <x:c r="C868" s="16" t="str">
        <x:f>'Experiment_Coding_KT004'!A13</x:f>
        <x:v>PILOT_01_E12</x:v>
      </x:c>
      <x:c r="D868" s="16" t="str">
        <x:v>graph_train_only</x:v>
      </x:c>
      <x:c r="E868" s="16" t="str">
        <x:f>'Experiment_Coding_KT004'!X13</x:f>
        <x:v>Y</x:v>
      </x:c>
      <x:c r="F868" s="16" t="str">
        <x:f>'Experiment_Coding_KT004'!BR13</x:f>
        <x:v>Sec. 3 Datasets; Appendix A; Table 2; Table 1; Appendix B</x:v>
      </x:c>
      <x:c r="G868" s="16" t="str">
        <x:v>HIGH</x:v>
      </x:c>
      <x:c r="H868" s="16" t="str">
        <x:v>Y</x:v>
      </x:c>
      <x:c r="I868" s="16" t="str">
        <x:v>Coder A worked example</x:v>
      </x:c>
    </x:row>
    <x:row r="869">
      <x:c r="A869" s="16" t="n">
        <x:v>868</x:v>
      </x:c>
      <x:c r="B869" s="16" t="str">
        <x:v>EXPERIMENT</x:v>
      </x:c>
      <x:c r="C869" s="16" t="str">
        <x:f>'Experiment_Coding_KT004'!A13</x:f>
        <x:v>PILOT_01_E12</x:v>
      </x:c>
      <x:c r="D869" s="16" t="str">
        <x:v>normalization_train_only</x:v>
      </x:c>
      <x:c r="E869" s="16" t="str">
        <x:f>'Experiment_Coding_KT004'!Y13</x:f>
        <x:v>NR</x:v>
      </x:c>
      <x:c r="F869" s="16" t="str">
        <x:f>'Experiment_Coding_KT004'!BR13</x:f>
        <x:v>Sec. 3 Datasets; Appendix A; Table 2; Table 1; Appendix B</x:v>
      </x:c>
      <x:c r="G869" s="16" t="str">
        <x:v>HIGH</x:v>
      </x:c>
      <x:c r="H869" s="16" t="str">
        <x:v>Y</x:v>
      </x:c>
      <x:c r="I869" s="16" t="str">
        <x:v>Coder A worked example</x:v>
      </x:c>
    </x:row>
    <x:row r="870">
      <x:c r="A870" s="16" t="n">
        <x:v>869</x:v>
      </x:c>
      <x:c r="B870" s="16" t="str">
        <x:v>EXPERIMENT</x:v>
      </x:c>
      <x:c r="C870" s="16" t="str">
        <x:f>'Experiment_Coding_KT004'!A13</x:f>
        <x:v>PILOT_01_E12</x:v>
      </x:c>
      <x:c r="D870" s="16" t="str">
        <x:v>sparse_strata_train_only</x:v>
      </x:c>
      <x:c r="E870" s="16" t="str">
        <x:f>'Experiment_Coding_KT004'!Z13</x:f>
        <x:v>NA</x:v>
      </x:c>
      <x:c r="F870" s="16" t="str">
        <x:f>'Experiment_Coding_KT004'!BR13</x:f>
        <x:v>Sec. 3 Datasets; Appendix A; Table 2; Table 1; Appendix B</x:v>
      </x:c>
      <x:c r="G870" s="16" t="str">
        <x:v>HIGH</x:v>
      </x:c>
      <x:c r="H870" s="16" t="str">
        <x:v>Y</x:v>
      </x:c>
      <x:c r="I870" s="16" t="str">
        <x:v>Coder A worked example</x:v>
      </x:c>
    </x:row>
    <x:row r="871">
      <x:c r="A871" s="16" t="n">
        <x:v>870</x:v>
      </x:c>
      <x:c r="B871" s="16" t="str">
        <x:v>EXPERIMENT</x:v>
      </x:c>
      <x:c r="C871" s="16" t="str">
        <x:f>'Experiment_Coding_KT004'!A13</x:f>
        <x:v>PILOT_01_E12</x:v>
      </x:c>
      <x:c r="D871" s="16" t="str">
        <x:v>temporal_alignment_audited</x:v>
      </x:c>
      <x:c r="E871" s="16" t="str">
        <x:f>'Experiment_Coding_KT004'!AA13</x:f>
        <x:v>NR</x:v>
      </x:c>
      <x:c r="F871" s="16" t="str">
        <x:f>'Experiment_Coding_KT004'!BR13</x:f>
        <x:v>Sec. 3 Datasets; Appendix A; Table 2; Table 1; Appendix B</x:v>
      </x:c>
      <x:c r="G871" s="16" t="str">
        <x:v>HIGH</x:v>
      </x:c>
      <x:c r="H871" s="16" t="str">
        <x:v>Y</x:v>
      </x:c>
      <x:c r="I871" s="16" t="str">
        <x:v>Coder A worked example</x:v>
      </x:c>
    </x:row>
    <x:row r="872">
      <x:c r="A872" s="16" t="n">
        <x:v>871</x:v>
      </x:c>
      <x:c r="B872" s="16" t="str">
        <x:v>EXPERIMENT</x:v>
      </x:c>
      <x:c r="C872" s="16" t="str">
        <x:f>'Experiment_Coding_KT004'!A13</x:f>
        <x:v>PILOT_01_E12</x:v>
      </x:c>
      <x:c r="D872" s="16" t="str">
        <x:v>duplicate_entity_leakage_checked</x:v>
      </x:c>
      <x:c r="E872" s="16" t="str">
        <x:f>'Experiment_Coding_KT004'!AB13</x:f>
        <x:v>NR</x:v>
      </x:c>
      <x:c r="F872" s="16" t="str">
        <x:f>'Experiment_Coding_KT004'!BR13</x:f>
        <x:v>Sec. 3 Datasets; Appendix A; Table 2; Table 1; Appendix B</x:v>
      </x:c>
      <x:c r="G872" s="16" t="str">
        <x:v>HIGH</x:v>
      </x:c>
      <x:c r="H872" s="16" t="str">
        <x:v>Y</x:v>
      </x:c>
      <x:c r="I872" s="16" t="str">
        <x:v>Coder A worked example</x:v>
      </x:c>
    </x:row>
    <x:row r="873">
      <x:c r="A873" s="16" t="n">
        <x:v>872</x:v>
      </x:c>
      <x:c r="B873" s="16" t="str">
        <x:v>EXPERIMENT</x:v>
      </x:c>
      <x:c r="C873" s="16" t="str">
        <x:f>'Experiment_Coding_KT004'!A13</x:f>
        <x:v>PILOT_01_E12</x:v>
      </x:c>
      <x:c r="D873" s="16" t="str">
        <x:v>sparsity_construct</x:v>
      </x:c>
      <x:c r="E873" s="16" t="str">
        <x:f>'Experiment_Coding_KT004'!AC13</x:f>
        <x:v>NO_EXPLICIT_FOCUS</x:v>
      </x:c>
      <x:c r="F873" s="16" t="str">
        <x:f>'Experiment_Coding_KT004'!BR13</x:f>
        <x:v>Sec. 3 Datasets; Appendix A; Table 2; Table 1; Appendix B</x:v>
      </x:c>
      <x:c r="G873" s="16" t="str">
        <x:v>HIGH</x:v>
      </x:c>
      <x:c r="H873" s="16" t="str">
        <x:v>Y</x:v>
      </x:c>
      <x:c r="I873" s="16" t="str">
        <x:v>Coder A worked example</x:v>
      </x:c>
    </x:row>
    <x:row r="874">
      <x:c r="A874" s="16" t="n">
        <x:v>873</x:v>
      </x:c>
      <x:c r="B874" s="16" t="str">
        <x:v>EXPERIMENT</x:v>
      </x:c>
      <x:c r="C874" s="16" t="str">
        <x:f>'Experiment_Coding_KT004'!A13</x:f>
        <x:v>PILOT_01_E12</x:v>
      </x:c>
      <x:c r="D874" s="16" t="str">
        <x:v>sparse_definition_original</x:v>
      </x:c>
      <x:c r="E874" s="16" t="str">
        <x:f>'Experiment_Coding_KT004'!AD13</x:f>
        <x:v>NA</x:v>
      </x:c>
      <x:c r="F874" s="16" t="str">
        <x:f>'Experiment_Coding_KT004'!BR13</x:f>
        <x:v>Sec. 3 Datasets; Appendix A; Table 2; Table 1; Appendix B</x:v>
      </x:c>
      <x:c r="G874" s="16" t="str">
        <x:v>HIGH</x:v>
      </x:c>
      <x:c r="H874" s="16" t="str">
        <x:v>N</x:v>
      </x:c>
      <x:c r="I874" s="16" t="str">
        <x:v>Coder A worked example</x:v>
      </x:c>
    </x:row>
    <x:row r="875">
      <x:c r="A875" s="16" t="n">
        <x:v>874</x:v>
      </x:c>
      <x:c r="B875" s="16" t="str">
        <x:v>EXPERIMENT</x:v>
      </x:c>
      <x:c r="C875" s="16" t="str">
        <x:f>'Experiment_Coding_KT004'!A13</x:f>
        <x:v>PILOT_01_E12</x:v>
      </x:c>
      <x:c r="D875" s="16" t="str">
        <x:v>sparse_threshold_original</x:v>
      </x:c>
      <x:c r="E875" s="16" t="str">
        <x:f>'Experiment_Coding_KT004'!AE13</x:f>
        <x:v>NA</x:v>
      </x:c>
      <x:c r="F875" s="16" t="str">
        <x:f>'Experiment_Coding_KT004'!BR13</x:f>
        <x:v>Sec. 3 Datasets; Appendix A; Table 2; Table 1; Appendix B</x:v>
      </x:c>
      <x:c r="G875" s="16" t="str">
        <x:v>HIGH</x:v>
      </x:c>
      <x:c r="H875" s="16" t="str">
        <x:v>N</x:v>
      </x:c>
      <x:c r="I875" s="16" t="str">
        <x:v>Coder A worked example</x:v>
      </x:c>
    </x:row>
    <x:row r="876">
      <x:c r="A876" s="16" t="n">
        <x:v>875</x:v>
      </x:c>
      <x:c r="B876" s="16" t="str">
        <x:v>EXPERIMENT</x:v>
      </x:c>
      <x:c r="C876" s="16" t="str">
        <x:f>'Experiment_Coding_KT004'!A13</x:f>
        <x:v>PILOT_01_E12</x:v>
      </x:c>
      <x:c r="D876" s="16" t="str">
        <x:v>threshold_source</x:v>
      </x:c>
      <x:c r="E876" s="16" t="str">
        <x:f>'Experiment_Coding_KT004'!AF13</x:f>
        <x:v>NA</x:v>
      </x:c>
      <x:c r="F876" s="16" t="str">
        <x:f>'Experiment_Coding_KT004'!BR13</x:f>
        <x:v>Sec. 3 Datasets; Appendix A; Table 2; Table 1; Appendix B</x:v>
      </x:c>
      <x:c r="G876" s="16" t="str">
        <x:v>HIGH</x:v>
      </x:c>
      <x:c r="H876" s="16" t="str">
        <x:v>Y</x:v>
      </x:c>
      <x:c r="I876" s="16" t="str">
        <x:v>Coder A worked example</x:v>
      </x:c>
    </x:row>
    <x:row r="877">
      <x:c r="A877" s="16" t="n">
        <x:v>876</x:v>
      </x:c>
      <x:c r="B877" s="16" t="str">
        <x:v>EXPERIMENT</x:v>
      </x:c>
      <x:c r="C877" s="16" t="str">
        <x:f>'Experiment_Coding_KT004'!A13</x:f>
        <x:v>PILOT_01_E12</x:v>
      </x:c>
      <x:c r="D877" s="16" t="str">
        <x:v>frequency_computed_on</x:v>
      </x:c>
      <x:c r="E877" s="16" t="str">
        <x:f>'Experiment_Coding_KT004'!AG13</x:f>
        <x:v>NA</x:v>
      </x:c>
      <x:c r="F877" s="16" t="str">
        <x:f>'Experiment_Coding_KT004'!BR13</x:f>
        <x:v>Sec. 3 Datasets; Appendix A; Table 2; Table 1; Appendix B</x:v>
      </x:c>
      <x:c r="G877" s="16" t="str">
        <x:v>HIGH</x:v>
      </x:c>
      <x:c r="H877" s="16" t="str">
        <x:v>Y</x:v>
      </x:c>
      <x:c r="I877" s="16" t="str">
        <x:v>Coder A worked example</x:v>
      </x:c>
    </x:row>
    <x:row r="878">
      <x:c r="A878" s="16" t="n">
        <x:v>877</x:v>
      </x:c>
      <x:c r="B878" s="16" t="str">
        <x:v>EXPERIMENT</x:v>
      </x:c>
      <x:c r="C878" s="16" t="str">
        <x:f>'Experiment_Coding_KT004'!A13</x:f>
        <x:v>PILOT_01_E12</x:v>
      </x:c>
      <x:c r="D878" s="16" t="str">
        <x:v>strict_zero_train_verified</x:v>
      </x:c>
      <x:c r="E878" s="16" t="str">
        <x:f>'Experiment_Coding_KT004'!AH13</x:f>
        <x:v>NA</x:v>
      </x:c>
      <x:c r="F878" s="16" t="str">
        <x:f>'Experiment_Coding_KT004'!BR13</x:f>
        <x:v>Sec. 3 Datasets; Appendix A; Table 2; Table 1; Appendix B</x:v>
      </x:c>
      <x:c r="G878" s="16" t="str">
        <x:v>HIGH</x:v>
      </x:c>
      <x:c r="H878" s="16" t="str">
        <x:v>Y</x:v>
      </x:c>
      <x:c r="I878" s="16" t="str">
        <x:v>Coder A worked example</x:v>
      </x:c>
    </x:row>
    <x:row r="879">
      <x:c r="A879" s="16" t="n">
        <x:v>878</x:v>
      </x:c>
      <x:c r="B879" s="16" t="str">
        <x:v>EXPERIMENT</x:v>
      </x:c>
      <x:c r="C879" s="16" t="str">
        <x:f>'Experiment_Coding_KT004'!A13</x:f>
        <x:v>PILOT_01_E12</x:v>
      </x:c>
      <x:c r="D879" s="16" t="str">
        <x:v>external_info_for_unseen_kc</x:v>
      </x:c>
      <x:c r="E879" s="16" t="str">
        <x:f>'Experiment_Coding_KT004'!AI13</x:f>
        <x:v>NA</x:v>
      </x:c>
      <x:c r="F879" s="16" t="str">
        <x:f>'Experiment_Coding_KT004'!BR13</x:f>
        <x:v>Sec. 3 Datasets; Appendix A; Table 2; Table 1; Appendix B</x:v>
      </x:c>
      <x:c r="G879" s="16" t="str">
        <x:v>HIGH</x:v>
      </x:c>
      <x:c r="H879" s="16" t="str">
        <x:v>Y</x:v>
      </x:c>
      <x:c r="I879" s="16" t="str">
        <x:v>Coder A worked example</x:v>
      </x:c>
    </x:row>
    <x:row r="880">
      <x:c r="A880" s="16" t="n">
        <x:v>879</x:v>
      </x:c>
      <x:c r="B880" s="16" t="str">
        <x:v>EXPERIMENT</x:v>
      </x:c>
      <x:c r="C880" s="16" t="str">
        <x:f>'Experiment_Coding_KT004'!A13</x:f>
        <x:v>PILOT_01_E12</x:v>
      </x:c>
      <x:c r="D880" s="16" t="str">
        <x:v>support_kcs</x:v>
      </x:c>
      <x:c r="E880" s="16" t="str">
        <x:f>'Experiment_Coding_KT004'!AJ13</x:f>
        <x:v>NA</x:v>
      </x:c>
      <x:c r="F880" s="16" t="str">
        <x:f>'Experiment_Coding_KT004'!BR13</x:f>
        <x:v>Sec. 3 Datasets; Appendix A; Table 2; Table 1; Appendix B</x:v>
      </x:c>
      <x:c r="G880" s="16" t="str">
        <x:v>HIGH</x:v>
      </x:c>
      <x:c r="H880" s="16" t="str">
        <x:v>N</x:v>
      </x:c>
      <x:c r="I880" s="16" t="str">
        <x:v>Coder A worked example</x:v>
      </x:c>
    </x:row>
    <x:row r="881">
      <x:c r="A881" s="16" t="n">
        <x:v>880</x:v>
      </x:c>
      <x:c r="B881" s="16" t="str">
        <x:v>EXPERIMENT</x:v>
      </x:c>
      <x:c r="C881" s="16" t="str">
        <x:f>'Experiment_Coding_KT004'!A13</x:f>
        <x:v>PILOT_01_E12</x:v>
      </x:c>
      <x:c r="D881" s="16" t="str">
        <x:v>support_learners</x:v>
      </x:c>
      <x:c r="E881" s="16" t="str">
        <x:f>'Experiment_Coding_KT004'!AK13</x:f>
        <x:v>NA</x:v>
      </x:c>
      <x:c r="F881" s="16" t="str">
        <x:f>'Experiment_Coding_KT004'!BR13</x:f>
        <x:v>Sec. 3 Datasets; Appendix A; Table 2; Table 1; Appendix B</x:v>
      </x:c>
      <x:c r="G881" s="16" t="str">
        <x:v>HIGH</x:v>
      </x:c>
      <x:c r="H881" s="16" t="str">
        <x:v>N</x:v>
      </x:c>
      <x:c r="I881" s="16" t="str">
        <x:v>Coder A worked example</x:v>
      </x:c>
    </x:row>
    <x:row r="882">
      <x:c r="A882" s="16" t="n">
        <x:v>881</x:v>
      </x:c>
      <x:c r="B882" s="16" t="str">
        <x:v>EXPERIMENT</x:v>
      </x:c>
      <x:c r="C882" s="16" t="str">
        <x:f>'Experiment_Coding_KT004'!A13</x:f>
        <x:v>PILOT_01_E12</x:v>
      </x:c>
      <x:c r="D882" s="16" t="str">
        <x:v>support_items</x:v>
      </x:c>
      <x:c r="E882" s="16" t="str">
        <x:f>'Experiment_Coding_KT004'!AL13</x:f>
        <x:v>NA</x:v>
      </x:c>
      <x:c r="F882" s="16" t="str">
        <x:f>'Experiment_Coding_KT004'!BR13</x:f>
        <x:v>Sec. 3 Datasets; Appendix A; Table 2; Table 1; Appendix B</x:v>
      </x:c>
      <x:c r="G882" s="16" t="str">
        <x:v>HIGH</x:v>
      </x:c>
      <x:c r="H882" s="16" t="str">
        <x:v>N</x:v>
      </x:c>
      <x:c r="I882" s="16" t="str">
        <x:v>Coder A worked example</x:v>
      </x:c>
    </x:row>
    <x:row r="883">
      <x:c r="A883" s="16" t="n">
        <x:v>882</x:v>
      </x:c>
      <x:c r="B883" s="16" t="str">
        <x:v>EXPERIMENT</x:v>
      </x:c>
      <x:c r="C883" s="16" t="str">
        <x:f>'Experiment_Coding_KT004'!A13</x:f>
        <x:v>PILOT_01_E12</x:v>
      </x:c>
      <x:c r="D883" s="16" t="str">
        <x:v>support_test_interactions</x:v>
      </x:c>
      <x:c r="E883" s="16" t="str">
        <x:f>'Experiment_Coding_KT004'!AM13</x:f>
        <x:v>NA</x:v>
      </x:c>
      <x:c r="F883" s="16" t="str">
        <x:f>'Experiment_Coding_KT004'!BR13</x:f>
        <x:v>Sec. 3 Datasets; Appendix A; Table 2; Table 1; Appendix B</x:v>
      </x:c>
      <x:c r="G883" s="16" t="str">
        <x:v>HIGH</x:v>
      </x:c>
      <x:c r="H883" s="16" t="str">
        <x:v>N</x:v>
      </x:c>
      <x:c r="I883" s="16" t="str">
        <x:v>Coder A worked example</x:v>
      </x:c>
    </x:row>
    <x:row r="884">
      <x:c r="A884" s="16" t="n">
        <x:v>883</x:v>
      </x:c>
      <x:c r="B884" s="16" t="str">
        <x:v>EXPERIMENT</x:v>
      </x:c>
      <x:c r="C884" s="16" t="str">
        <x:f>'Experiment_Coding_KT004'!A13</x:f>
        <x:v>PILOT_01_E12</x:v>
      </x:c>
      <x:c r="D884" s="16" t="str">
        <x:v>positive_count</x:v>
      </x:c>
      <x:c r="E884" s="16" t="str">
        <x:f>'Experiment_Coding_KT004'!AN13</x:f>
        <x:v>NA</x:v>
      </x:c>
      <x:c r="F884" s="16" t="str">
        <x:f>'Experiment_Coding_KT004'!BR13</x:f>
        <x:v>Sec. 3 Datasets; Appendix A; Table 2; Table 1; Appendix B</x:v>
      </x:c>
      <x:c r="G884" s="16" t="str">
        <x:v>HIGH</x:v>
      </x:c>
      <x:c r="H884" s="16" t="str">
        <x:v>N</x:v>
      </x:c>
      <x:c r="I884" s="16" t="str">
        <x:v>Coder A worked example</x:v>
      </x:c>
    </x:row>
    <x:row r="885">
      <x:c r="A885" s="16" t="n">
        <x:v>884</x:v>
      </x:c>
      <x:c r="B885" s="16" t="str">
        <x:v>EXPERIMENT</x:v>
      </x:c>
      <x:c r="C885" s="16" t="str">
        <x:f>'Experiment_Coding_KT004'!A13</x:f>
        <x:v>PILOT_01_E12</x:v>
      </x:c>
      <x:c r="D885" s="16" t="str">
        <x:v>negative_count</x:v>
      </x:c>
      <x:c r="E885" s="16" t="str">
        <x:f>'Experiment_Coding_KT004'!AO13</x:f>
        <x:v>NA</x:v>
      </x:c>
      <x:c r="F885" s="16" t="str">
        <x:f>'Experiment_Coding_KT004'!BR13</x:f>
        <x:v>Sec. 3 Datasets; Appendix A; Table 2; Table 1; Appendix B</x:v>
      </x:c>
      <x:c r="G885" s="16" t="str">
        <x:v>HIGH</x:v>
      </x:c>
      <x:c r="H885" s="16" t="str">
        <x:v>N</x:v>
      </x:c>
      <x:c r="I885" s="16" t="str">
        <x:v>Coder A worked example</x:v>
      </x:c>
    </x:row>
    <x:row r="886">
      <x:c r="A886" s="16" t="n">
        <x:v>885</x:v>
      </x:c>
      <x:c r="B886" s="16" t="str">
        <x:v>EXPERIMENT</x:v>
      </x:c>
      <x:c r="C886" s="16" t="str">
        <x:f>'Experiment_Coding_KT004'!A13</x:f>
        <x:v>PILOT_01_E12</x:v>
      </x:c>
      <x:c r="D886" s="16" t="str">
        <x:v>metric_name_original</x:v>
      </x:c>
      <x:c r="E886" s="16" t="str">
        <x:f>'Experiment_Coding_KT004'!AP13</x:f>
        <x:v>AUC</x:v>
      </x:c>
      <x:c r="F886" s="16" t="str">
        <x:f>'Experiment_Coding_KT004'!BR13</x:f>
        <x:v>Sec. 3 Datasets; Appendix A; Table 2; Table 1; Appendix B</x:v>
      </x:c>
      <x:c r="G886" s="16" t="str">
        <x:v>HIGH</x:v>
      </x:c>
      <x:c r="H886" s="16" t="str">
        <x:v>N</x:v>
      </x:c>
      <x:c r="I886" s="16" t="str">
        <x:v>Coder A worked example</x:v>
      </x:c>
    </x:row>
    <x:row r="887">
      <x:c r="A887" s="16" t="n">
        <x:v>886</x:v>
      </x:c>
      <x:c r="B887" s="16" t="str">
        <x:v>EXPERIMENT</x:v>
      </x:c>
      <x:c r="C887" s="16" t="str">
        <x:f>'Experiment_Coding_KT004'!A13</x:f>
        <x:v>PILOT_01_E12</x:v>
      </x:c>
      <x:c r="D887" s="16" t="str">
        <x:v>metric_value_original</x:v>
      </x:c>
      <x:c r="E887" s="16" t="n">
        <x:f>'Experiment_Coding_KT004'!AQ13</x:f>
        <x:v>0.769</x:v>
      </x:c>
      <x:c r="F887" s="16" t="str">
        <x:f>'Experiment_Coding_KT004'!BR13</x:f>
        <x:v>Sec. 3 Datasets; Appendix A; Table 2; Table 1; Appendix B</x:v>
      </x:c>
      <x:c r="G887" s="16" t="str">
        <x:v>HIGH</x:v>
      </x:c>
      <x:c r="H887" s="16" t="str">
        <x:v>N</x:v>
      </x:c>
      <x:c r="I887" s="16" t="str">
        <x:v>Coder A worked example</x:v>
      </x:c>
    </x:row>
    <x:row r="888">
      <x:c r="A888" s="16" t="n">
        <x:v>887</x:v>
      </x:c>
      <x:c r="B888" s="16" t="str">
        <x:v>EXPERIMENT</x:v>
      </x:c>
      <x:c r="C888" s="16" t="str">
        <x:f>'Experiment_Coding_KT004'!A13</x:f>
        <x:v>PILOT_01_E12</x:v>
      </x:c>
      <x:c r="D888" s="16" t="str">
        <x:v>metric_scope</x:v>
      </x:c>
      <x:c r="E888" s="16" t="str">
        <x:f>'Experiment_Coding_KT004'!AR13</x:f>
        <x:v>OVERALL</x:v>
      </x:c>
      <x:c r="F888" s="16" t="str">
        <x:f>'Experiment_Coding_KT004'!BR13</x:f>
        <x:v>Sec. 3 Datasets; Appendix A; Table 2; Table 1; Appendix B</x:v>
      </x:c>
      <x:c r="G888" s="16" t="str">
        <x:v>HIGH</x:v>
      </x:c>
      <x:c r="H888" s="16" t="str">
        <x:v>Y</x:v>
      </x:c>
      <x:c r="I888" s="16" t="str">
        <x:v>Coder A worked example</x:v>
      </x:c>
    </x:row>
    <x:row r="889">
      <x:c r="A889" s="16" t="n">
        <x:v>888</x:v>
      </x:c>
      <x:c r="B889" s="16" t="str">
        <x:v>EXPERIMENT</x:v>
      </x:c>
      <x:c r="C889" s="16" t="str">
        <x:f>'Experiment_Coding_KT004'!A13</x:f>
        <x:v>PILOT_01_E12</x:v>
      </x:c>
      <x:c r="D889" s="16" t="str">
        <x:v>n_seeds</x:v>
      </x:c>
      <x:c r="E889" s="16" t="str">
        <x:f>'Experiment_Coding_KT004'!AS13</x:f>
        <x:v>NR</x:v>
      </x:c>
      <x:c r="F889" s="16" t="str">
        <x:f>'Experiment_Coding_KT004'!BR13</x:f>
        <x:v>Sec. 3 Datasets; Appendix A; Table 2; Table 1; Appendix B</x:v>
      </x:c>
      <x:c r="G889" s="16" t="str">
        <x:v>HIGH</x:v>
      </x:c>
      <x:c r="H889" s="16" t="str">
        <x:v>N</x:v>
      </x:c>
      <x:c r="I889" s="16" t="str">
        <x:v>Coder A worked example</x:v>
      </x:c>
    </x:row>
    <x:row r="890">
      <x:c r="A890" s="16" t="n">
        <x:v>889</x:v>
      </x:c>
      <x:c r="B890" s="16" t="str">
        <x:v>EXPERIMENT</x:v>
      </x:c>
      <x:c r="C890" s="16" t="str">
        <x:f>'Experiment_Coding_KT004'!A13</x:f>
        <x:v>PILOT_01_E12</x:v>
      </x:c>
      <x:c r="D890" s="16" t="str">
        <x:v>seed_values_reported</x:v>
      </x:c>
      <x:c r="E890" s="16" t="str">
        <x:f>'Experiment_Coding_KT004'!AT13</x:f>
        <x:v>NR</x:v>
      </x:c>
      <x:c r="F890" s="16" t="str">
        <x:f>'Experiment_Coding_KT004'!BR13</x:f>
        <x:v>Sec. 3 Datasets; Appendix A; Table 2; Table 1; Appendix B</x:v>
      </x:c>
      <x:c r="G890" s="16" t="str">
        <x:v>HIGH</x:v>
      </x:c>
      <x:c r="H890" s="16" t="str">
        <x:v>N</x:v>
      </x:c>
      <x:c r="I890" s="16" t="str">
        <x:v>Coder A worked example</x:v>
      </x:c>
    </x:row>
    <x:row r="891">
      <x:c r="A891" s="16" t="n">
        <x:v>890</x:v>
      </x:c>
      <x:c r="B891" s="16" t="str">
        <x:v>EXPERIMENT</x:v>
      </x:c>
      <x:c r="C891" s="16" t="str">
        <x:f>'Experiment_Coding_KT004'!A13</x:f>
        <x:v>PILOT_01_E12</x:v>
      </x:c>
      <x:c r="D891" s="16" t="str">
        <x:v>mean_std_reported</x:v>
      </x:c>
      <x:c r="E891" s="16" t="str">
        <x:f>'Experiment_Coding_KT004'!AU13</x:f>
        <x:v>N</x:v>
      </x:c>
      <x:c r="F891" s="16" t="str">
        <x:f>'Experiment_Coding_KT004'!BR13</x:f>
        <x:v>Sec. 3 Datasets; Appendix A; Table 2; Table 1; Appendix B</x:v>
      </x:c>
      <x:c r="G891" s="16" t="str">
        <x:v>HIGH</x:v>
      </x:c>
      <x:c r="H891" s="16" t="str">
        <x:v>Y</x:v>
      </x:c>
      <x:c r="I891" s="16" t="str">
        <x:v>Coder A worked example</x:v>
      </x:c>
    </x:row>
    <x:row r="892">
      <x:c r="A892" s="16" t="n">
        <x:v>891</x:v>
      </x:c>
      <x:c r="B892" s="16" t="str">
        <x:v>EXPERIMENT</x:v>
      </x:c>
      <x:c r="C892" s="16" t="str">
        <x:f>'Experiment_Coding_KT004'!A13</x:f>
        <x:v>PILOT_01_E12</x:v>
      </x:c>
      <x:c r="D892" s="16" t="str">
        <x:v>confidence_interval</x:v>
      </x:c>
      <x:c r="E892" s="16" t="str">
        <x:f>'Experiment_Coding_KT004'!AV13</x:f>
        <x:v>NR</x:v>
      </x:c>
      <x:c r="F892" s="16" t="str">
        <x:f>'Experiment_Coding_KT004'!BR13</x:f>
        <x:v>Sec. 3 Datasets; Appendix A; Table 2; Table 1; Appendix B</x:v>
      </x:c>
      <x:c r="G892" s="16" t="str">
        <x:v>HIGH</x:v>
      </x:c>
      <x:c r="H892" s="16" t="str">
        <x:v>N</x:v>
      </x:c>
      <x:c r="I892" s="16" t="str">
        <x:v>Coder A worked example</x:v>
      </x:c>
    </x:row>
    <x:row r="893">
      <x:c r="A893" s="16" t="n">
        <x:v>892</x:v>
      </x:c>
      <x:c r="B893" s="16" t="str">
        <x:v>EXPERIMENT</x:v>
      </x:c>
      <x:c r="C893" s="16" t="str">
        <x:f>'Experiment_Coding_KT004'!A13</x:f>
        <x:v>PILOT_01_E12</x:v>
      </x:c>
      <x:c r="D893" s="16" t="str">
        <x:v>bootstrap_unit</x:v>
      </x:c>
      <x:c r="E893" s="16" t="str">
        <x:f>'Experiment_Coding_KT004'!AW13</x:f>
        <x:v>NA</x:v>
      </x:c>
      <x:c r="F893" s="16" t="str">
        <x:f>'Experiment_Coding_KT004'!BR13</x:f>
        <x:v>Sec. 3 Datasets; Appendix A; Table 2; Table 1; Appendix B</x:v>
      </x:c>
      <x:c r="G893" s="16" t="str">
        <x:v>HIGH</x:v>
      </x:c>
      <x:c r="H893" s="16" t="str">
        <x:v>Y</x:v>
      </x:c>
      <x:c r="I893" s="16" t="str">
        <x:v>Coder A worked example</x:v>
      </x:c>
    </x:row>
    <x:row r="894">
      <x:c r="A894" s="16" t="n">
        <x:v>893</x:v>
      </x:c>
      <x:c r="B894" s="16" t="str">
        <x:v>EXPERIMENT</x:v>
      </x:c>
      <x:c r="C894" s="16" t="str">
        <x:f>'Experiment_Coding_KT004'!A13</x:f>
        <x:v>PILOT_01_E12</x:v>
      </x:c>
      <x:c r="D894" s="16" t="str">
        <x:v>statistical_test</x:v>
      </x:c>
      <x:c r="E894" s="16" t="str">
        <x:f>'Experiment_Coding_KT004'!AX13</x:f>
        <x:v>NR</x:v>
      </x:c>
      <x:c r="F894" s="16" t="str">
        <x:f>'Experiment_Coding_KT004'!BR13</x:f>
        <x:v>Sec. 3 Datasets; Appendix A; Table 2; Table 1; Appendix B</x:v>
      </x:c>
      <x:c r="G894" s="16" t="str">
        <x:v>HIGH</x:v>
      </x:c>
      <x:c r="H894" s="16" t="str">
        <x:v>N</x:v>
      </x:c>
      <x:c r="I894" s="16" t="str">
        <x:v>Coder A worked example</x:v>
      </x:c>
    </x:row>
    <x:row r="895">
      <x:c r="A895" s="16" t="n">
        <x:v>894</x:v>
      </x:c>
      <x:c r="B895" s="16" t="str">
        <x:v>EXPERIMENT</x:v>
      </x:c>
      <x:c r="C895" s="16" t="str">
        <x:f>'Experiment_Coding_KT004'!A13</x:f>
        <x:v>PILOT_01_E12</x:v>
      </x:c>
      <x:c r="D895" s="16" t="str">
        <x:v>multiple_comparison_correction</x:v>
      </x:c>
      <x:c r="E895" s="16" t="str">
        <x:f>'Experiment_Coding_KT004'!AY13</x:f>
        <x:v>NR</x:v>
      </x:c>
      <x:c r="F895" s="16" t="str">
        <x:f>'Experiment_Coding_KT004'!BR13</x:f>
        <x:v>Sec. 3 Datasets; Appendix A; Table 2; Table 1; Appendix B</x:v>
      </x:c>
      <x:c r="G895" s="16" t="str">
        <x:v>HIGH</x:v>
      </x:c>
      <x:c r="H895" s="16" t="str">
        <x:v>N</x:v>
      </x:c>
      <x:c r="I895" s="16" t="str">
        <x:v>Coder A worked example</x:v>
      </x:c>
    </x:row>
    <x:row r="896">
      <x:c r="A896" s="16" t="n">
        <x:v>895</x:v>
      </x:c>
      <x:c r="B896" s="16" t="str">
        <x:v>EXPERIMENT</x:v>
      </x:c>
      <x:c r="C896" s="16" t="str">
        <x:f>'Experiment_Coding_KT004'!A13</x:f>
        <x:v>PILOT_01_E12</x:v>
      </x:c>
      <x:c r="D896" s="16" t="str">
        <x:v>effect_size</x:v>
      </x:c>
      <x:c r="E896" s="16" t="str">
        <x:f>'Experiment_Coding_KT004'!AZ13</x:f>
        <x:v>NR</x:v>
      </x:c>
      <x:c r="F896" s="16" t="str">
        <x:f>'Experiment_Coding_KT004'!BR13</x:f>
        <x:v>Sec. 3 Datasets; Appendix A; Table 2; Table 1; Appendix B</x:v>
      </x:c>
      <x:c r="G896" s="16" t="str">
        <x:v>HIGH</x:v>
      </x:c>
      <x:c r="H896" s="16" t="str">
        <x:v>N</x:v>
      </x:c>
      <x:c r="I896" s="16" t="str">
        <x:v>Coder A worked example</x:v>
      </x:c>
    </x:row>
    <x:row r="897">
      <x:c r="A897" s="16" t="n">
        <x:v>896</x:v>
      </x:c>
      <x:c r="B897" s="16" t="str">
        <x:v>EXPERIMENT</x:v>
      </x:c>
      <x:c r="C897" s="16" t="str">
        <x:f>'Experiment_Coding_KT004'!A13</x:f>
        <x:v>PILOT_01_E12</x:v>
      </x:c>
      <x:c r="D897" s="16" t="str">
        <x:v>paired_design</x:v>
      </x:c>
      <x:c r="E897" s="16" t="str">
        <x:f>'Experiment_Coding_KT004'!BA13</x:f>
        <x:v>NR</x:v>
      </x:c>
      <x:c r="F897" s="16" t="str">
        <x:f>'Experiment_Coding_KT004'!BR13</x:f>
        <x:v>Sec. 3 Datasets; Appendix A; Table 2; Table 1; Appendix B</x:v>
      </x:c>
      <x:c r="G897" s="16" t="str">
        <x:v>HIGH</x:v>
      </x:c>
      <x:c r="H897" s="16" t="str">
        <x:v>Y</x:v>
      </x:c>
      <x:c r="I897" s="16" t="str">
        <x:v>Coder A worked example</x:v>
      </x:c>
    </x:row>
    <x:row r="898">
      <x:c r="A898" s="16" t="n">
        <x:v>897</x:v>
      </x:c>
      <x:c r="B898" s="16" t="str">
        <x:v>EXPERIMENT</x:v>
      </x:c>
      <x:c r="C898" s="16" t="str">
        <x:f>'Experiment_Coding_KT004'!A13</x:f>
        <x:v>PILOT_01_E12</x:v>
      </x:c>
      <x:c r="D898" s="16" t="str">
        <x:v>significance_threshold</x:v>
      </x:c>
      <x:c r="E898" s="16" t="str">
        <x:f>'Experiment_Coding_KT004'!BB13</x:f>
        <x:v>NR</x:v>
      </x:c>
      <x:c r="F898" s="16" t="str">
        <x:f>'Experiment_Coding_KT004'!BR13</x:f>
        <x:v>Sec. 3 Datasets; Appendix A; Table 2; Table 1; Appendix B</x:v>
      </x:c>
      <x:c r="G898" s="16" t="str">
        <x:v>HIGH</x:v>
      </x:c>
      <x:c r="H898" s="16" t="str">
        <x:v>N</x:v>
      </x:c>
      <x:c r="I898" s="16" t="str">
        <x:v>Coder A worked example</x:v>
      </x:c>
    </x:row>
    <x:row r="899">
      <x:c r="A899" s="16" t="n">
        <x:v>898</x:v>
      </x:c>
      <x:c r="B899" s="16" t="str">
        <x:v>EXPERIMENT</x:v>
      </x:c>
      <x:c r="C899" s="16" t="str">
        <x:f>'Experiment_Coding_KT004'!A13</x:f>
        <x:v>PILOT_01_E12</x:v>
      </x:c>
      <x:c r="D899" s="16" t="str">
        <x:v>parameter_count</x:v>
      </x:c>
      <x:c r="E899" s="16" t="str">
        <x:f>'Experiment_Coding_KT004'!BC13</x:f>
        <x:v>NR</x:v>
      </x:c>
      <x:c r="F899" s="16" t="str">
        <x:f>'Experiment_Coding_KT004'!BR13</x:f>
        <x:v>Sec. 3 Datasets; Appendix A; Table 2; Table 1; Appendix B</x:v>
      </x:c>
      <x:c r="G899" s="16" t="str">
        <x:v>HIGH</x:v>
      </x:c>
      <x:c r="H899" s="16" t="str">
        <x:v>N</x:v>
      </x:c>
      <x:c r="I899" s="16" t="str">
        <x:v>Coder A worked example</x:v>
      </x:c>
    </x:row>
    <x:row r="900">
      <x:c r="A900" s="16" t="n">
        <x:v>899</x:v>
      </x:c>
      <x:c r="B900" s="16" t="str">
        <x:v>EXPERIMENT</x:v>
      </x:c>
      <x:c r="C900" s="16" t="str">
        <x:f>'Experiment_Coding_KT004'!A13</x:f>
        <x:v>PILOT_01_E12</x:v>
      </x:c>
      <x:c r="D900" s="16" t="str">
        <x:v>train_time</x:v>
      </x:c>
      <x:c r="E900" s="16" t="str">
        <x:f>'Experiment_Coding_KT004'!BD13</x:f>
        <x:v>NR</x:v>
      </x:c>
      <x:c r="F900" s="16" t="str">
        <x:f>'Experiment_Coding_KT004'!BR13</x:f>
        <x:v>Sec. 3 Datasets; Appendix A; Table 2; Table 1; Appendix B</x:v>
      </x:c>
      <x:c r="G900" s="16" t="str">
        <x:v>HIGH</x:v>
      </x:c>
      <x:c r="H900" s="16" t="str">
        <x:v>N</x:v>
      </x:c>
      <x:c r="I900" s="16" t="str">
        <x:v>Coder A worked example</x:v>
      </x:c>
    </x:row>
    <x:row r="901">
      <x:c r="A901" s="16" t="n">
        <x:v>900</x:v>
      </x:c>
      <x:c r="B901" s="16" t="str">
        <x:v>EXPERIMENT</x:v>
      </x:c>
      <x:c r="C901" s="16" t="str">
        <x:f>'Experiment_Coding_KT004'!A13</x:f>
        <x:v>PILOT_01_E12</x:v>
      </x:c>
      <x:c r="D901" s="16" t="str">
        <x:v>time_per_epoch</x:v>
      </x:c>
      <x:c r="E901" s="16" t="str">
        <x:f>'Experiment_Coding_KT004'!BE13</x:f>
        <x:v>NR</x:v>
      </x:c>
      <x:c r="F901" s="16" t="str">
        <x:f>'Experiment_Coding_KT004'!BR13</x:f>
        <x:v>Sec. 3 Datasets; Appendix A; Table 2; Table 1; Appendix B</x:v>
      </x:c>
      <x:c r="G901" s="16" t="str">
        <x:v>HIGH</x:v>
      </x:c>
      <x:c r="H901" s="16" t="str">
        <x:v>N</x:v>
      </x:c>
      <x:c r="I901" s="16" t="str">
        <x:v>Coder A worked example</x:v>
      </x:c>
    </x:row>
    <x:row r="902">
      <x:c r="A902" s="16" t="n">
        <x:v>901</x:v>
      </x:c>
      <x:c r="B902" s="16" t="str">
        <x:v>EXPERIMENT</x:v>
      </x:c>
      <x:c r="C902" s="16" t="str">
        <x:f>'Experiment_Coding_KT004'!A13</x:f>
        <x:v>PILOT_01_E12</x:v>
      </x:c>
      <x:c r="D902" s="16" t="str">
        <x:v>inference_latency</x:v>
      </x:c>
      <x:c r="E902" s="16" t="str">
        <x:f>'Experiment_Coding_KT004'!BF13</x:f>
        <x:v>NR</x:v>
      </x:c>
      <x:c r="F902" s="16" t="str">
        <x:f>'Experiment_Coding_KT004'!BR13</x:f>
        <x:v>Sec. 3 Datasets; Appendix A; Table 2; Table 1; Appendix B</x:v>
      </x:c>
      <x:c r="G902" s="16" t="str">
        <x:v>HIGH</x:v>
      </x:c>
      <x:c r="H902" s="16" t="str">
        <x:v>N</x:v>
      </x:c>
      <x:c r="I902" s="16" t="str">
        <x:v>Coder A worked example</x:v>
      </x:c>
    </x:row>
    <x:row r="903">
      <x:c r="A903" s="16" t="n">
        <x:v>902</x:v>
      </x:c>
      <x:c r="B903" s="16" t="str">
        <x:v>EXPERIMENT</x:v>
      </x:c>
      <x:c r="C903" s="16" t="str">
        <x:f>'Experiment_Coding_KT004'!A13</x:f>
        <x:v>PILOT_01_E12</x:v>
      </x:c>
      <x:c r="D903" s="16" t="str">
        <x:v>throughput</x:v>
      </x:c>
      <x:c r="E903" s="16" t="str">
        <x:f>'Experiment_Coding_KT004'!BG13</x:f>
        <x:v>NR</x:v>
      </x:c>
      <x:c r="F903" s="16" t="str">
        <x:f>'Experiment_Coding_KT004'!BR13</x:f>
        <x:v>Sec. 3 Datasets; Appendix A; Table 2; Table 1; Appendix B</x:v>
      </x:c>
      <x:c r="G903" s="16" t="str">
        <x:v>HIGH</x:v>
      </x:c>
      <x:c r="H903" s="16" t="str">
        <x:v>N</x:v>
      </x:c>
      <x:c r="I903" s="16" t="str">
        <x:v>Coder A worked example</x:v>
      </x:c>
    </x:row>
    <x:row r="904">
      <x:c r="A904" s="16" t="n">
        <x:v>903</x:v>
      </x:c>
      <x:c r="B904" s="16" t="str">
        <x:v>EXPERIMENT</x:v>
      </x:c>
      <x:c r="C904" s="16" t="str">
        <x:f>'Experiment_Coding_KT004'!A13</x:f>
        <x:v>PILOT_01_E12</x:v>
      </x:c>
      <x:c r="D904" s="16" t="str">
        <x:v>cpu_ram</x:v>
      </x:c>
      <x:c r="E904" s="16" t="str">
        <x:f>'Experiment_Coding_KT004'!BH13</x:f>
        <x:v>NR</x:v>
      </x:c>
      <x:c r="F904" s="16" t="str">
        <x:f>'Experiment_Coding_KT004'!BR13</x:f>
        <x:v>Sec. 3 Datasets; Appendix A; Table 2; Table 1; Appendix B</x:v>
      </x:c>
      <x:c r="G904" s="16" t="str">
        <x:v>HIGH</x:v>
      </x:c>
      <x:c r="H904" s="16" t="str">
        <x:v>N</x:v>
      </x:c>
      <x:c r="I904" s="16" t="str">
        <x:v>Coder A worked example</x:v>
      </x:c>
    </x:row>
    <x:row r="905">
      <x:c r="A905" s="16" t="n">
        <x:v>904</x:v>
      </x:c>
      <x:c r="B905" s="16" t="str">
        <x:v>EXPERIMENT</x:v>
      </x:c>
      <x:c r="C905" s="16" t="str">
        <x:f>'Experiment_Coding_KT004'!A13</x:f>
        <x:v>PILOT_01_E12</x:v>
      </x:c>
      <x:c r="D905" s="16" t="str">
        <x:v>gpu_vram</x:v>
      </x:c>
      <x:c r="E905" s="16" t="str">
        <x:f>'Experiment_Coding_KT004'!BI13</x:f>
        <x:v>NR</x:v>
      </x:c>
      <x:c r="F905" s="16" t="str">
        <x:f>'Experiment_Coding_KT004'!BR13</x:f>
        <x:v>Sec. 3 Datasets; Appendix A; Table 2; Table 1; Appendix B</x:v>
      </x:c>
      <x:c r="G905" s="16" t="str">
        <x:v>HIGH</x:v>
      </x:c>
      <x:c r="H905" s="16" t="str">
        <x:v>N</x:v>
      </x:c>
      <x:c r="I905" s="16" t="str">
        <x:v>Coder A worked example</x:v>
      </x:c>
    </x:row>
    <x:row r="906">
      <x:c r="A906" s="16" t="n">
        <x:v>905</x:v>
      </x:c>
      <x:c r="B906" s="16" t="str">
        <x:v>EXPERIMENT</x:v>
      </x:c>
      <x:c r="C906" s="16" t="str">
        <x:f>'Experiment_Coding_KT004'!A13</x:f>
        <x:v>PILOT_01_E12</x:v>
      </x:c>
      <x:c r="D906" s="16" t="str">
        <x:v>hardware</x:v>
      </x:c>
      <x:c r="E906" s="16" t="str">
        <x:f>'Experiment_Coding_KT004'!BJ13</x:f>
        <x:v>NR</x:v>
      </x:c>
      <x:c r="F906" s="16" t="str">
        <x:f>'Experiment_Coding_KT004'!BR13</x:f>
        <x:v>Sec. 3 Datasets; Appendix A; Table 2; Table 1; Appendix B</x:v>
      </x:c>
      <x:c r="G906" s="16" t="str">
        <x:v>HIGH</x:v>
      </x:c>
      <x:c r="H906" s="16" t="str">
        <x:v>N</x:v>
      </x:c>
      <x:c r="I906" s="16" t="str">
        <x:v>Coder A worked example</x:v>
      </x:c>
    </x:row>
    <x:row r="907">
      <x:c r="A907" s="16" t="n">
        <x:v>906</x:v>
      </x:c>
      <x:c r="B907" s="16" t="str">
        <x:v>EXPERIMENT</x:v>
      </x:c>
      <x:c r="C907" s="16" t="str">
        <x:f>'Experiment_Coding_KT004'!A13</x:f>
        <x:v>PILOT_01_E12</x:v>
      </x:c>
      <x:c r="D907" s="16" t="str">
        <x:v>graph_construction_time</x:v>
      </x:c>
      <x:c r="E907" s="16" t="str">
        <x:f>'Experiment_Coding_KT004'!BK13</x:f>
        <x:v>NR</x:v>
      </x:c>
      <x:c r="F907" s="16" t="str">
        <x:f>'Experiment_Coding_KT004'!BR13</x:f>
        <x:v>Sec. 3 Datasets; Appendix A; Table 2; Table 1; Appendix B</x:v>
      </x:c>
      <x:c r="G907" s="16" t="str">
        <x:v>HIGH</x:v>
      </x:c>
      <x:c r="H907" s="16" t="str">
        <x:v>N</x:v>
      </x:c>
      <x:c r="I907" s="16" t="str">
        <x:v>Coder A worked example</x:v>
      </x:c>
    </x:row>
    <x:row r="908">
      <x:c r="A908" s="16" t="n">
        <x:v>907</x:v>
      </x:c>
      <x:c r="B908" s="16" t="str">
        <x:v>EXPERIMENT</x:v>
      </x:c>
      <x:c r="C908" s="16" t="str">
        <x:f>'Experiment_Coding_KT004'!A13</x:f>
        <x:v>PILOT_01_E12</x:v>
      </x:c>
      <x:c r="D908" s="16" t="str">
        <x:v>complexity_formula</x:v>
      </x:c>
      <x:c r="E908" s="16" t="str">
        <x:f>'Experiment_Coding_KT004'!BL13</x:f>
        <x:v>O(KN^2) -&gt; O(KN) for modified VAE edge inference</x:v>
      </x:c>
      <x:c r="F908" s="16" t="str">
        <x:f>'Experiment_Coding_KT004'!BR13</x:f>
        <x:v>Sec. 3 Datasets; Appendix A; Table 2; Table 1; Appendix B</x:v>
      </x:c>
      <x:c r="G908" s="16" t="str">
        <x:v>HIGH</x:v>
      </x:c>
      <x:c r="H908" s="16" t="str">
        <x:v>N</x:v>
      </x:c>
      <x:c r="I908" s="16" t="str">
        <x:v>Coder A worked example</x:v>
      </x:c>
    </x:row>
    <x:row r="909">
      <x:c r="A909" s="16" t="n">
        <x:v>908</x:v>
      </x:c>
      <x:c r="B909" s="16" t="str">
        <x:v>EXPERIMENT</x:v>
      </x:c>
      <x:c r="C909" s="16" t="str">
        <x:f>'Experiment_Coding_KT004'!A13</x:f>
        <x:v>PILOT_01_E12</x:v>
      </x:c>
      <x:c r="D909" s="16" t="str">
        <x:v>scale_up_experiment</x:v>
      </x:c>
      <x:c r="E909" s="16" t="str">
        <x:f>'Experiment_Coding_KT004'!BM13</x:f>
        <x:v>N</x:v>
      </x:c>
      <x:c r="F909" s="16" t="str">
        <x:f>'Experiment_Coding_KT004'!BR13</x:f>
        <x:v>Sec. 3 Datasets; Appendix A; Table 2; Table 1; Appendix B</x:v>
      </x:c>
      <x:c r="G909" s="16" t="str">
        <x:v>HIGH</x:v>
      </x:c>
      <x:c r="H909" s="16" t="str">
        <x:v>Y</x:v>
      </x:c>
      <x:c r="I909" s="16" t="str">
        <x:v>Coder A worked example</x:v>
      </x:c>
    </x:row>
    <x:row r="910">
      <x:c r="A910" s="16" t="n">
        <x:v>909</x:v>
      </x:c>
      <x:c r="B910" s="16" t="str">
        <x:v>EXPERIMENT</x:v>
      </x:c>
      <x:c r="C910" s="16" t="str">
        <x:f>'Experiment_Coding_KT004'!A13</x:f>
        <x:v>PILOT_01_E12</x:v>
      </x:c>
      <x:c r="D910" s="16" t="str">
        <x:v>oom_timeout_reported</x:v>
      </x:c>
      <x:c r="E910" s="16" t="str">
        <x:f>'Experiment_Coding_KT004'!BN13</x:f>
        <x:v>NR</x:v>
      </x:c>
      <x:c r="F910" s="16" t="str">
        <x:f>'Experiment_Coding_KT004'!BR13</x:f>
        <x:v>Sec. 3 Datasets; Appendix A; Table 2; Table 1; Appendix B</x:v>
      </x:c>
      <x:c r="G910" s="16" t="str">
        <x:v>HIGH</x:v>
      </x:c>
      <x:c r="H910" s="16" t="str">
        <x:v>Y</x:v>
      </x:c>
      <x:c r="I910" s="16" t="str">
        <x:v>Coder A worked example</x:v>
      </x:c>
    </x:row>
  </x:sheetData>
  <x:pageMargins left="0.7" right="0.7" top="0.75" bottom="0.75" header="0.3" footer="0.3"/>
  <x:tableParts count="1">
    <x:tablePart xmlns:r="http://schemas.openxmlformats.org/officeDocument/2006/relationships" r:id="R151199d03c954b8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7" hidden="0" customWidth="1"/>
    <x:col min="4" max="4" width="34" hidden="0" customWidth="1"/>
    <x:col min="5" max="5" width="30" hidden="0" customWidth="1"/>
    <x:col min="6" max="6" width="44" hidden="0" customWidth="1"/>
    <x:col min="7" max="7" width="12" hidden="0" customWidth="1"/>
    <x:col min="8" max="8" width="14" hidden="0" customWidth="1"/>
    <x:col min="9" max="9" width="30" hidden="0" customWidth="1"/>
  </x:cols>
  <x:sheetData>
    <x:row r="1">
      <x:c r="A1" s="58" t="str">
        <x:v>Seq</x:v>
      </x:c>
      <x:c r="B1" s="58" t="str">
        <x:v>Level</x:v>
      </x:c>
      <x:c r="C1" s="58" t="str">
        <x:v>Entity ID</x:v>
      </x:c>
      <x:c r="D1" s="58" t="str">
        <x:v>Field</x:v>
      </x:c>
      <x:c r="E1" s="58" t="str">
        <x:v>Coder Value</x:v>
      </x:c>
      <x:c r="F1" s="58" t="str">
        <x:v>Evidence Locator</x:v>
      </x:c>
      <x:c r="G1" s="58" t="str">
        <x:v>Confidence</x:v>
      </x:c>
      <x:c r="H1" s="58" t="str">
        <x:v>Kappa Eligible</x:v>
      </x:c>
      <x:c r="I1" s="58" t="str">
        <x:v>Notes</x:v>
      </x:c>
    </x:row>
    <x:row r="2">
      <x:c r="A2" s="16" t="n">
        <x:v>1</x:v>
      </x:c>
      <x:c r="B2" s="16" t="str">
        <x:v>PAPER</x:v>
      </x:c>
      <x:c r="C2" s="16" t="str">
        <x:f>Coder_A!C2</x:f>
        <x:v>PILOT_01</x:v>
      </x:c>
      <x:c r="D2" s="16" t="str">
        <x:v>kt_central_task</x:v>
      </x:c>
      <x:c r="E2" s="16" t="str"/>
      <x:c r="F2" s="16" t="str"/>
      <x:c r="G2" s="16" t="str"/>
      <x:c r="H2" s="16" t="str">
        <x:v>Y</x:v>
      </x:c>
      <x:c r="I2" s="16" t="str"/>
    </x:row>
    <x:row r="3">
      <x:c r="A3" s="16" t="n">
        <x:v>2</x:v>
      </x:c>
      <x:c r="B3" s="16" t="str">
        <x:v>PAPER</x:v>
      </x:c>
      <x:c r="C3" s="16" t="str">
        <x:f>Coder_A!C3</x:f>
        <x:v>PILOT_01</x:v>
      </x:c>
      <x:c r="D3" s="16" t="str">
        <x:v>G_criterion</x:v>
      </x:c>
      <x:c r="E3" s="16" t="str"/>
      <x:c r="F3" s="16" t="str"/>
      <x:c r="G3" s="16" t="str"/>
      <x:c r="H3" s="16" t="str">
        <x:v>Y</x:v>
      </x:c>
      <x:c r="I3" s="16" t="str"/>
    </x:row>
    <x:row r="4">
      <x:c r="A4" s="16" t="n">
        <x:v>3</x:v>
      </x:c>
      <x:c r="B4" s="16" t="str">
        <x:v>PAPER</x:v>
      </x:c>
      <x:c r="C4" s="16" t="str">
        <x:f>Coder_A!C4</x:f>
        <x:v>PILOT_01</x:v>
      </x:c>
      <x:c r="D4" s="16" t="str">
        <x:v>S_criterion</x:v>
      </x:c>
      <x:c r="E4" s="16" t="str"/>
      <x:c r="F4" s="16" t="str"/>
      <x:c r="G4" s="16" t="str"/>
      <x:c r="H4" s="16" t="str">
        <x:v>Y</x:v>
      </x:c>
      <x:c r="I4" s="16" t="str"/>
    </x:row>
    <x:row r="5">
      <x:c r="A5" s="16" t="n">
        <x:v>4</x:v>
      </x:c>
      <x:c r="B5" s="16" t="str">
        <x:v>PAPER</x:v>
      </x:c>
      <x:c r="C5" s="16" t="str">
        <x:f>Coder_A!C5</x:f>
        <x:v>PILOT_01</x:v>
      </x:c>
      <x:c r="D5" s="16" t="str">
        <x:v>primary_gateway_pass</x:v>
      </x:c>
      <x:c r="E5" s="16" t="str"/>
      <x:c r="F5" s="16" t="str"/>
      <x:c r="G5" s="16" t="str"/>
      <x:c r="H5" s="16" t="str">
        <x:v>Y</x:v>
      </x:c>
      <x:c r="I5" s="16" t="str"/>
    </x:row>
    <x:row r="6">
      <x:c r="A6" s="16" t="n">
        <x:v>5</x:v>
      </x:c>
      <x:c r="B6" s="16" t="str">
        <x:v>PAPER</x:v>
      </x:c>
      <x:c r="C6" s="16" t="str">
        <x:f>Coder_A!C6</x:f>
        <x:v>PILOT_01</x:v>
      </x:c>
      <x:c r="D6" s="16" t="str">
        <x:v>corpus_status</x:v>
      </x:c>
      <x:c r="E6" s="16" t="str"/>
      <x:c r="F6" s="16" t="str"/>
      <x:c r="G6" s="16" t="str"/>
      <x:c r="H6" s="16" t="str">
        <x:v>Y</x:v>
      </x:c>
      <x:c r="I6" s="16" t="str"/>
    </x:row>
    <x:row r="7">
      <x:c r="A7" s="16" t="n">
        <x:v>6</x:v>
      </x:c>
      <x:c r="B7" s="16" t="str">
        <x:v>PAPER</x:v>
      </x:c>
      <x:c r="C7" s="16" t="str">
        <x:f>Coder_A!C7</x:f>
        <x:v>PILOT_01</x:v>
      </x:c>
      <x:c r="D7" s="16" t="str">
        <x:v>role_in_survey</x:v>
      </x:c>
      <x:c r="E7" s="16" t="str"/>
      <x:c r="F7" s="16" t="str"/>
      <x:c r="G7" s="16" t="str"/>
      <x:c r="H7" s="16" t="str">
        <x:v>Y</x:v>
      </x:c>
      <x:c r="I7" s="16" t="str"/>
    </x:row>
    <x:row r="8">
      <x:c r="A8" s="16" t="n">
        <x:v>7</x:v>
      </x:c>
      <x:c r="B8" s="16" t="str">
        <x:v>PAPER</x:v>
      </x:c>
      <x:c r="C8" s="16" t="str">
        <x:f>Coder_A!C8</x:f>
        <x:v>PILOT_01</x:v>
      </x:c>
      <x:c r="D8" s="16" t="str">
        <x:v>code_available</x:v>
      </x:c>
      <x:c r="E8" s="16" t="str"/>
      <x:c r="F8" s="16" t="str"/>
      <x:c r="G8" s="16" t="str"/>
      <x:c r="H8" s="16" t="str">
        <x:v>Y</x:v>
      </x:c>
      <x:c r="I8" s="16" t="str"/>
    </x:row>
    <x:row r="9">
      <x:c r="A9" s="16" t="n">
        <x:v>8</x:v>
      </x:c>
      <x:c r="B9" s="16" t="str">
        <x:v>PAPER</x:v>
      </x:c>
      <x:c r="C9" s="16" t="str">
        <x:f>Coder_A!C9</x:f>
        <x:v>PILOT_01</x:v>
      </x:c>
      <x:c r="D9" s="16" t="str">
        <x:v>data_available</x:v>
      </x:c>
      <x:c r="E9" s="16" t="str"/>
      <x:c r="F9" s="16" t="str"/>
      <x:c r="G9" s="16" t="str"/>
      <x:c r="H9" s="16" t="str">
        <x:v>Y</x:v>
      </x:c>
      <x:c r="I9" s="16" t="str"/>
    </x:row>
    <x:row r="10">
      <x:c r="A10" s="16" t="n">
        <x:v>9</x:v>
      </x:c>
      <x:c r="B10" s="16" t="str">
        <x:v>PAPER</x:v>
      </x:c>
      <x:c r="C10" s="16" t="str">
        <x:f>Coder_A!C10</x:f>
        <x:v>PILOT_01</x:v>
      </x:c>
      <x:c r="D10" s="16" t="str">
        <x:v>config_available</x:v>
      </x:c>
      <x:c r="E10" s="16" t="str"/>
      <x:c r="F10" s="16" t="str"/>
      <x:c r="G10" s="16" t="str"/>
      <x:c r="H10" s="16" t="str">
        <x:v>Y</x:v>
      </x:c>
      <x:c r="I10" s="16" t="str"/>
    </x:row>
    <x:row r="11">
      <x:c r="A11" s="16" t="n">
        <x:v>10</x:v>
      </x:c>
      <x:c r="B11" s="16" t="str">
        <x:v>PAPER</x:v>
      </x:c>
      <x:c r="C11" s="16" t="str">
        <x:f>Coder_A!C11</x:f>
        <x:v>PILOT_01</x:v>
      </x:c>
      <x:c r="D11" s="16" t="str">
        <x:v>seed_available</x:v>
      </x:c>
      <x:c r="E11" s="16" t="str"/>
      <x:c r="F11" s="16" t="str"/>
      <x:c r="G11" s="16" t="str"/>
      <x:c r="H11" s="16" t="str">
        <x:v>Y</x:v>
      </x:c>
      <x:c r="I11" s="16" t="str"/>
    </x:row>
    <x:row r="12">
      <x:c r="A12" s="16" t="n">
        <x:v>11</x:v>
      </x:c>
      <x:c r="B12" s="16" t="str">
        <x:v>PAPER</x:v>
      </x:c>
      <x:c r="C12" s="16" t="str">
        <x:f>Coder_A!C12</x:f>
        <x:v>PILOT_01</x:v>
      </x:c>
      <x:c r="D12" s="16" t="str">
        <x:v>environment_available</x:v>
      </x:c>
      <x:c r="E12" s="16" t="str"/>
      <x:c r="F12" s="16" t="str"/>
      <x:c r="G12" s="16" t="str"/>
      <x:c r="H12" s="16" t="str">
        <x:v>Y</x:v>
      </x:c>
      <x:c r="I12" s="16" t="str"/>
    </x:row>
    <x:row r="13">
      <x:c r="A13" s="16" t="n">
        <x:v>12</x:v>
      </x:c>
      <x:c r="B13" s="16" t="str">
        <x:v>PAPER</x:v>
      </x:c>
      <x:c r="C13" s="16" t="str">
        <x:f>Coder_A!C13</x:f>
        <x:v>PILOT_01</x:v>
      </x:c>
      <x:c r="D13" s="16" t="str">
        <x:v>artifact_archive_available</x:v>
      </x:c>
      <x:c r="E13" s="16" t="str"/>
      <x:c r="F13" s="16" t="str"/>
      <x:c r="G13" s="16" t="str"/>
      <x:c r="H13" s="16" t="str">
        <x:v>Y</x:v>
      </x:c>
      <x:c r="I13" s="16" t="str"/>
    </x:row>
    <x:row r="14">
      <x:c r="A14" s="16" t="n">
        <x:v>13</x:v>
      </x:c>
      <x:c r="B14" s="16" t="str">
        <x:v>PAPER</x:v>
      </x:c>
      <x:c r="C14" s="16" t="str">
        <x:f>Coder_A!C14</x:f>
        <x:v>PILOT_01</x:v>
      </x:c>
      <x:c r="D14" s="16" t="str">
        <x:v>QA1</x:v>
      </x:c>
      <x:c r="E14" s="16" t="str"/>
      <x:c r="F14" s="16" t="str"/>
      <x:c r="G14" s="16" t="str"/>
      <x:c r="H14" s="16" t="str">
        <x:v>N</x:v>
      </x:c>
      <x:c r="I14" s="16" t="str"/>
    </x:row>
    <x:row r="15">
      <x:c r="A15" s="16" t="n">
        <x:v>14</x:v>
      </x:c>
      <x:c r="B15" s="16" t="str">
        <x:v>PAPER</x:v>
      </x:c>
      <x:c r="C15" s="16" t="str">
        <x:f>Coder_A!C15</x:f>
        <x:v>PILOT_01</x:v>
      </x:c>
      <x:c r="D15" s="16" t="str">
        <x:v>QA2</x:v>
      </x:c>
      <x:c r="E15" s="16" t="str"/>
      <x:c r="F15" s="16" t="str"/>
      <x:c r="G15" s="16" t="str"/>
      <x:c r="H15" s="16" t="str">
        <x:v>N</x:v>
      </x:c>
      <x:c r="I15" s="16" t="str"/>
    </x:row>
    <x:row r="16">
      <x:c r="A16" s="16" t="n">
        <x:v>15</x:v>
      </x:c>
      <x:c r="B16" s="16" t="str">
        <x:v>PAPER</x:v>
      </x:c>
      <x:c r="C16" s="16" t="str">
        <x:f>Coder_A!C16</x:f>
        <x:v>PILOT_01</x:v>
      </x:c>
      <x:c r="D16" s="16" t="str">
        <x:v>QA3</x:v>
      </x:c>
      <x:c r="E16" s="16" t="str"/>
      <x:c r="F16" s="16" t="str"/>
      <x:c r="G16" s="16" t="str"/>
      <x:c r="H16" s="16" t="str">
        <x:v>N</x:v>
      </x:c>
      <x:c r="I16" s="16" t="str"/>
    </x:row>
    <x:row r="17">
      <x:c r="A17" s="16" t="n">
        <x:v>16</x:v>
      </x:c>
      <x:c r="B17" s="16" t="str">
        <x:v>PAPER</x:v>
      </x:c>
      <x:c r="C17" s="16" t="str">
        <x:f>Coder_A!C17</x:f>
        <x:v>PILOT_01</x:v>
      </x:c>
      <x:c r="D17" s="16" t="str">
        <x:v>QA4</x:v>
      </x:c>
      <x:c r="E17" s="16" t="str"/>
      <x:c r="F17" s="16" t="str"/>
      <x:c r="G17" s="16" t="str"/>
      <x:c r="H17" s="16" t="str">
        <x:v>N</x:v>
      </x:c>
      <x:c r="I17" s="16" t="str"/>
    </x:row>
    <x:row r="18">
      <x:c r="A18" s="16" t="n">
        <x:v>17</x:v>
      </x:c>
      <x:c r="B18" s="16" t="str">
        <x:v>PAPER</x:v>
      </x:c>
      <x:c r="C18" s="16" t="str">
        <x:f>Coder_A!C18</x:f>
        <x:v>PILOT_01</x:v>
      </x:c>
      <x:c r="D18" s="16" t="str">
        <x:v>QA5</x:v>
      </x:c>
      <x:c r="E18" s="16" t="str"/>
      <x:c r="F18" s="16" t="str"/>
      <x:c r="G18" s="16" t="str"/>
      <x:c r="H18" s="16" t="str">
        <x:v>N</x:v>
      </x:c>
      <x:c r="I18" s="16" t="str"/>
    </x:row>
    <x:row r="19">
      <x:c r="A19" s="16" t="n">
        <x:v>18</x:v>
      </x:c>
      <x:c r="B19" s="16" t="str">
        <x:v>PAPER</x:v>
      </x:c>
      <x:c r="C19" s="16" t="str">
        <x:f>Coder_A!C19</x:f>
        <x:v>PILOT_01</x:v>
      </x:c>
      <x:c r="D19" s="16" t="str">
        <x:v>QA6</x:v>
      </x:c>
      <x:c r="E19" s="16" t="str"/>
      <x:c r="F19" s="16" t="str"/>
      <x:c r="G19" s="16" t="str"/>
      <x:c r="H19" s="16" t="str">
        <x:v>N</x:v>
      </x:c>
      <x:c r="I19" s="16" t="str"/>
    </x:row>
    <x:row r="20">
      <x:c r="A20" s="16" t="n">
        <x:v>19</x:v>
      </x:c>
      <x:c r="B20" s="16" t="str">
        <x:v>PAPER</x:v>
      </x:c>
      <x:c r="C20" s="16" t="str">
        <x:f>Coder_A!C20</x:f>
        <x:v>PILOT_01</x:v>
      </x:c>
      <x:c r="D20" s="16" t="str">
        <x:v>QA7</x:v>
      </x:c>
      <x:c r="E20" s="16" t="str"/>
      <x:c r="F20" s="16" t="str"/>
      <x:c r="G20" s="16" t="str"/>
      <x:c r="H20" s="16" t="str">
        <x:v>N</x:v>
      </x:c>
      <x:c r="I20" s="16" t="str"/>
    </x:row>
    <x:row r="21">
      <x:c r="A21" s="16" t="n">
        <x:v>20</x:v>
      </x:c>
      <x:c r="B21" s="16" t="str">
        <x:v>PAPER</x:v>
      </x:c>
      <x:c r="C21" s="16" t="str">
        <x:f>Coder_A!C21</x:f>
        <x:v>PILOT_01</x:v>
      </x:c>
      <x:c r="D21" s="16" t="str">
        <x:v>QA8</x:v>
      </x:c>
      <x:c r="E21" s="16" t="str"/>
      <x:c r="F21" s="16" t="str"/>
      <x:c r="G21" s="16" t="str"/>
      <x:c r="H21" s="16" t="str">
        <x:v>N</x:v>
      </x:c>
      <x:c r="I21" s="16" t="str"/>
    </x:row>
    <x:row r="22">
      <x:c r="A22" s="16" t="n">
        <x:v>21</x:v>
      </x:c>
      <x:c r="B22" s="16" t="str">
        <x:v>PAPER</x:v>
      </x:c>
      <x:c r="C22" s="16" t="str">
        <x:f>Coder_A!C22</x:f>
        <x:v>PILOT_01</x:v>
      </x:c>
      <x:c r="D22" s="16" t="str">
        <x:v>quality_tier</x:v>
      </x:c>
      <x:c r="E22" s="16" t="str"/>
      <x:c r="F22" s="16" t="str"/>
      <x:c r="G22" s="16" t="str"/>
      <x:c r="H22" s="16" t="str">
        <x:v>Y</x:v>
      </x:c>
      <x:c r="I22" s="16" t="str"/>
    </x:row>
    <x:row r="23">
      <x:c r="A23" s="16" t="n">
        <x:v>22</x:v>
      </x:c>
      <x:c r="B23" s="16" t="str">
        <x:v>MODEL</x:v>
      </x:c>
      <x:c r="C23" s="16" t="str">
        <x:f>Coder_A!C23</x:f>
        <x:v>PILOT_01_M01</x:v>
      </x:c>
      <x:c r="D23" s="16" t="str">
        <x:v>graph_source</x:v>
      </x:c>
      <x:c r="E23" s="16" t="str"/>
      <x:c r="F23" s="16" t="str"/>
      <x:c r="G23" s="16" t="str"/>
      <x:c r="H23" s="16" t="str">
        <x:v>Y</x:v>
      </x:c>
      <x:c r="I23" s="16" t="str"/>
    </x:row>
    <x:row r="24">
      <x:c r="A24" s="16" t="n">
        <x:v>23</x:v>
      </x:c>
      <x:c r="B24" s="16" t="str">
        <x:v>MODEL</x:v>
      </x:c>
      <x:c r="C24" s="16" t="str">
        <x:f>Coder_A!C24</x:f>
        <x:v>PILOT_01_M01</x:v>
      </x:c>
      <x:c r="D24" s="16" t="str">
        <x:v>graph_provenance</x:v>
      </x:c>
      <x:c r="E24" s="16" t="str"/>
      <x:c r="F24" s="16" t="str"/>
      <x:c r="G24" s="16" t="str"/>
      <x:c r="H24" s="16" t="str">
        <x:v>Y</x:v>
      </x:c>
      <x:c r="I24" s="16" t="str"/>
    </x:row>
    <x:row r="25">
      <x:c r="A25" s="16" t="n">
        <x:v>24</x:v>
      </x:c>
      <x:c r="B25" s="16" t="str">
        <x:v>MODEL</x:v>
      </x:c>
      <x:c r="C25" s="16" t="str">
        <x:f>Coder_A!C25</x:f>
        <x:v>PILOT_01_M01</x:v>
      </x:c>
      <x:c r="D25" s="16" t="str">
        <x:v>graph_leakage_risk</x:v>
      </x:c>
      <x:c r="E25" s="16" t="str"/>
      <x:c r="F25" s="16" t="str"/>
      <x:c r="G25" s="16" t="str"/>
      <x:c r="H25" s="16" t="str">
        <x:v>Y</x:v>
      </x:c>
      <x:c r="I25" s="16" t="str"/>
    </x:row>
    <x:row r="26">
      <x:c r="A26" s="16" t="n">
        <x:v>25</x:v>
      </x:c>
      <x:c r="B26" s="16" t="str">
        <x:v>MODEL</x:v>
      </x:c>
      <x:c r="C26" s="16" t="str">
        <x:f>Coder_A!C26</x:f>
        <x:v>PILOT_01_M01</x:v>
      </x:c>
      <x:c r="D26" s="16" t="str">
        <x:v>graph_construction_uses_response_labels</x:v>
      </x:c>
      <x:c r="E26" s="16" t="str"/>
      <x:c r="F26" s="16" t="str"/>
      <x:c r="G26" s="16" t="str"/>
      <x:c r="H26" s="16" t="str">
        <x:v>Y</x:v>
      </x:c>
      <x:c r="I26" s="16" t="str"/>
    </x:row>
    <x:row r="27">
      <x:c r="A27" s="16" t="n">
        <x:v>26</x:v>
      </x:c>
      <x:c r="B27" s="16" t="str">
        <x:v>MODEL</x:v>
      </x:c>
      <x:c r="C27" s="16" t="str">
        <x:f>Coder_A!C27</x:f>
        <x:v>PILOT_01_M01</x:v>
      </x:c>
      <x:c r="D27" s="16" t="str">
        <x:v>graph_construction_uses_test_partition</x:v>
      </x:c>
      <x:c r="E27" s="16" t="str"/>
      <x:c r="F27" s="16" t="str"/>
      <x:c r="G27" s="16" t="str"/>
      <x:c r="H27" s="16" t="str">
        <x:v>Y</x:v>
      </x:c>
      <x:c r="I27" s="16" t="str"/>
    </x:row>
    <x:row r="28">
      <x:c r="A28" s="16" t="n">
        <x:v>27</x:v>
      </x:c>
      <x:c r="B28" s="16" t="str">
        <x:v>MODEL</x:v>
      </x:c>
      <x:c r="C28" s="16" t="str">
        <x:f>Coder_A!C28</x:f>
        <x:v>PILOT_01_M01</x:v>
      </x:c>
      <x:c r="D28" s="16" t="str">
        <x:v>graph_representation</x:v>
      </x:c>
      <x:c r="E28" s="16" t="str"/>
      <x:c r="F28" s="16" t="str"/>
      <x:c r="G28" s="16" t="str"/>
      <x:c r="H28" s="16" t="str">
        <x:v>Y</x:v>
      </x:c>
      <x:c r="I28" s="16" t="str"/>
    </x:row>
    <x:row r="29">
      <x:c r="A29" s="16" t="n">
        <x:v>28</x:v>
      </x:c>
      <x:c r="B29" s="16" t="str">
        <x:v>MODEL</x:v>
      </x:c>
      <x:c r="C29" s="16" t="str">
        <x:f>Coder_A!C29</x:f>
        <x:v>PILOT_01_M01</x:v>
      </x:c>
      <x:c r="D29" s="16" t="str">
        <x:v>directed</x:v>
      </x:c>
      <x:c r="E29" s="16" t="str"/>
      <x:c r="F29" s="16" t="str"/>
      <x:c r="G29" s="16" t="str"/>
      <x:c r="H29" s="16" t="str">
        <x:v>Y</x:v>
      </x:c>
      <x:c r="I29" s="16" t="str"/>
    </x:row>
    <x:row r="30">
      <x:c r="A30" s="16" t="n">
        <x:v>29</x:v>
      </x:c>
      <x:c r="B30" s="16" t="str">
        <x:v>MODEL</x:v>
      </x:c>
      <x:c r="C30" s="16" t="str">
        <x:f>Coder_A!C30</x:f>
        <x:v>PILOT_01_M01</x:v>
      </x:c>
      <x:c r="D30" s="16" t="str">
        <x:v>weighted</x:v>
      </x:c>
      <x:c r="E30" s="16" t="str"/>
      <x:c r="F30" s="16" t="str"/>
      <x:c r="G30" s="16" t="str"/>
      <x:c r="H30" s="16" t="str">
        <x:v>Y</x:v>
      </x:c>
      <x:c r="I30" s="16" t="str"/>
    </x:row>
    <x:row r="31">
      <x:c r="A31" s="16" t="n">
        <x:v>30</x:v>
      </x:c>
      <x:c r="B31" s="16" t="str">
        <x:v>MODEL</x:v>
      </x:c>
      <x:c r="C31" s="16" t="str">
        <x:f>Coder_A!C31</x:f>
        <x:v>PILOT_01_M01</x:v>
      </x:c>
      <x:c r="D31" s="16" t="str">
        <x:v>typed_edges</x:v>
      </x:c>
      <x:c r="E31" s="16" t="str"/>
      <x:c r="F31" s="16" t="str"/>
      <x:c r="G31" s="16" t="str"/>
      <x:c r="H31" s="16" t="str">
        <x:v>Y</x:v>
      </x:c>
      <x:c r="I31" s="16" t="str"/>
    </x:row>
    <x:row r="32">
      <x:c r="A32" s="16" t="n">
        <x:v>31</x:v>
      </x:c>
      <x:c r="B32" s="16" t="str">
        <x:v>MODEL</x:v>
      </x:c>
      <x:c r="C32" s="16" t="str">
        <x:f>Coder_A!C32</x:f>
        <x:v>PILOT_01_M01</x:v>
      </x:c>
      <x:c r="D32" s="16" t="str">
        <x:v>dynamic</x:v>
      </x:c>
      <x:c r="E32" s="16" t="str"/>
      <x:c r="F32" s="16" t="str"/>
      <x:c r="G32" s="16" t="str"/>
      <x:c r="H32" s="16" t="str">
        <x:v>Y</x:v>
      </x:c>
      <x:c r="I32" s="16" t="str"/>
    </x:row>
    <x:row r="33">
      <x:c r="A33" s="16" t="n">
        <x:v>32</x:v>
      </x:c>
      <x:c r="B33" s="16" t="str">
        <x:v>MODEL</x:v>
      </x:c>
      <x:c r="C33" s="16" t="str">
        <x:f>Coder_A!C33</x:f>
        <x:v>PILOT_01_M01</x:v>
      </x:c>
      <x:c r="D33" s="16" t="str">
        <x:v>dag_enforced</x:v>
      </x:c>
      <x:c r="E33" s="16" t="str"/>
      <x:c r="F33" s="16" t="str"/>
      <x:c r="G33" s="16" t="str"/>
      <x:c r="H33" s="16" t="str">
        <x:v>Y</x:v>
      </x:c>
      <x:c r="I33" s="16" t="str"/>
    </x:row>
    <x:row r="34">
      <x:c r="A34" s="16" t="n">
        <x:v>33</x:v>
      </x:c>
      <x:c r="B34" s="16" t="str">
        <x:v>MODEL</x:v>
      </x:c>
      <x:c r="C34" s="16" t="str">
        <x:f>Coder_A!C34</x:f>
        <x:v>PILOT_01_M01</x:v>
      </x:c>
      <x:c r="D34" s="16" t="str">
        <x:v>edge_confidence_used</x:v>
      </x:c>
      <x:c r="E34" s="16" t="str"/>
      <x:c r="F34" s="16" t="str"/>
      <x:c r="G34" s="16" t="str"/>
      <x:c r="H34" s="16" t="str">
        <x:v>Y</x:v>
      </x:c>
      <x:c r="I34" s="16" t="str"/>
    </x:row>
    <x:row r="35">
      <x:c r="A35" s="16" t="n">
        <x:v>34</x:v>
      </x:c>
      <x:c r="B35" s="16" t="str">
        <x:v>MODEL</x:v>
      </x:c>
      <x:c r="C35" s="16" t="str">
        <x:f>Coder_A!C35</x:f>
        <x:v>PILOT_01_M01</x:v>
      </x:c>
      <x:c r="D35" s="16" t="str">
        <x:v>gnn_encoder</x:v>
      </x:c>
      <x:c r="E35" s="16" t="str"/>
      <x:c r="F35" s="16" t="str"/>
      <x:c r="G35" s="16" t="str"/>
      <x:c r="H35" s="16" t="str">
        <x:v>Y</x:v>
      </x:c>
      <x:c r="I35" s="16" t="str"/>
    </x:row>
    <x:row r="36">
      <x:c r="A36" s="16" t="n">
        <x:v>35</x:v>
      </x:c>
      <x:c r="B36" s="16" t="str">
        <x:v>MODEL</x:v>
      </x:c>
      <x:c r="C36" s="16" t="str">
        <x:f>Coder_A!C36</x:f>
        <x:v>PILOT_01_M01</x:v>
      </x:c>
      <x:c r="D36" s="16" t="str">
        <x:v>temporal_backbone</x:v>
      </x:c>
      <x:c r="E36" s="16" t="str"/>
      <x:c r="F36" s="16" t="str"/>
      <x:c r="G36" s="16" t="str"/>
      <x:c r="H36" s="16" t="str">
        <x:v>Y</x:v>
      </x:c>
      <x:c r="I36" s="16" t="str"/>
    </x:row>
    <x:row r="37">
      <x:c r="A37" s="16" t="n">
        <x:v>36</x:v>
      </x:c>
      <x:c r="B37" s="16" t="str">
        <x:v>MODEL</x:v>
      </x:c>
      <x:c r="C37" s="16" t="str">
        <x:f>Coder_A!C37</x:f>
        <x:v>PILOT_01_M01</x:v>
      </x:c>
      <x:c r="D37" s="16" t="str">
        <x:v>semantic_auxiliary_encoder</x:v>
      </x:c>
      <x:c r="E37" s="16" t="str"/>
      <x:c r="F37" s="16" t="str"/>
      <x:c r="G37" s="16" t="str"/>
      <x:c r="H37" s="16" t="str">
        <x:v>Y</x:v>
      </x:c>
      <x:c r="I37" s="16" t="str"/>
    </x:row>
    <x:row r="38">
      <x:c r="A38" s="16" t="n">
        <x:v>37</x:v>
      </x:c>
      <x:c r="B38" s="16" t="str">
        <x:v>MODEL</x:v>
      </x:c>
      <x:c r="C38" s="16" t="str">
        <x:f>Coder_A!C38</x:f>
        <x:v>PILOT_01_M01</x:v>
      </x:c>
      <x:c r="D38" s="16" t="str">
        <x:v>fusion_type</x:v>
      </x:c>
      <x:c r="E38" s="16" t="str"/>
      <x:c r="F38" s="16" t="str"/>
      <x:c r="G38" s="16" t="str"/>
      <x:c r="H38" s="16" t="str">
        <x:v>Y</x:v>
      </x:c>
      <x:c r="I38" s="16" t="str"/>
    </x:row>
    <x:row r="39">
      <x:c r="A39" s="16" t="n">
        <x:v>38</x:v>
      </x:c>
      <x:c r="B39" s="16" t="str">
        <x:v>MODEL</x:v>
      </x:c>
      <x:c r="C39" s="16" t="str">
        <x:f>Coder_A!C39</x:f>
        <x:v>PILOT_01_M01</x:v>
      </x:c>
      <x:c r="D39" s="16" t="str">
        <x:v>fusion_location</x:v>
      </x:c>
      <x:c r="E39" s="16" t="str"/>
      <x:c r="F39" s="16" t="str"/>
      <x:c r="G39" s="16" t="str"/>
      <x:c r="H39" s="16" t="str">
        <x:v>Y</x:v>
      </x:c>
      <x:c r="I39" s="16" t="str"/>
    </x:row>
    <x:row r="40">
      <x:c r="A40" s="16" t="n">
        <x:v>39</x:v>
      </x:c>
      <x:c r="B40" s="16" t="str">
        <x:v>MODEL</x:v>
      </x:c>
      <x:c r="C40" s="16" t="str">
        <x:f>Coder_A!C40</x:f>
        <x:v>PILOT_01_M01</x:v>
      </x:c>
      <x:c r="D40" s="16" t="str">
        <x:v>ssl_family</x:v>
      </x:c>
      <x:c r="E40" s="16" t="str"/>
      <x:c r="F40" s="16" t="str"/>
      <x:c r="G40" s="16" t="str"/>
      <x:c r="H40" s="16" t="str">
        <x:v>Y</x:v>
      </x:c>
      <x:c r="I40" s="16" t="str"/>
    </x:row>
    <x:row r="41">
      <x:c r="A41" s="16" t="n">
        <x:v>40</x:v>
      </x:c>
      <x:c r="B41" s="16" t="str">
        <x:v>MODEL</x:v>
      </x:c>
      <x:c r="C41" s="16" t="str">
        <x:f>Coder_A!C41</x:f>
        <x:v>PILOT_01_M01</x:v>
      </x:c>
      <x:c r="D41" s="16" t="str">
        <x:v>non_ssl_pretraining</x:v>
      </x:c>
      <x:c r="E41" s="16" t="str"/>
      <x:c r="F41" s="16" t="str"/>
      <x:c r="G41" s="16" t="str"/>
      <x:c r="H41" s="16" t="str">
        <x:v>Y</x:v>
      </x:c>
      <x:c r="I41" s="16" t="str"/>
    </x:row>
    <x:row r="42">
      <x:c r="A42" s="16" t="n">
        <x:v>41</x:v>
      </x:c>
      <x:c r="B42" s="16" t="str">
        <x:v>MODEL</x:v>
      </x:c>
      <x:c r="C42" s="16" t="str">
        <x:f>Coder_A!C42</x:f>
        <x:v>PILOT_01_M01</x:v>
      </x:c>
      <x:c r="D42" s="16" t="str">
        <x:v>ssl_training_mode</x:v>
      </x:c>
      <x:c r="E42" s="16" t="str"/>
      <x:c r="F42" s="16" t="str"/>
      <x:c r="G42" s="16" t="str"/>
      <x:c r="H42" s="16" t="str">
        <x:v>Y</x:v>
      </x:c>
      <x:c r="I42" s="16" t="str"/>
    </x:row>
    <x:row r="43">
      <x:c r="A43" s="16" t="n">
        <x:v>42</x:v>
      </x:c>
      <x:c r="B43" s="16" t="str">
        <x:v>MODEL</x:v>
      </x:c>
      <x:c r="C43" s="16" t="str">
        <x:f>Coder_A!C43</x:f>
        <x:v>PILOT_01_M01</x:v>
      </x:c>
      <x:c r="D43" s="16" t="str">
        <x:v>ssl_target_level</x:v>
      </x:c>
      <x:c r="E43" s="16" t="str"/>
      <x:c r="F43" s="16" t="str"/>
      <x:c r="G43" s="16" t="str"/>
      <x:c r="H43" s="16" t="str">
        <x:v>Y</x:v>
      </x:c>
      <x:c r="I43" s="16" t="str"/>
    </x:row>
    <x:row r="44">
      <x:c r="A44" s="16" t="n">
        <x:v>43</x:v>
      </x:c>
      <x:c r="B44" s="16" t="str">
        <x:v>MODEL</x:v>
      </x:c>
      <x:c r="C44" s="16" t="str">
        <x:f>Coder_A!C44</x:f>
        <x:v>PILOT_01_M01</x:v>
      </x:c>
      <x:c r="D44" s="16" t="str">
        <x:v>augmentation_type</x:v>
      </x:c>
      <x:c r="E44" s="16" t="str"/>
      <x:c r="F44" s="16" t="str"/>
      <x:c r="G44" s="16" t="str"/>
      <x:c r="H44" s="16" t="str">
        <x:v>Y</x:v>
      </x:c>
      <x:c r="I44" s="16" t="str"/>
    </x:row>
    <x:row r="45">
      <x:c r="A45" s="16" t="n">
        <x:v>44</x:v>
      </x:c>
      <x:c r="B45" s="16" t="str">
        <x:v>MODEL</x:v>
      </x:c>
      <x:c r="C45" s="16" t="str">
        <x:f>Coder_A!C45</x:f>
        <x:v>PILOT_01_M01</x:v>
      </x:c>
      <x:c r="D45" s="16" t="str">
        <x:v>educational_structure_preservation</x:v>
      </x:c>
      <x:c r="E45" s="16" t="str"/>
      <x:c r="F45" s="16" t="str"/>
      <x:c r="G45" s="16" t="str"/>
      <x:c r="H45" s="16" t="str">
        <x:v>Y</x:v>
      </x:c>
      <x:c r="I45" s="16" t="str"/>
    </x:row>
    <x:row r="46">
      <x:c r="A46" s="16" t="n">
        <x:v>45</x:v>
      </x:c>
      <x:c r="B46" s="16" t="str">
        <x:v>MODEL</x:v>
      </x:c>
      <x:c r="C46" s="16" t="str">
        <x:f>Coder_A!C46</x:f>
        <x:v>PILOT_01_M01</x:v>
      </x:c>
      <x:c r="D46" s="16" t="str">
        <x:v>augmentation_validity_ablation</x:v>
      </x:c>
      <x:c r="E46" s="16" t="str"/>
      <x:c r="F46" s="16" t="str"/>
      <x:c r="G46" s="16" t="str"/>
      <x:c r="H46" s="16" t="str">
        <x:v>Y</x:v>
      </x:c>
      <x:c r="I46" s="16" t="str"/>
    </x:row>
    <x:row r="47">
      <x:c r="A47" s="16" t="n">
        <x:v>46</x:v>
      </x:c>
      <x:c r="B47" s="16" t="str">
        <x:v>MODEL</x:v>
      </x:c>
      <x:c r="C47" s="16" t="str">
        <x:f>Coder_A!C47</x:f>
        <x:v>PILOT_01_M02</x:v>
      </x:c>
      <x:c r="D47" s="16" t="str">
        <x:v>graph_source</x:v>
      </x:c>
      <x:c r="E47" s="16" t="str"/>
      <x:c r="F47" s="16" t="str"/>
      <x:c r="G47" s="16" t="str"/>
      <x:c r="H47" s="16" t="str">
        <x:v>Y</x:v>
      </x:c>
      <x:c r="I47" s="16" t="str"/>
    </x:row>
    <x:row r="48">
      <x:c r="A48" s="16" t="n">
        <x:v>47</x:v>
      </x:c>
      <x:c r="B48" s="16" t="str">
        <x:v>MODEL</x:v>
      </x:c>
      <x:c r="C48" s="16" t="str">
        <x:f>Coder_A!C48</x:f>
        <x:v>PILOT_01_M02</x:v>
      </x:c>
      <x:c r="D48" s="16" t="str">
        <x:v>graph_provenance</x:v>
      </x:c>
      <x:c r="E48" s="16" t="str"/>
      <x:c r="F48" s="16" t="str"/>
      <x:c r="G48" s="16" t="str"/>
      <x:c r="H48" s="16" t="str">
        <x:v>Y</x:v>
      </x:c>
      <x:c r="I48" s="16" t="str"/>
    </x:row>
    <x:row r="49">
      <x:c r="A49" s="16" t="n">
        <x:v>48</x:v>
      </x:c>
      <x:c r="B49" s="16" t="str">
        <x:v>MODEL</x:v>
      </x:c>
      <x:c r="C49" s="16" t="str">
        <x:f>Coder_A!C49</x:f>
        <x:v>PILOT_01_M02</x:v>
      </x:c>
      <x:c r="D49" s="16" t="str">
        <x:v>graph_leakage_risk</x:v>
      </x:c>
      <x:c r="E49" s="16" t="str"/>
      <x:c r="F49" s="16" t="str"/>
      <x:c r="G49" s="16" t="str"/>
      <x:c r="H49" s="16" t="str">
        <x:v>Y</x:v>
      </x:c>
      <x:c r="I49" s="16" t="str"/>
    </x:row>
    <x:row r="50">
      <x:c r="A50" s="16" t="n">
        <x:v>49</x:v>
      </x:c>
      <x:c r="B50" s="16" t="str">
        <x:v>MODEL</x:v>
      </x:c>
      <x:c r="C50" s="16" t="str">
        <x:f>Coder_A!C50</x:f>
        <x:v>PILOT_01_M02</x:v>
      </x:c>
      <x:c r="D50" s="16" t="str">
        <x:v>graph_construction_uses_response_labels</x:v>
      </x:c>
      <x:c r="E50" s="16" t="str"/>
      <x:c r="F50" s="16" t="str"/>
      <x:c r="G50" s="16" t="str"/>
      <x:c r="H50" s="16" t="str">
        <x:v>Y</x:v>
      </x:c>
      <x:c r="I50" s="16" t="str"/>
    </x:row>
    <x:row r="51">
      <x:c r="A51" s="16" t="n">
        <x:v>50</x:v>
      </x:c>
      <x:c r="B51" s="16" t="str">
        <x:v>MODEL</x:v>
      </x:c>
      <x:c r="C51" s="16" t="str">
        <x:f>Coder_A!C51</x:f>
        <x:v>PILOT_01_M02</x:v>
      </x:c>
      <x:c r="D51" s="16" t="str">
        <x:v>graph_construction_uses_test_partition</x:v>
      </x:c>
      <x:c r="E51" s="16" t="str"/>
      <x:c r="F51" s="16" t="str"/>
      <x:c r="G51" s="16" t="str"/>
      <x:c r="H51" s="16" t="str">
        <x:v>Y</x:v>
      </x:c>
      <x:c r="I51" s="16" t="str"/>
    </x:row>
    <x:row r="52">
      <x:c r="A52" s="16" t="n">
        <x:v>51</x:v>
      </x:c>
      <x:c r="B52" s="16" t="str">
        <x:v>MODEL</x:v>
      </x:c>
      <x:c r="C52" s="16" t="str">
        <x:f>Coder_A!C52</x:f>
        <x:v>PILOT_01_M02</x:v>
      </x:c>
      <x:c r="D52" s="16" t="str">
        <x:v>graph_representation</x:v>
      </x:c>
      <x:c r="E52" s="16" t="str"/>
      <x:c r="F52" s="16" t="str"/>
      <x:c r="G52" s="16" t="str"/>
      <x:c r="H52" s="16" t="str">
        <x:v>Y</x:v>
      </x:c>
      <x:c r="I52" s="16" t="str"/>
    </x:row>
    <x:row r="53">
      <x:c r="A53" s="16" t="n">
        <x:v>52</x:v>
      </x:c>
      <x:c r="B53" s="16" t="str">
        <x:v>MODEL</x:v>
      </x:c>
      <x:c r="C53" s="16" t="str">
        <x:f>Coder_A!C53</x:f>
        <x:v>PILOT_01_M02</x:v>
      </x:c>
      <x:c r="D53" s="16" t="str">
        <x:v>directed</x:v>
      </x:c>
      <x:c r="E53" s="16" t="str"/>
      <x:c r="F53" s="16" t="str"/>
      <x:c r="G53" s="16" t="str"/>
      <x:c r="H53" s="16" t="str">
        <x:v>Y</x:v>
      </x:c>
      <x:c r="I53" s="16" t="str"/>
    </x:row>
    <x:row r="54">
      <x:c r="A54" s="16" t="n">
        <x:v>53</x:v>
      </x:c>
      <x:c r="B54" s="16" t="str">
        <x:v>MODEL</x:v>
      </x:c>
      <x:c r="C54" s="16" t="str">
        <x:f>Coder_A!C54</x:f>
        <x:v>PILOT_01_M02</x:v>
      </x:c>
      <x:c r="D54" s="16" t="str">
        <x:v>weighted</x:v>
      </x:c>
      <x:c r="E54" s="16" t="str"/>
      <x:c r="F54" s="16" t="str"/>
      <x:c r="G54" s="16" t="str"/>
      <x:c r="H54" s="16" t="str">
        <x:v>Y</x:v>
      </x:c>
      <x:c r="I54" s="16" t="str"/>
    </x:row>
    <x:row r="55">
      <x:c r="A55" s="16" t="n">
        <x:v>54</x:v>
      </x:c>
      <x:c r="B55" s="16" t="str">
        <x:v>MODEL</x:v>
      </x:c>
      <x:c r="C55" s="16" t="str">
        <x:f>Coder_A!C55</x:f>
        <x:v>PILOT_01_M02</x:v>
      </x:c>
      <x:c r="D55" s="16" t="str">
        <x:v>typed_edges</x:v>
      </x:c>
      <x:c r="E55" s="16" t="str"/>
      <x:c r="F55" s="16" t="str"/>
      <x:c r="G55" s="16" t="str"/>
      <x:c r="H55" s="16" t="str">
        <x:v>Y</x:v>
      </x:c>
      <x:c r="I55" s="16" t="str"/>
    </x:row>
    <x:row r="56">
      <x:c r="A56" s="16" t="n">
        <x:v>55</x:v>
      </x:c>
      <x:c r="B56" s="16" t="str">
        <x:v>MODEL</x:v>
      </x:c>
      <x:c r="C56" s="16" t="str">
        <x:f>Coder_A!C56</x:f>
        <x:v>PILOT_01_M02</x:v>
      </x:c>
      <x:c r="D56" s="16" t="str">
        <x:v>dynamic</x:v>
      </x:c>
      <x:c r="E56" s="16" t="str"/>
      <x:c r="F56" s="16" t="str"/>
      <x:c r="G56" s="16" t="str"/>
      <x:c r="H56" s="16" t="str">
        <x:v>Y</x:v>
      </x:c>
      <x:c r="I56" s="16" t="str"/>
    </x:row>
    <x:row r="57">
      <x:c r="A57" s="16" t="n">
        <x:v>56</x:v>
      </x:c>
      <x:c r="B57" s="16" t="str">
        <x:v>MODEL</x:v>
      </x:c>
      <x:c r="C57" s="16" t="str">
        <x:f>Coder_A!C57</x:f>
        <x:v>PILOT_01_M02</x:v>
      </x:c>
      <x:c r="D57" s="16" t="str">
        <x:v>dag_enforced</x:v>
      </x:c>
      <x:c r="E57" s="16" t="str"/>
      <x:c r="F57" s="16" t="str"/>
      <x:c r="G57" s="16" t="str"/>
      <x:c r="H57" s="16" t="str">
        <x:v>Y</x:v>
      </x:c>
      <x:c r="I57" s="16" t="str"/>
    </x:row>
    <x:row r="58">
      <x:c r="A58" s="16" t="n">
        <x:v>57</x:v>
      </x:c>
      <x:c r="B58" s="16" t="str">
        <x:v>MODEL</x:v>
      </x:c>
      <x:c r="C58" s="16" t="str">
        <x:f>Coder_A!C58</x:f>
        <x:v>PILOT_01_M02</x:v>
      </x:c>
      <x:c r="D58" s="16" t="str">
        <x:v>edge_confidence_used</x:v>
      </x:c>
      <x:c r="E58" s="16" t="str"/>
      <x:c r="F58" s="16" t="str"/>
      <x:c r="G58" s="16" t="str"/>
      <x:c r="H58" s="16" t="str">
        <x:v>Y</x:v>
      </x:c>
      <x:c r="I58" s="16" t="str"/>
    </x:row>
    <x:row r="59">
      <x:c r="A59" s="16" t="n">
        <x:v>58</x:v>
      </x:c>
      <x:c r="B59" s="16" t="str">
        <x:v>MODEL</x:v>
      </x:c>
      <x:c r="C59" s="16" t="str">
        <x:f>Coder_A!C59</x:f>
        <x:v>PILOT_01_M02</x:v>
      </x:c>
      <x:c r="D59" s="16" t="str">
        <x:v>gnn_encoder</x:v>
      </x:c>
      <x:c r="E59" s="16" t="str"/>
      <x:c r="F59" s="16" t="str"/>
      <x:c r="G59" s="16" t="str"/>
      <x:c r="H59" s="16" t="str">
        <x:v>Y</x:v>
      </x:c>
      <x:c r="I59" s="16" t="str"/>
    </x:row>
    <x:row r="60">
      <x:c r="A60" s="16" t="n">
        <x:v>59</x:v>
      </x:c>
      <x:c r="B60" s="16" t="str">
        <x:v>MODEL</x:v>
      </x:c>
      <x:c r="C60" s="16" t="str">
        <x:f>Coder_A!C60</x:f>
        <x:v>PILOT_01_M02</x:v>
      </x:c>
      <x:c r="D60" s="16" t="str">
        <x:v>temporal_backbone</x:v>
      </x:c>
      <x:c r="E60" s="16" t="str"/>
      <x:c r="F60" s="16" t="str"/>
      <x:c r="G60" s="16" t="str"/>
      <x:c r="H60" s="16" t="str">
        <x:v>Y</x:v>
      </x:c>
      <x:c r="I60" s="16" t="str"/>
    </x:row>
    <x:row r="61">
      <x:c r="A61" s="16" t="n">
        <x:v>60</x:v>
      </x:c>
      <x:c r="B61" s="16" t="str">
        <x:v>MODEL</x:v>
      </x:c>
      <x:c r="C61" s="16" t="str">
        <x:f>Coder_A!C61</x:f>
        <x:v>PILOT_01_M02</x:v>
      </x:c>
      <x:c r="D61" s="16" t="str">
        <x:v>semantic_auxiliary_encoder</x:v>
      </x:c>
      <x:c r="E61" s="16" t="str"/>
      <x:c r="F61" s="16" t="str"/>
      <x:c r="G61" s="16" t="str"/>
      <x:c r="H61" s="16" t="str">
        <x:v>Y</x:v>
      </x:c>
      <x:c r="I61" s="16" t="str"/>
    </x:row>
    <x:row r="62">
      <x:c r="A62" s="16" t="n">
        <x:v>61</x:v>
      </x:c>
      <x:c r="B62" s="16" t="str">
        <x:v>MODEL</x:v>
      </x:c>
      <x:c r="C62" s="16" t="str">
        <x:f>Coder_A!C62</x:f>
        <x:v>PILOT_01_M02</x:v>
      </x:c>
      <x:c r="D62" s="16" t="str">
        <x:v>fusion_type</x:v>
      </x:c>
      <x:c r="E62" s="16" t="str"/>
      <x:c r="F62" s="16" t="str"/>
      <x:c r="G62" s="16" t="str"/>
      <x:c r="H62" s="16" t="str">
        <x:v>Y</x:v>
      </x:c>
      <x:c r="I62" s="16" t="str"/>
    </x:row>
    <x:row r="63">
      <x:c r="A63" s="16" t="n">
        <x:v>62</x:v>
      </x:c>
      <x:c r="B63" s="16" t="str">
        <x:v>MODEL</x:v>
      </x:c>
      <x:c r="C63" s="16" t="str">
        <x:f>Coder_A!C63</x:f>
        <x:v>PILOT_01_M02</x:v>
      </x:c>
      <x:c r="D63" s="16" t="str">
        <x:v>fusion_location</x:v>
      </x:c>
      <x:c r="E63" s="16" t="str"/>
      <x:c r="F63" s="16" t="str"/>
      <x:c r="G63" s="16" t="str"/>
      <x:c r="H63" s="16" t="str">
        <x:v>Y</x:v>
      </x:c>
      <x:c r="I63" s="16" t="str"/>
    </x:row>
    <x:row r="64">
      <x:c r="A64" s="16" t="n">
        <x:v>63</x:v>
      </x:c>
      <x:c r="B64" s="16" t="str">
        <x:v>MODEL</x:v>
      </x:c>
      <x:c r="C64" s="16" t="str">
        <x:f>Coder_A!C64</x:f>
        <x:v>PILOT_01_M02</x:v>
      </x:c>
      <x:c r="D64" s="16" t="str">
        <x:v>ssl_family</x:v>
      </x:c>
      <x:c r="E64" s="16" t="str"/>
      <x:c r="F64" s="16" t="str"/>
      <x:c r="G64" s="16" t="str"/>
      <x:c r="H64" s="16" t="str">
        <x:v>Y</x:v>
      </x:c>
      <x:c r="I64" s="16" t="str"/>
    </x:row>
    <x:row r="65">
      <x:c r="A65" s="16" t="n">
        <x:v>64</x:v>
      </x:c>
      <x:c r="B65" s="16" t="str">
        <x:v>MODEL</x:v>
      </x:c>
      <x:c r="C65" s="16" t="str">
        <x:f>Coder_A!C65</x:f>
        <x:v>PILOT_01_M02</x:v>
      </x:c>
      <x:c r="D65" s="16" t="str">
        <x:v>non_ssl_pretraining</x:v>
      </x:c>
      <x:c r="E65" s="16" t="str"/>
      <x:c r="F65" s="16" t="str"/>
      <x:c r="G65" s="16" t="str"/>
      <x:c r="H65" s="16" t="str">
        <x:v>Y</x:v>
      </x:c>
      <x:c r="I65" s="16" t="str"/>
    </x:row>
    <x:row r="66">
      <x:c r="A66" s="16" t="n">
        <x:v>65</x:v>
      </x:c>
      <x:c r="B66" s="16" t="str">
        <x:v>MODEL</x:v>
      </x:c>
      <x:c r="C66" s="16" t="str">
        <x:f>Coder_A!C66</x:f>
        <x:v>PILOT_01_M02</x:v>
      </x:c>
      <x:c r="D66" s="16" t="str">
        <x:v>ssl_training_mode</x:v>
      </x:c>
      <x:c r="E66" s="16" t="str"/>
      <x:c r="F66" s="16" t="str"/>
      <x:c r="G66" s="16" t="str"/>
      <x:c r="H66" s="16" t="str">
        <x:v>Y</x:v>
      </x:c>
      <x:c r="I66" s="16" t="str"/>
    </x:row>
    <x:row r="67">
      <x:c r="A67" s="16" t="n">
        <x:v>66</x:v>
      </x:c>
      <x:c r="B67" s="16" t="str">
        <x:v>MODEL</x:v>
      </x:c>
      <x:c r="C67" s="16" t="str">
        <x:f>Coder_A!C67</x:f>
        <x:v>PILOT_01_M02</x:v>
      </x:c>
      <x:c r="D67" s="16" t="str">
        <x:v>ssl_target_level</x:v>
      </x:c>
      <x:c r="E67" s="16" t="str"/>
      <x:c r="F67" s="16" t="str"/>
      <x:c r="G67" s="16" t="str"/>
      <x:c r="H67" s="16" t="str">
        <x:v>Y</x:v>
      </x:c>
      <x:c r="I67" s="16" t="str"/>
    </x:row>
    <x:row r="68">
      <x:c r="A68" s="16" t="n">
        <x:v>67</x:v>
      </x:c>
      <x:c r="B68" s="16" t="str">
        <x:v>MODEL</x:v>
      </x:c>
      <x:c r="C68" s="16" t="str">
        <x:f>Coder_A!C68</x:f>
        <x:v>PILOT_01_M02</x:v>
      </x:c>
      <x:c r="D68" s="16" t="str">
        <x:v>augmentation_type</x:v>
      </x:c>
      <x:c r="E68" s="16" t="str"/>
      <x:c r="F68" s="16" t="str"/>
      <x:c r="G68" s="16" t="str"/>
      <x:c r="H68" s="16" t="str">
        <x:v>Y</x:v>
      </x:c>
      <x:c r="I68" s="16" t="str"/>
    </x:row>
    <x:row r="69">
      <x:c r="A69" s="16" t="n">
        <x:v>68</x:v>
      </x:c>
      <x:c r="B69" s="16" t="str">
        <x:v>MODEL</x:v>
      </x:c>
      <x:c r="C69" s="16" t="str">
        <x:f>Coder_A!C69</x:f>
        <x:v>PILOT_01_M02</x:v>
      </x:c>
      <x:c r="D69" s="16" t="str">
        <x:v>educational_structure_preservation</x:v>
      </x:c>
      <x:c r="E69" s="16" t="str"/>
      <x:c r="F69" s="16" t="str"/>
      <x:c r="G69" s="16" t="str"/>
      <x:c r="H69" s="16" t="str">
        <x:v>Y</x:v>
      </x:c>
      <x:c r="I69" s="16" t="str"/>
    </x:row>
    <x:row r="70">
      <x:c r="A70" s="16" t="n">
        <x:v>69</x:v>
      </x:c>
      <x:c r="B70" s="16" t="str">
        <x:v>MODEL</x:v>
      </x:c>
      <x:c r="C70" s="16" t="str">
        <x:f>Coder_A!C70</x:f>
        <x:v>PILOT_01_M02</x:v>
      </x:c>
      <x:c r="D70" s="16" t="str">
        <x:v>augmentation_validity_ablation</x:v>
      </x:c>
      <x:c r="E70" s="16" t="str"/>
      <x:c r="F70" s="16" t="str"/>
      <x:c r="G70" s="16" t="str"/>
      <x:c r="H70" s="16" t="str">
        <x:v>Y</x:v>
      </x:c>
      <x:c r="I70" s="16" t="str"/>
    </x:row>
    <x:row r="71">
      <x:c r="A71" s="16" t="n">
        <x:v>70</x:v>
      </x:c>
      <x:c r="B71" s="16" t="str">
        <x:v>MODEL</x:v>
      </x:c>
      <x:c r="C71" s="16" t="str">
        <x:f>Coder_A!C71</x:f>
        <x:v>PILOT_01_M03</x:v>
      </x:c>
      <x:c r="D71" s="16" t="str">
        <x:v>graph_source</x:v>
      </x:c>
      <x:c r="E71" s="16" t="str"/>
      <x:c r="F71" s="16" t="str"/>
      <x:c r="G71" s="16" t="str"/>
      <x:c r="H71" s="16" t="str">
        <x:v>Y</x:v>
      </x:c>
      <x:c r="I71" s="16" t="str"/>
    </x:row>
    <x:row r="72">
      <x:c r="A72" s="16" t="n">
        <x:v>71</x:v>
      </x:c>
      <x:c r="B72" s="16" t="str">
        <x:v>MODEL</x:v>
      </x:c>
      <x:c r="C72" s="16" t="str">
        <x:f>Coder_A!C72</x:f>
        <x:v>PILOT_01_M03</x:v>
      </x:c>
      <x:c r="D72" s="16" t="str">
        <x:v>graph_provenance</x:v>
      </x:c>
      <x:c r="E72" s="16" t="str"/>
      <x:c r="F72" s="16" t="str"/>
      <x:c r="G72" s="16" t="str"/>
      <x:c r="H72" s="16" t="str">
        <x:v>Y</x:v>
      </x:c>
      <x:c r="I72" s="16" t="str"/>
    </x:row>
    <x:row r="73">
      <x:c r="A73" s="16" t="n">
        <x:v>72</x:v>
      </x:c>
      <x:c r="B73" s="16" t="str">
        <x:v>MODEL</x:v>
      </x:c>
      <x:c r="C73" s="16" t="str">
        <x:f>Coder_A!C73</x:f>
        <x:v>PILOT_01_M03</x:v>
      </x:c>
      <x:c r="D73" s="16" t="str">
        <x:v>graph_leakage_risk</x:v>
      </x:c>
      <x:c r="E73" s="16" t="str"/>
      <x:c r="F73" s="16" t="str"/>
      <x:c r="G73" s="16" t="str"/>
      <x:c r="H73" s="16" t="str">
        <x:v>Y</x:v>
      </x:c>
      <x:c r="I73" s="16" t="str"/>
    </x:row>
    <x:row r="74">
      <x:c r="A74" s="16" t="n">
        <x:v>73</x:v>
      </x:c>
      <x:c r="B74" s="16" t="str">
        <x:v>MODEL</x:v>
      </x:c>
      <x:c r="C74" s="16" t="str">
        <x:f>Coder_A!C74</x:f>
        <x:v>PILOT_01_M03</x:v>
      </x:c>
      <x:c r="D74" s="16" t="str">
        <x:v>graph_construction_uses_response_labels</x:v>
      </x:c>
      <x:c r="E74" s="16" t="str"/>
      <x:c r="F74" s="16" t="str"/>
      <x:c r="G74" s="16" t="str"/>
      <x:c r="H74" s="16" t="str">
        <x:v>Y</x:v>
      </x:c>
      <x:c r="I74" s="16" t="str"/>
    </x:row>
    <x:row r="75">
      <x:c r="A75" s="16" t="n">
        <x:v>74</x:v>
      </x:c>
      <x:c r="B75" s="16" t="str">
        <x:v>MODEL</x:v>
      </x:c>
      <x:c r="C75" s="16" t="str">
        <x:f>Coder_A!C75</x:f>
        <x:v>PILOT_01_M03</x:v>
      </x:c>
      <x:c r="D75" s="16" t="str">
        <x:v>graph_construction_uses_test_partition</x:v>
      </x:c>
      <x:c r="E75" s="16" t="str"/>
      <x:c r="F75" s="16" t="str"/>
      <x:c r="G75" s="16" t="str"/>
      <x:c r="H75" s="16" t="str">
        <x:v>Y</x:v>
      </x:c>
      <x:c r="I75" s="16" t="str"/>
    </x:row>
    <x:row r="76">
      <x:c r="A76" s="16" t="n">
        <x:v>75</x:v>
      </x:c>
      <x:c r="B76" s="16" t="str">
        <x:v>MODEL</x:v>
      </x:c>
      <x:c r="C76" s="16" t="str">
        <x:f>Coder_A!C76</x:f>
        <x:v>PILOT_01_M03</x:v>
      </x:c>
      <x:c r="D76" s="16" t="str">
        <x:v>graph_representation</x:v>
      </x:c>
      <x:c r="E76" s="16" t="str"/>
      <x:c r="F76" s="16" t="str"/>
      <x:c r="G76" s="16" t="str"/>
      <x:c r="H76" s="16" t="str">
        <x:v>Y</x:v>
      </x:c>
      <x:c r="I76" s="16" t="str"/>
    </x:row>
    <x:row r="77">
      <x:c r="A77" s="16" t="n">
        <x:v>76</x:v>
      </x:c>
      <x:c r="B77" s="16" t="str">
        <x:v>MODEL</x:v>
      </x:c>
      <x:c r="C77" s="16" t="str">
        <x:f>Coder_A!C77</x:f>
        <x:v>PILOT_01_M03</x:v>
      </x:c>
      <x:c r="D77" s="16" t="str">
        <x:v>directed</x:v>
      </x:c>
      <x:c r="E77" s="16" t="str"/>
      <x:c r="F77" s="16" t="str"/>
      <x:c r="G77" s="16" t="str"/>
      <x:c r="H77" s="16" t="str">
        <x:v>Y</x:v>
      </x:c>
      <x:c r="I77" s="16" t="str"/>
    </x:row>
    <x:row r="78">
      <x:c r="A78" s="16" t="n">
        <x:v>77</x:v>
      </x:c>
      <x:c r="B78" s="16" t="str">
        <x:v>MODEL</x:v>
      </x:c>
      <x:c r="C78" s="16" t="str">
        <x:f>Coder_A!C78</x:f>
        <x:v>PILOT_01_M03</x:v>
      </x:c>
      <x:c r="D78" s="16" t="str">
        <x:v>weighted</x:v>
      </x:c>
      <x:c r="E78" s="16" t="str"/>
      <x:c r="F78" s="16" t="str"/>
      <x:c r="G78" s="16" t="str"/>
      <x:c r="H78" s="16" t="str">
        <x:v>Y</x:v>
      </x:c>
      <x:c r="I78" s="16" t="str"/>
    </x:row>
    <x:row r="79">
      <x:c r="A79" s="16" t="n">
        <x:v>78</x:v>
      </x:c>
      <x:c r="B79" s="16" t="str">
        <x:v>MODEL</x:v>
      </x:c>
      <x:c r="C79" s="16" t="str">
        <x:f>Coder_A!C79</x:f>
        <x:v>PILOT_01_M03</x:v>
      </x:c>
      <x:c r="D79" s="16" t="str">
        <x:v>typed_edges</x:v>
      </x:c>
      <x:c r="E79" s="16" t="str"/>
      <x:c r="F79" s="16" t="str"/>
      <x:c r="G79" s="16" t="str"/>
      <x:c r="H79" s="16" t="str">
        <x:v>Y</x:v>
      </x:c>
      <x:c r="I79" s="16" t="str"/>
    </x:row>
    <x:row r="80">
      <x:c r="A80" s="16" t="n">
        <x:v>79</x:v>
      </x:c>
      <x:c r="B80" s="16" t="str">
        <x:v>MODEL</x:v>
      </x:c>
      <x:c r="C80" s="16" t="str">
        <x:f>Coder_A!C80</x:f>
        <x:v>PILOT_01_M03</x:v>
      </x:c>
      <x:c r="D80" s="16" t="str">
        <x:v>dynamic</x:v>
      </x:c>
      <x:c r="E80" s="16" t="str"/>
      <x:c r="F80" s="16" t="str"/>
      <x:c r="G80" s="16" t="str"/>
      <x:c r="H80" s="16" t="str">
        <x:v>Y</x:v>
      </x:c>
      <x:c r="I80" s="16" t="str"/>
    </x:row>
    <x:row r="81">
      <x:c r="A81" s="16" t="n">
        <x:v>80</x:v>
      </x:c>
      <x:c r="B81" s="16" t="str">
        <x:v>MODEL</x:v>
      </x:c>
      <x:c r="C81" s="16" t="str">
        <x:f>Coder_A!C81</x:f>
        <x:v>PILOT_01_M03</x:v>
      </x:c>
      <x:c r="D81" s="16" t="str">
        <x:v>dag_enforced</x:v>
      </x:c>
      <x:c r="E81" s="16" t="str"/>
      <x:c r="F81" s="16" t="str"/>
      <x:c r="G81" s="16" t="str"/>
      <x:c r="H81" s="16" t="str">
        <x:v>Y</x:v>
      </x:c>
      <x:c r="I81" s="16" t="str"/>
    </x:row>
    <x:row r="82">
      <x:c r="A82" s="16" t="n">
        <x:v>81</x:v>
      </x:c>
      <x:c r="B82" s="16" t="str">
        <x:v>MODEL</x:v>
      </x:c>
      <x:c r="C82" s="16" t="str">
        <x:f>Coder_A!C82</x:f>
        <x:v>PILOT_01_M03</x:v>
      </x:c>
      <x:c r="D82" s="16" t="str">
        <x:v>edge_confidence_used</x:v>
      </x:c>
      <x:c r="E82" s="16" t="str"/>
      <x:c r="F82" s="16" t="str"/>
      <x:c r="G82" s="16" t="str"/>
      <x:c r="H82" s="16" t="str">
        <x:v>Y</x:v>
      </x:c>
      <x:c r="I82" s="16" t="str"/>
    </x:row>
    <x:row r="83">
      <x:c r="A83" s="16" t="n">
        <x:v>82</x:v>
      </x:c>
      <x:c r="B83" s="16" t="str">
        <x:v>MODEL</x:v>
      </x:c>
      <x:c r="C83" s="16" t="str">
        <x:f>Coder_A!C83</x:f>
        <x:v>PILOT_01_M03</x:v>
      </x:c>
      <x:c r="D83" s="16" t="str">
        <x:v>gnn_encoder</x:v>
      </x:c>
      <x:c r="E83" s="16" t="str"/>
      <x:c r="F83" s="16" t="str"/>
      <x:c r="G83" s="16" t="str"/>
      <x:c r="H83" s="16" t="str">
        <x:v>Y</x:v>
      </x:c>
      <x:c r="I83" s="16" t="str"/>
    </x:row>
    <x:row r="84">
      <x:c r="A84" s="16" t="n">
        <x:v>83</x:v>
      </x:c>
      <x:c r="B84" s="16" t="str">
        <x:v>MODEL</x:v>
      </x:c>
      <x:c r="C84" s="16" t="str">
        <x:f>Coder_A!C84</x:f>
        <x:v>PILOT_01_M03</x:v>
      </x:c>
      <x:c r="D84" s="16" t="str">
        <x:v>temporal_backbone</x:v>
      </x:c>
      <x:c r="E84" s="16" t="str"/>
      <x:c r="F84" s="16" t="str"/>
      <x:c r="G84" s="16" t="str"/>
      <x:c r="H84" s="16" t="str">
        <x:v>Y</x:v>
      </x:c>
      <x:c r="I84" s="16" t="str"/>
    </x:row>
    <x:row r="85">
      <x:c r="A85" s="16" t="n">
        <x:v>84</x:v>
      </x:c>
      <x:c r="B85" s="16" t="str">
        <x:v>MODEL</x:v>
      </x:c>
      <x:c r="C85" s="16" t="str">
        <x:f>Coder_A!C85</x:f>
        <x:v>PILOT_01_M03</x:v>
      </x:c>
      <x:c r="D85" s="16" t="str">
        <x:v>semantic_auxiliary_encoder</x:v>
      </x:c>
      <x:c r="E85" s="16" t="str"/>
      <x:c r="F85" s="16" t="str"/>
      <x:c r="G85" s="16" t="str"/>
      <x:c r="H85" s="16" t="str">
        <x:v>Y</x:v>
      </x:c>
      <x:c r="I85" s="16" t="str"/>
    </x:row>
    <x:row r="86">
      <x:c r="A86" s="16" t="n">
        <x:v>85</x:v>
      </x:c>
      <x:c r="B86" s="16" t="str">
        <x:v>MODEL</x:v>
      </x:c>
      <x:c r="C86" s="16" t="str">
        <x:f>Coder_A!C86</x:f>
        <x:v>PILOT_01_M03</x:v>
      </x:c>
      <x:c r="D86" s="16" t="str">
        <x:v>fusion_type</x:v>
      </x:c>
      <x:c r="E86" s="16" t="str"/>
      <x:c r="F86" s="16" t="str"/>
      <x:c r="G86" s="16" t="str"/>
      <x:c r="H86" s="16" t="str">
        <x:v>Y</x:v>
      </x:c>
      <x:c r="I86" s="16" t="str"/>
    </x:row>
    <x:row r="87">
      <x:c r="A87" s="16" t="n">
        <x:v>86</x:v>
      </x:c>
      <x:c r="B87" s="16" t="str">
        <x:v>MODEL</x:v>
      </x:c>
      <x:c r="C87" s="16" t="str">
        <x:f>Coder_A!C87</x:f>
        <x:v>PILOT_01_M03</x:v>
      </x:c>
      <x:c r="D87" s="16" t="str">
        <x:v>fusion_location</x:v>
      </x:c>
      <x:c r="E87" s="16" t="str"/>
      <x:c r="F87" s="16" t="str"/>
      <x:c r="G87" s="16" t="str"/>
      <x:c r="H87" s="16" t="str">
        <x:v>Y</x:v>
      </x:c>
      <x:c r="I87" s="16" t="str"/>
    </x:row>
    <x:row r="88">
      <x:c r="A88" s="16" t="n">
        <x:v>87</x:v>
      </x:c>
      <x:c r="B88" s="16" t="str">
        <x:v>MODEL</x:v>
      </x:c>
      <x:c r="C88" s="16" t="str">
        <x:f>Coder_A!C88</x:f>
        <x:v>PILOT_01_M03</x:v>
      </x:c>
      <x:c r="D88" s="16" t="str">
        <x:v>ssl_family</x:v>
      </x:c>
      <x:c r="E88" s="16" t="str"/>
      <x:c r="F88" s="16" t="str"/>
      <x:c r="G88" s="16" t="str"/>
      <x:c r="H88" s="16" t="str">
        <x:v>Y</x:v>
      </x:c>
      <x:c r="I88" s="16" t="str"/>
    </x:row>
    <x:row r="89">
      <x:c r="A89" s="16" t="n">
        <x:v>88</x:v>
      </x:c>
      <x:c r="B89" s="16" t="str">
        <x:v>MODEL</x:v>
      </x:c>
      <x:c r="C89" s="16" t="str">
        <x:f>Coder_A!C89</x:f>
        <x:v>PILOT_01_M03</x:v>
      </x:c>
      <x:c r="D89" s="16" t="str">
        <x:v>non_ssl_pretraining</x:v>
      </x:c>
      <x:c r="E89" s="16" t="str"/>
      <x:c r="F89" s="16" t="str"/>
      <x:c r="G89" s="16" t="str"/>
      <x:c r="H89" s="16" t="str">
        <x:v>Y</x:v>
      </x:c>
      <x:c r="I89" s="16" t="str"/>
    </x:row>
    <x:row r="90">
      <x:c r="A90" s="16" t="n">
        <x:v>89</x:v>
      </x:c>
      <x:c r="B90" s="16" t="str">
        <x:v>MODEL</x:v>
      </x:c>
      <x:c r="C90" s="16" t="str">
        <x:f>Coder_A!C90</x:f>
        <x:v>PILOT_01_M03</x:v>
      </x:c>
      <x:c r="D90" s="16" t="str">
        <x:v>ssl_training_mode</x:v>
      </x:c>
      <x:c r="E90" s="16" t="str"/>
      <x:c r="F90" s="16" t="str"/>
      <x:c r="G90" s="16" t="str"/>
      <x:c r="H90" s="16" t="str">
        <x:v>Y</x:v>
      </x:c>
      <x:c r="I90" s="16" t="str"/>
    </x:row>
    <x:row r="91">
      <x:c r="A91" s="16" t="n">
        <x:v>90</x:v>
      </x:c>
      <x:c r="B91" s="16" t="str">
        <x:v>MODEL</x:v>
      </x:c>
      <x:c r="C91" s="16" t="str">
        <x:f>Coder_A!C91</x:f>
        <x:v>PILOT_01_M03</x:v>
      </x:c>
      <x:c r="D91" s="16" t="str">
        <x:v>ssl_target_level</x:v>
      </x:c>
      <x:c r="E91" s="16" t="str"/>
      <x:c r="F91" s="16" t="str"/>
      <x:c r="G91" s="16" t="str"/>
      <x:c r="H91" s="16" t="str">
        <x:v>Y</x:v>
      </x:c>
      <x:c r="I91" s="16" t="str"/>
    </x:row>
    <x:row r="92">
      <x:c r="A92" s="16" t="n">
        <x:v>91</x:v>
      </x:c>
      <x:c r="B92" s="16" t="str">
        <x:v>MODEL</x:v>
      </x:c>
      <x:c r="C92" s="16" t="str">
        <x:f>Coder_A!C92</x:f>
        <x:v>PILOT_01_M03</x:v>
      </x:c>
      <x:c r="D92" s="16" t="str">
        <x:v>augmentation_type</x:v>
      </x:c>
      <x:c r="E92" s="16" t="str"/>
      <x:c r="F92" s="16" t="str"/>
      <x:c r="G92" s="16" t="str"/>
      <x:c r="H92" s="16" t="str">
        <x:v>Y</x:v>
      </x:c>
      <x:c r="I92" s="16" t="str"/>
    </x:row>
    <x:row r="93">
      <x:c r="A93" s="16" t="n">
        <x:v>92</x:v>
      </x:c>
      <x:c r="B93" s="16" t="str">
        <x:v>MODEL</x:v>
      </x:c>
      <x:c r="C93" s="16" t="str">
        <x:f>Coder_A!C93</x:f>
        <x:v>PILOT_01_M03</x:v>
      </x:c>
      <x:c r="D93" s="16" t="str">
        <x:v>educational_structure_preservation</x:v>
      </x:c>
      <x:c r="E93" s="16" t="str"/>
      <x:c r="F93" s="16" t="str"/>
      <x:c r="G93" s="16" t="str"/>
      <x:c r="H93" s="16" t="str">
        <x:v>Y</x:v>
      </x:c>
      <x:c r="I93" s="16" t="str"/>
    </x:row>
    <x:row r="94">
      <x:c r="A94" s="16" t="n">
        <x:v>93</x:v>
      </x:c>
      <x:c r="B94" s="16" t="str">
        <x:v>MODEL</x:v>
      </x:c>
      <x:c r="C94" s="16" t="str">
        <x:f>Coder_A!C94</x:f>
        <x:v>PILOT_01_M03</x:v>
      </x:c>
      <x:c r="D94" s="16" t="str">
        <x:v>augmentation_validity_ablation</x:v>
      </x:c>
      <x:c r="E94" s="16" t="str"/>
      <x:c r="F94" s="16" t="str"/>
      <x:c r="G94" s="16" t="str"/>
      <x:c r="H94" s="16" t="str">
        <x:v>Y</x:v>
      </x:c>
      <x:c r="I94" s="16" t="str"/>
    </x:row>
    <x:row r="95">
      <x:c r="A95" s="16" t="n">
        <x:v>94</x:v>
      </x:c>
      <x:c r="B95" s="16" t="str">
        <x:v>MODEL</x:v>
      </x:c>
      <x:c r="C95" s="16" t="str">
        <x:f>Coder_A!C95</x:f>
        <x:v>PILOT_01_M04</x:v>
      </x:c>
      <x:c r="D95" s="16" t="str">
        <x:v>graph_source</x:v>
      </x:c>
      <x:c r="E95" s="16" t="str"/>
      <x:c r="F95" s="16" t="str"/>
      <x:c r="G95" s="16" t="str"/>
      <x:c r="H95" s="16" t="str">
        <x:v>Y</x:v>
      </x:c>
      <x:c r="I95" s="16" t="str"/>
    </x:row>
    <x:row r="96">
      <x:c r="A96" s="16" t="n">
        <x:v>95</x:v>
      </x:c>
      <x:c r="B96" s="16" t="str">
        <x:v>MODEL</x:v>
      </x:c>
      <x:c r="C96" s="16" t="str">
        <x:f>Coder_A!C96</x:f>
        <x:v>PILOT_01_M04</x:v>
      </x:c>
      <x:c r="D96" s="16" t="str">
        <x:v>graph_provenance</x:v>
      </x:c>
      <x:c r="E96" s="16" t="str"/>
      <x:c r="F96" s="16" t="str"/>
      <x:c r="G96" s="16" t="str"/>
      <x:c r="H96" s="16" t="str">
        <x:v>Y</x:v>
      </x:c>
      <x:c r="I96" s="16" t="str"/>
    </x:row>
    <x:row r="97">
      <x:c r="A97" s="16" t="n">
        <x:v>96</x:v>
      </x:c>
      <x:c r="B97" s="16" t="str">
        <x:v>MODEL</x:v>
      </x:c>
      <x:c r="C97" s="16" t="str">
        <x:f>Coder_A!C97</x:f>
        <x:v>PILOT_01_M04</x:v>
      </x:c>
      <x:c r="D97" s="16" t="str">
        <x:v>graph_leakage_risk</x:v>
      </x:c>
      <x:c r="E97" s="16" t="str"/>
      <x:c r="F97" s="16" t="str"/>
      <x:c r="G97" s="16" t="str"/>
      <x:c r="H97" s="16" t="str">
        <x:v>Y</x:v>
      </x:c>
      <x:c r="I97" s="16" t="str"/>
    </x:row>
    <x:row r="98">
      <x:c r="A98" s="16" t="n">
        <x:v>97</x:v>
      </x:c>
      <x:c r="B98" s="16" t="str">
        <x:v>MODEL</x:v>
      </x:c>
      <x:c r="C98" s="16" t="str">
        <x:f>Coder_A!C98</x:f>
        <x:v>PILOT_01_M04</x:v>
      </x:c>
      <x:c r="D98" s="16" t="str">
        <x:v>graph_construction_uses_response_labels</x:v>
      </x:c>
      <x:c r="E98" s="16" t="str"/>
      <x:c r="F98" s="16" t="str"/>
      <x:c r="G98" s="16" t="str"/>
      <x:c r="H98" s="16" t="str">
        <x:v>Y</x:v>
      </x:c>
      <x:c r="I98" s="16" t="str"/>
    </x:row>
    <x:row r="99">
      <x:c r="A99" s="16" t="n">
        <x:v>98</x:v>
      </x:c>
      <x:c r="B99" s="16" t="str">
        <x:v>MODEL</x:v>
      </x:c>
      <x:c r="C99" s="16" t="str">
        <x:f>Coder_A!C99</x:f>
        <x:v>PILOT_01_M04</x:v>
      </x:c>
      <x:c r="D99" s="16" t="str">
        <x:v>graph_construction_uses_test_partition</x:v>
      </x:c>
      <x:c r="E99" s="16" t="str"/>
      <x:c r="F99" s="16" t="str"/>
      <x:c r="G99" s="16" t="str"/>
      <x:c r="H99" s="16" t="str">
        <x:v>Y</x:v>
      </x:c>
      <x:c r="I99" s="16" t="str"/>
    </x:row>
    <x:row r="100">
      <x:c r="A100" s="16" t="n">
        <x:v>99</x:v>
      </x:c>
      <x:c r="B100" s="16" t="str">
        <x:v>MODEL</x:v>
      </x:c>
      <x:c r="C100" s="16" t="str">
        <x:f>Coder_A!C100</x:f>
        <x:v>PILOT_01_M04</x:v>
      </x:c>
      <x:c r="D100" s="16" t="str">
        <x:v>graph_representation</x:v>
      </x:c>
      <x:c r="E100" s="16" t="str"/>
      <x:c r="F100" s="16" t="str"/>
      <x:c r="G100" s="16" t="str"/>
      <x:c r="H100" s="16" t="str">
        <x:v>Y</x:v>
      </x:c>
      <x:c r="I100" s="16" t="str"/>
    </x:row>
    <x:row r="101">
      <x:c r="A101" s="16" t="n">
        <x:v>100</x:v>
      </x:c>
      <x:c r="B101" s="16" t="str">
        <x:v>MODEL</x:v>
      </x:c>
      <x:c r="C101" s="16" t="str">
        <x:f>Coder_A!C101</x:f>
        <x:v>PILOT_01_M04</x:v>
      </x:c>
      <x:c r="D101" s="16" t="str">
        <x:v>directed</x:v>
      </x:c>
      <x:c r="E101" s="16" t="str"/>
      <x:c r="F101" s="16" t="str"/>
      <x:c r="G101" s="16" t="str"/>
      <x:c r="H101" s="16" t="str">
        <x:v>Y</x:v>
      </x:c>
      <x:c r="I101" s="16" t="str"/>
    </x:row>
    <x:row r="102">
      <x:c r="A102" s="16" t="n">
        <x:v>101</x:v>
      </x:c>
      <x:c r="B102" s="16" t="str">
        <x:v>MODEL</x:v>
      </x:c>
      <x:c r="C102" s="16" t="str">
        <x:f>Coder_A!C102</x:f>
        <x:v>PILOT_01_M04</x:v>
      </x:c>
      <x:c r="D102" s="16" t="str">
        <x:v>weighted</x:v>
      </x:c>
      <x:c r="E102" s="16" t="str"/>
      <x:c r="F102" s="16" t="str"/>
      <x:c r="G102" s="16" t="str"/>
      <x:c r="H102" s="16" t="str">
        <x:v>Y</x:v>
      </x:c>
      <x:c r="I102" s="16" t="str"/>
    </x:row>
    <x:row r="103">
      <x:c r="A103" s="16" t="n">
        <x:v>102</x:v>
      </x:c>
      <x:c r="B103" s="16" t="str">
        <x:v>MODEL</x:v>
      </x:c>
      <x:c r="C103" s="16" t="str">
        <x:f>Coder_A!C103</x:f>
        <x:v>PILOT_01_M04</x:v>
      </x:c>
      <x:c r="D103" s="16" t="str">
        <x:v>typed_edges</x:v>
      </x:c>
      <x:c r="E103" s="16" t="str"/>
      <x:c r="F103" s="16" t="str"/>
      <x:c r="G103" s="16" t="str"/>
      <x:c r="H103" s="16" t="str">
        <x:v>Y</x:v>
      </x:c>
      <x:c r="I103" s="16" t="str"/>
    </x:row>
    <x:row r="104">
      <x:c r="A104" s="16" t="n">
        <x:v>103</x:v>
      </x:c>
      <x:c r="B104" s="16" t="str">
        <x:v>MODEL</x:v>
      </x:c>
      <x:c r="C104" s="16" t="str">
        <x:f>Coder_A!C104</x:f>
        <x:v>PILOT_01_M04</x:v>
      </x:c>
      <x:c r="D104" s="16" t="str">
        <x:v>dynamic</x:v>
      </x:c>
      <x:c r="E104" s="16" t="str"/>
      <x:c r="F104" s="16" t="str"/>
      <x:c r="G104" s="16" t="str"/>
      <x:c r="H104" s="16" t="str">
        <x:v>Y</x:v>
      </x:c>
      <x:c r="I104" s="16" t="str"/>
    </x:row>
    <x:row r="105">
      <x:c r="A105" s="16" t="n">
        <x:v>104</x:v>
      </x:c>
      <x:c r="B105" s="16" t="str">
        <x:v>MODEL</x:v>
      </x:c>
      <x:c r="C105" s="16" t="str">
        <x:f>Coder_A!C105</x:f>
        <x:v>PILOT_01_M04</x:v>
      </x:c>
      <x:c r="D105" s="16" t="str">
        <x:v>dag_enforced</x:v>
      </x:c>
      <x:c r="E105" s="16" t="str"/>
      <x:c r="F105" s="16" t="str"/>
      <x:c r="G105" s="16" t="str"/>
      <x:c r="H105" s="16" t="str">
        <x:v>Y</x:v>
      </x:c>
      <x:c r="I105" s="16" t="str"/>
    </x:row>
    <x:row r="106">
      <x:c r="A106" s="16" t="n">
        <x:v>105</x:v>
      </x:c>
      <x:c r="B106" s="16" t="str">
        <x:v>MODEL</x:v>
      </x:c>
      <x:c r="C106" s="16" t="str">
        <x:f>Coder_A!C106</x:f>
        <x:v>PILOT_01_M04</x:v>
      </x:c>
      <x:c r="D106" s="16" t="str">
        <x:v>edge_confidence_used</x:v>
      </x:c>
      <x:c r="E106" s="16" t="str"/>
      <x:c r="F106" s="16" t="str"/>
      <x:c r="G106" s="16" t="str"/>
      <x:c r="H106" s="16" t="str">
        <x:v>Y</x:v>
      </x:c>
      <x:c r="I106" s="16" t="str"/>
    </x:row>
    <x:row r="107">
      <x:c r="A107" s="16" t="n">
        <x:v>106</x:v>
      </x:c>
      <x:c r="B107" s="16" t="str">
        <x:v>MODEL</x:v>
      </x:c>
      <x:c r="C107" s="16" t="str">
        <x:f>Coder_A!C107</x:f>
        <x:v>PILOT_01_M04</x:v>
      </x:c>
      <x:c r="D107" s="16" t="str">
        <x:v>gnn_encoder</x:v>
      </x:c>
      <x:c r="E107" s="16" t="str"/>
      <x:c r="F107" s="16" t="str"/>
      <x:c r="G107" s="16" t="str"/>
      <x:c r="H107" s="16" t="str">
        <x:v>Y</x:v>
      </x:c>
      <x:c r="I107" s="16" t="str"/>
    </x:row>
    <x:row r="108">
      <x:c r="A108" s="16" t="n">
        <x:v>107</x:v>
      </x:c>
      <x:c r="B108" s="16" t="str">
        <x:v>MODEL</x:v>
      </x:c>
      <x:c r="C108" s="16" t="str">
        <x:f>Coder_A!C108</x:f>
        <x:v>PILOT_01_M04</x:v>
      </x:c>
      <x:c r="D108" s="16" t="str">
        <x:v>temporal_backbone</x:v>
      </x:c>
      <x:c r="E108" s="16" t="str"/>
      <x:c r="F108" s="16" t="str"/>
      <x:c r="G108" s="16" t="str"/>
      <x:c r="H108" s="16" t="str">
        <x:v>Y</x:v>
      </x:c>
      <x:c r="I108" s="16" t="str"/>
    </x:row>
    <x:row r="109">
      <x:c r="A109" s="16" t="n">
        <x:v>108</x:v>
      </x:c>
      <x:c r="B109" s="16" t="str">
        <x:v>MODEL</x:v>
      </x:c>
      <x:c r="C109" s="16" t="str">
        <x:f>Coder_A!C109</x:f>
        <x:v>PILOT_01_M04</x:v>
      </x:c>
      <x:c r="D109" s="16" t="str">
        <x:v>semantic_auxiliary_encoder</x:v>
      </x:c>
      <x:c r="E109" s="16" t="str"/>
      <x:c r="F109" s="16" t="str"/>
      <x:c r="G109" s="16" t="str"/>
      <x:c r="H109" s="16" t="str">
        <x:v>Y</x:v>
      </x:c>
      <x:c r="I109" s="16" t="str"/>
    </x:row>
    <x:row r="110">
      <x:c r="A110" s="16" t="n">
        <x:v>109</x:v>
      </x:c>
      <x:c r="B110" s="16" t="str">
        <x:v>MODEL</x:v>
      </x:c>
      <x:c r="C110" s="16" t="str">
        <x:f>Coder_A!C110</x:f>
        <x:v>PILOT_01_M04</x:v>
      </x:c>
      <x:c r="D110" s="16" t="str">
        <x:v>fusion_type</x:v>
      </x:c>
      <x:c r="E110" s="16" t="str"/>
      <x:c r="F110" s="16" t="str"/>
      <x:c r="G110" s="16" t="str"/>
      <x:c r="H110" s="16" t="str">
        <x:v>Y</x:v>
      </x:c>
      <x:c r="I110" s="16" t="str"/>
    </x:row>
    <x:row r="111">
      <x:c r="A111" s="16" t="n">
        <x:v>110</x:v>
      </x:c>
      <x:c r="B111" s="16" t="str">
        <x:v>MODEL</x:v>
      </x:c>
      <x:c r="C111" s="16" t="str">
        <x:f>Coder_A!C111</x:f>
        <x:v>PILOT_01_M04</x:v>
      </x:c>
      <x:c r="D111" s="16" t="str">
        <x:v>fusion_location</x:v>
      </x:c>
      <x:c r="E111" s="16" t="str"/>
      <x:c r="F111" s="16" t="str"/>
      <x:c r="G111" s="16" t="str"/>
      <x:c r="H111" s="16" t="str">
        <x:v>Y</x:v>
      </x:c>
      <x:c r="I111" s="16" t="str"/>
    </x:row>
    <x:row r="112">
      <x:c r="A112" s="16" t="n">
        <x:v>111</x:v>
      </x:c>
      <x:c r="B112" s="16" t="str">
        <x:v>MODEL</x:v>
      </x:c>
      <x:c r="C112" s="16" t="str">
        <x:f>Coder_A!C112</x:f>
        <x:v>PILOT_01_M04</x:v>
      </x:c>
      <x:c r="D112" s="16" t="str">
        <x:v>ssl_family</x:v>
      </x:c>
      <x:c r="E112" s="16" t="str"/>
      <x:c r="F112" s="16" t="str"/>
      <x:c r="G112" s="16" t="str"/>
      <x:c r="H112" s="16" t="str">
        <x:v>Y</x:v>
      </x:c>
      <x:c r="I112" s="16" t="str"/>
    </x:row>
    <x:row r="113">
      <x:c r="A113" s="16" t="n">
        <x:v>112</x:v>
      </x:c>
      <x:c r="B113" s="16" t="str">
        <x:v>MODEL</x:v>
      </x:c>
      <x:c r="C113" s="16" t="str">
        <x:f>Coder_A!C113</x:f>
        <x:v>PILOT_01_M04</x:v>
      </x:c>
      <x:c r="D113" s="16" t="str">
        <x:v>non_ssl_pretraining</x:v>
      </x:c>
      <x:c r="E113" s="16" t="str"/>
      <x:c r="F113" s="16" t="str"/>
      <x:c r="G113" s="16" t="str"/>
      <x:c r="H113" s="16" t="str">
        <x:v>Y</x:v>
      </x:c>
      <x:c r="I113" s="16" t="str"/>
    </x:row>
    <x:row r="114">
      <x:c r="A114" s="16" t="n">
        <x:v>113</x:v>
      </x:c>
      <x:c r="B114" s="16" t="str">
        <x:v>MODEL</x:v>
      </x:c>
      <x:c r="C114" s="16" t="str">
        <x:f>Coder_A!C114</x:f>
        <x:v>PILOT_01_M04</x:v>
      </x:c>
      <x:c r="D114" s="16" t="str">
        <x:v>ssl_training_mode</x:v>
      </x:c>
      <x:c r="E114" s="16" t="str"/>
      <x:c r="F114" s="16" t="str"/>
      <x:c r="G114" s="16" t="str"/>
      <x:c r="H114" s="16" t="str">
        <x:v>Y</x:v>
      </x:c>
      <x:c r="I114" s="16" t="str"/>
    </x:row>
    <x:row r="115">
      <x:c r="A115" s="16" t="n">
        <x:v>114</x:v>
      </x:c>
      <x:c r="B115" s="16" t="str">
        <x:v>MODEL</x:v>
      </x:c>
      <x:c r="C115" s="16" t="str">
        <x:f>Coder_A!C115</x:f>
        <x:v>PILOT_01_M04</x:v>
      </x:c>
      <x:c r="D115" s="16" t="str">
        <x:v>ssl_target_level</x:v>
      </x:c>
      <x:c r="E115" s="16" t="str"/>
      <x:c r="F115" s="16" t="str"/>
      <x:c r="G115" s="16" t="str"/>
      <x:c r="H115" s="16" t="str">
        <x:v>Y</x:v>
      </x:c>
      <x:c r="I115" s="16" t="str"/>
    </x:row>
    <x:row r="116">
      <x:c r="A116" s="16" t="n">
        <x:v>115</x:v>
      </x:c>
      <x:c r="B116" s="16" t="str">
        <x:v>MODEL</x:v>
      </x:c>
      <x:c r="C116" s="16" t="str">
        <x:f>Coder_A!C116</x:f>
        <x:v>PILOT_01_M04</x:v>
      </x:c>
      <x:c r="D116" s="16" t="str">
        <x:v>augmentation_type</x:v>
      </x:c>
      <x:c r="E116" s="16" t="str"/>
      <x:c r="F116" s="16" t="str"/>
      <x:c r="G116" s="16" t="str"/>
      <x:c r="H116" s="16" t="str">
        <x:v>Y</x:v>
      </x:c>
      <x:c r="I116" s="16" t="str"/>
    </x:row>
    <x:row r="117">
      <x:c r="A117" s="16" t="n">
        <x:v>116</x:v>
      </x:c>
      <x:c r="B117" s="16" t="str">
        <x:v>MODEL</x:v>
      </x:c>
      <x:c r="C117" s="16" t="str">
        <x:f>Coder_A!C117</x:f>
        <x:v>PILOT_01_M04</x:v>
      </x:c>
      <x:c r="D117" s="16" t="str">
        <x:v>educational_structure_preservation</x:v>
      </x:c>
      <x:c r="E117" s="16" t="str"/>
      <x:c r="F117" s="16" t="str"/>
      <x:c r="G117" s="16" t="str"/>
      <x:c r="H117" s="16" t="str">
        <x:v>Y</x:v>
      </x:c>
      <x:c r="I117" s="16" t="str"/>
    </x:row>
    <x:row r="118">
      <x:c r="A118" s="16" t="n">
        <x:v>117</x:v>
      </x:c>
      <x:c r="B118" s="16" t="str">
        <x:v>MODEL</x:v>
      </x:c>
      <x:c r="C118" s="16" t="str">
        <x:f>Coder_A!C118</x:f>
        <x:v>PILOT_01_M04</x:v>
      </x:c>
      <x:c r="D118" s="16" t="str">
        <x:v>augmentation_validity_ablation</x:v>
      </x:c>
      <x:c r="E118" s="16" t="str"/>
      <x:c r="F118" s="16" t="str"/>
      <x:c r="G118" s="16" t="str"/>
      <x:c r="H118" s="16" t="str">
        <x:v>Y</x:v>
      </x:c>
      <x:c r="I118" s="16" t="str"/>
    </x:row>
    <x:row r="119">
      <x:c r="A119" s="16" t="n">
        <x:v>118</x:v>
      </x:c>
      <x:c r="B119" s="16" t="str">
        <x:v>MODEL</x:v>
      </x:c>
      <x:c r="C119" s="16" t="str">
        <x:f>Coder_A!C119</x:f>
        <x:v>PILOT_01_M05</x:v>
      </x:c>
      <x:c r="D119" s="16" t="str">
        <x:v>graph_source</x:v>
      </x:c>
      <x:c r="E119" s="16" t="str"/>
      <x:c r="F119" s="16" t="str"/>
      <x:c r="G119" s="16" t="str"/>
      <x:c r="H119" s="16" t="str">
        <x:v>Y</x:v>
      </x:c>
      <x:c r="I119" s="16" t="str"/>
    </x:row>
    <x:row r="120">
      <x:c r="A120" s="16" t="n">
        <x:v>119</x:v>
      </x:c>
      <x:c r="B120" s="16" t="str">
        <x:v>MODEL</x:v>
      </x:c>
      <x:c r="C120" s="16" t="str">
        <x:f>Coder_A!C120</x:f>
        <x:v>PILOT_01_M05</x:v>
      </x:c>
      <x:c r="D120" s="16" t="str">
        <x:v>graph_provenance</x:v>
      </x:c>
      <x:c r="E120" s="16" t="str"/>
      <x:c r="F120" s="16" t="str"/>
      <x:c r="G120" s="16" t="str"/>
      <x:c r="H120" s="16" t="str">
        <x:v>Y</x:v>
      </x:c>
      <x:c r="I120" s="16" t="str"/>
    </x:row>
    <x:row r="121">
      <x:c r="A121" s="16" t="n">
        <x:v>120</x:v>
      </x:c>
      <x:c r="B121" s="16" t="str">
        <x:v>MODEL</x:v>
      </x:c>
      <x:c r="C121" s="16" t="str">
        <x:f>Coder_A!C121</x:f>
        <x:v>PILOT_01_M05</x:v>
      </x:c>
      <x:c r="D121" s="16" t="str">
        <x:v>graph_leakage_risk</x:v>
      </x:c>
      <x:c r="E121" s="16" t="str"/>
      <x:c r="F121" s="16" t="str"/>
      <x:c r="G121" s="16" t="str"/>
      <x:c r="H121" s="16" t="str">
        <x:v>Y</x:v>
      </x:c>
      <x:c r="I121" s="16" t="str"/>
    </x:row>
    <x:row r="122">
      <x:c r="A122" s="16" t="n">
        <x:v>121</x:v>
      </x:c>
      <x:c r="B122" s="16" t="str">
        <x:v>MODEL</x:v>
      </x:c>
      <x:c r="C122" s="16" t="str">
        <x:f>Coder_A!C122</x:f>
        <x:v>PILOT_01_M05</x:v>
      </x:c>
      <x:c r="D122" s="16" t="str">
        <x:v>graph_construction_uses_response_labels</x:v>
      </x:c>
      <x:c r="E122" s="16" t="str"/>
      <x:c r="F122" s="16" t="str"/>
      <x:c r="G122" s="16" t="str"/>
      <x:c r="H122" s="16" t="str">
        <x:v>Y</x:v>
      </x:c>
      <x:c r="I122" s="16" t="str"/>
    </x:row>
    <x:row r="123">
      <x:c r="A123" s="16" t="n">
        <x:v>122</x:v>
      </x:c>
      <x:c r="B123" s="16" t="str">
        <x:v>MODEL</x:v>
      </x:c>
      <x:c r="C123" s="16" t="str">
        <x:f>Coder_A!C123</x:f>
        <x:v>PILOT_01_M05</x:v>
      </x:c>
      <x:c r="D123" s="16" t="str">
        <x:v>graph_construction_uses_test_partition</x:v>
      </x:c>
      <x:c r="E123" s="16" t="str"/>
      <x:c r="F123" s="16" t="str"/>
      <x:c r="G123" s="16" t="str"/>
      <x:c r="H123" s="16" t="str">
        <x:v>Y</x:v>
      </x:c>
      <x:c r="I123" s="16" t="str"/>
    </x:row>
    <x:row r="124">
      <x:c r="A124" s="16" t="n">
        <x:v>123</x:v>
      </x:c>
      <x:c r="B124" s="16" t="str">
        <x:v>MODEL</x:v>
      </x:c>
      <x:c r="C124" s="16" t="str">
        <x:f>Coder_A!C124</x:f>
        <x:v>PILOT_01_M05</x:v>
      </x:c>
      <x:c r="D124" s="16" t="str">
        <x:v>graph_representation</x:v>
      </x:c>
      <x:c r="E124" s="16" t="str"/>
      <x:c r="F124" s="16" t="str"/>
      <x:c r="G124" s="16" t="str"/>
      <x:c r="H124" s="16" t="str">
        <x:v>Y</x:v>
      </x:c>
      <x:c r="I124" s="16" t="str"/>
    </x:row>
    <x:row r="125">
      <x:c r="A125" s="16" t="n">
        <x:v>124</x:v>
      </x:c>
      <x:c r="B125" s="16" t="str">
        <x:v>MODEL</x:v>
      </x:c>
      <x:c r="C125" s="16" t="str">
        <x:f>Coder_A!C125</x:f>
        <x:v>PILOT_01_M05</x:v>
      </x:c>
      <x:c r="D125" s="16" t="str">
        <x:v>directed</x:v>
      </x:c>
      <x:c r="E125" s="16" t="str"/>
      <x:c r="F125" s="16" t="str"/>
      <x:c r="G125" s="16" t="str"/>
      <x:c r="H125" s="16" t="str">
        <x:v>Y</x:v>
      </x:c>
      <x:c r="I125" s="16" t="str"/>
    </x:row>
    <x:row r="126">
      <x:c r="A126" s="16" t="n">
        <x:v>125</x:v>
      </x:c>
      <x:c r="B126" s="16" t="str">
        <x:v>MODEL</x:v>
      </x:c>
      <x:c r="C126" s="16" t="str">
        <x:f>Coder_A!C126</x:f>
        <x:v>PILOT_01_M05</x:v>
      </x:c>
      <x:c r="D126" s="16" t="str">
        <x:v>weighted</x:v>
      </x:c>
      <x:c r="E126" s="16" t="str"/>
      <x:c r="F126" s="16" t="str"/>
      <x:c r="G126" s="16" t="str"/>
      <x:c r="H126" s="16" t="str">
        <x:v>Y</x:v>
      </x:c>
      <x:c r="I126" s="16" t="str"/>
    </x:row>
    <x:row r="127">
      <x:c r="A127" s="16" t="n">
        <x:v>126</x:v>
      </x:c>
      <x:c r="B127" s="16" t="str">
        <x:v>MODEL</x:v>
      </x:c>
      <x:c r="C127" s="16" t="str">
        <x:f>Coder_A!C127</x:f>
        <x:v>PILOT_01_M05</x:v>
      </x:c>
      <x:c r="D127" s="16" t="str">
        <x:v>typed_edges</x:v>
      </x:c>
      <x:c r="E127" s="16" t="str"/>
      <x:c r="F127" s="16" t="str"/>
      <x:c r="G127" s="16" t="str"/>
      <x:c r="H127" s="16" t="str">
        <x:v>Y</x:v>
      </x:c>
      <x:c r="I127" s="16" t="str"/>
    </x:row>
    <x:row r="128">
      <x:c r="A128" s="16" t="n">
        <x:v>127</x:v>
      </x:c>
      <x:c r="B128" s="16" t="str">
        <x:v>MODEL</x:v>
      </x:c>
      <x:c r="C128" s="16" t="str">
        <x:f>Coder_A!C128</x:f>
        <x:v>PILOT_01_M05</x:v>
      </x:c>
      <x:c r="D128" s="16" t="str">
        <x:v>dynamic</x:v>
      </x:c>
      <x:c r="E128" s="16" t="str"/>
      <x:c r="F128" s="16" t="str"/>
      <x:c r="G128" s="16" t="str"/>
      <x:c r="H128" s="16" t="str">
        <x:v>Y</x:v>
      </x:c>
      <x:c r="I128" s="16" t="str"/>
    </x:row>
    <x:row r="129">
      <x:c r="A129" s="16" t="n">
        <x:v>128</x:v>
      </x:c>
      <x:c r="B129" s="16" t="str">
        <x:v>MODEL</x:v>
      </x:c>
      <x:c r="C129" s="16" t="str">
        <x:f>Coder_A!C129</x:f>
        <x:v>PILOT_01_M05</x:v>
      </x:c>
      <x:c r="D129" s="16" t="str">
        <x:v>dag_enforced</x:v>
      </x:c>
      <x:c r="E129" s="16" t="str"/>
      <x:c r="F129" s="16" t="str"/>
      <x:c r="G129" s="16" t="str"/>
      <x:c r="H129" s="16" t="str">
        <x:v>Y</x:v>
      </x:c>
      <x:c r="I129" s="16" t="str"/>
    </x:row>
    <x:row r="130">
      <x:c r="A130" s="16" t="n">
        <x:v>129</x:v>
      </x:c>
      <x:c r="B130" s="16" t="str">
        <x:v>MODEL</x:v>
      </x:c>
      <x:c r="C130" s="16" t="str">
        <x:f>Coder_A!C130</x:f>
        <x:v>PILOT_01_M05</x:v>
      </x:c>
      <x:c r="D130" s="16" t="str">
        <x:v>edge_confidence_used</x:v>
      </x:c>
      <x:c r="E130" s="16" t="str"/>
      <x:c r="F130" s="16" t="str"/>
      <x:c r="G130" s="16" t="str"/>
      <x:c r="H130" s="16" t="str">
        <x:v>Y</x:v>
      </x:c>
      <x:c r="I130" s="16" t="str"/>
    </x:row>
    <x:row r="131">
      <x:c r="A131" s="16" t="n">
        <x:v>130</x:v>
      </x:c>
      <x:c r="B131" s="16" t="str">
        <x:v>MODEL</x:v>
      </x:c>
      <x:c r="C131" s="16" t="str">
        <x:f>Coder_A!C131</x:f>
        <x:v>PILOT_01_M05</x:v>
      </x:c>
      <x:c r="D131" s="16" t="str">
        <x:v>gnn_encoder</x:v>
      </x:c>
      <x:c r="E131" s="16" t="str"/>
      <x:c r="F131" s="16" t="str"/>
      <x:c r="G131" s="16" t="str"/>
      <x:c r="H131" s="16" t="str">
        <x:v>Y</x:v>
      </x:c>
      <x:c r="I131" s="16" t="str"/>
    </x:row>
    <x:row r="132">
      <x:c r="A132" s="16" t="n">
        <x:v>131</x:v>
      </x:c>
      <x:c r="B132" s="16" t="str">
        <x:v>MODEL</x:v>
      </x:c>
      <x:c r="C132" s="16" t="str">
        <x:f>Coder_A!C132</x:f>
        <x:v>PILOT_01_M05</x:v>
      </x:c>
      <x:c r="D132" s="16" t="str">
        <x:v>temporal_backbone</x:v>
      </x:c>
      <x:c r="E132" s="16" t="str"/>
      <x:c r="F132" s="16" t="str"/>
      <x:c r="G132" s="16" t="str"/>
      <x:c r="H132" s="16" t="str">
        <x:v>Y</x:v>
      </x:c>
      <x:c r="I132" s="16" t="str"/>
    </x:row>
    <x:row r="133">
      <x:c r="A133" s="16" t="n">
        <x:v>132</x:v>
      </x:c>
      <x:c r="B133" s="16" t="str">
        <x:v>MODEL</x:v>
      </x:c>
      <x:c r="C133" s="16" t="str">
        <x:f>Coder_A!C133</x:f>
        <x:v>PILOT_01_M05</x:v>
      </x:c>
      <x:c r="D133" s="16" t="str">
        <x:v>semantic_auxiliary_encoder</x:v>
      </x:c>
      <x:c r="E133" s="16" t="str"/>
      <x:c r="F133" s="16" t="str"/>
      <x:c r="G133" s="16" t="str"/>
      <x:c r="H133" s="16" t="str">
        <x:v>Y</x:v>
      </x:c>
      <x:c r="I133" s="16" t="str"/>
    </x:row>
    <x:row r="134">
      <x:c r="A134" s="16" t="n">
        <x:v>133</x:v>
      </x:c>
      <x:c r="B134" s="16" t="str">
        <x:v>MODEL</x:v>
      </x:c>
      <x:c r="C134" s="16" t="str">
        <x:f>Coder_A!C134</x:f>
        <x:v>PILOT_01_M05</x:v>
      </x:c>
      <x:c r="D134" s="16" t="str">
        <x:v>fusion_type</x:v>
      </x:c>
      <x:c r="E134" s="16" t="str"/>
      <x:c r="F134" s="16" t="str"/>
      <x:c r="G134" s="16" t="str"/>
      <x:c r="H134" s="16" t="str">
        <x:v>Y</x:v>
      </x:c>
      <x:c r="I134" s="16" t="str"/>
    </x:row>
    <x:row r="135">
      <x:c r="A135" s="16" t="n">
        <x:v>134</x:v>
      </x:c>
      <x:c r="B135" s="16" t="str">
        <x:v>MODEL</x:v>
      </x:c>
      <x:c r="C135" s="16" t="str">
        <x:f>Coder_A!C135</x:f>
        <x:v>PILOT_01_M05</x:v>
      </x:c>
      <x:c r="D135" s="16" t="str">
        <x:v>fusion_location</x:v>
      </x:c>
      <x:c r="E135" s="16" t="str"/>
      <x:c r="F135" s="16" t="str"/>
      <x:c r="G135" s="16" t="str"/>
      <x:c r="H135" s="16" t="str">
        <x:v>Y</x:v>
      </x:c>
      <x:c r="I135" s="16" t="str"/>
    </x:row>
    <x:row r="136">
      <x:c r="A136" s="16" t="n">
        <x:v>135</x:v>
      </x:c>
      <x:c r="B136" s="16" t="str">
        <x:v>MODEL</x:v>
      </x:c>
      <x:c r="C136" s="16" t="str">
        <x:f>Coder_A!C136</x:f>
        <x:v>PILOT_01_M05</x:v>
      </x:c>
      <x:c r="D136" s="16" t="str">
        <x:v>ssl_family</x:v>
      </x:c>
      <x:c r="E136" s="16" t="str"/>
      <x:c r="F136" s="16" t="str"/>
      <x:c r="G136" s="16" t="str"/>
      <x:c r="H136" s="16" t="str">
        <x:v>Y</x:v>
      </x:c>
      <x:c r="I136" s="16" t="str"/>
    </x:row>
    <x:row r="137">
      <x:c r="A137" s="16" t="n">
        <x:v>136</x:v>
      </x:c>
      <x:c r="B137" s="16" t="str">
        <x:v>MODEL</x:v>
      </x:c>
      <x:c r="C137" s="16" t="str">
        <x:f>Coder_A!C137</x:f>
        <x:v>PILOT_01_M05</x:v>
      </x:c>
      <x:c r="D137" s="16" t="str">
        <x:v>non_ssl_pretraining</x:v>
      </x:c>
      <x:c r="E137" s="16" t="str"/>
      <x:c r="F137" s="16" t="str"/>
      <x:c r="G137" s="16" t="str"/>
      <x:c r="H137" s="16" t="str">
        <x:v>Y</x:v>
      </x:c>
      <x:c r="I137" s="16" t="str"/>
    </x:row>
    <x:row r="138">
      <x:c r="A138" s="16" t="n">
        <x:v>137</x:v>
      </x:c>
      <x:c r="B138" s="16" t="str">
        <x:v>MODEL</x:v>
      </x:c>
      <x:c r="C138" s="16" t="str">
        <x:f>Coder_A!C138</x:f>
        <x:v>PILOT_01_M05</x:v>
      </x:c>
      <x:c r="D138" s="16" t="str">
        <x:v>ssl_training_mode</x:v>
      </x:c>
      <x:c r="E138" s="16" t="str"/>
      <x:c r="F138" s="16" t="str"/>
      <x:c r="G138" s="16" t="str"/>
      <x:c r="H138" s="16" t="str">
        <x:v>Y</x:v>
      </x:c>
      <x:c r="I138" s="16" t="str"/>
    </x:row>
    <x:row r="139">
      <x:c r="A139" s="16" t="n">
        <x:v>138</x:v>
      </x:c>
      <x:c r="B139" s="16" t="str">
        <x:v>MODEL</x:v>
      </x:c>
      <x:c r="C139" s="16" t="str">
        <x:f>Coder_A!C139</x:f>
        <x:v>PILOT_01_M05</x:v>
      </x:c>
      <x:c r="D139" s="16" t="str">
        <x:v>ssl_target_level</x:v>
      </x:c>
      <x:c r="E139" s="16" t="str"/>
      <x:c r="F139" s="16" t="str"/>
      <x:c r="G139" s="16" t="str"/>
      <x:c r="H139" s="16" t="str">
        <x:v>Y</x:v>
      </x:c>
      <x:c r="I139" s="16" t="str"/>
    </x:row>
    <x:row r="140">
      <x:c r="A140" s="16" t="n">
        <x:v>139</x:v>
      </x:c>
      <x:c r="B140" s="16" t="str">
        <x:v>MODEL</x:v>
      </x:c>
      <x:c r="C140" s="16" t="str">
        <x:f>Coder_A!C140</x:f>
        <x:v>PILOT_01_M05</x:v>
      </x:c>
      <x:c r="D140" s="16" t="str">
        <x:v>augmentation_type</x:v>
      </x:c>
      <x:c r="E140" s="16" t="str"/>
      <x:c r="F140" s="16" t="str"/>
      <x:c r="G140" s="16" t="str"/>
      <x:c r="H140" s="16" t="str">
        <x:v>Y</x:v>
      </x:c>
      <x:c r="I140" s="16" t="str"/>
    </x:row>
    <x:row r="141">
      <x:c r="A141" s="16" t="n">
        <x:v>140</x:v>
      </x:c>
      <x:c r="B141" s="16" t="str">
        <x:v>MODEL</x:v>
      </x:c>
      <x:c r="C141" s="16" t="str">
        <x:f>Coder_A!C141</x:f>
        <x:v>PILOT_01_M05</x:v>
      </x:c>
      <x:c r="D141" s="16" t="str">
        <x:v>educational_structure_preservation</x:v>
      </x:c>
      <x:c r="E141" s="16" t="str"/>
      <x:c r="F141" s="16" t="str"/>
      <x:c r="G141" s="16" t="str"/>
      <x:c r="H141" s="16" t="str">
        <x:v>Y</x:v>
      </x:c>
      <x:c r="I141" s="16" t="str"/>
    </x:row>
    <x:row r="142">
      <x:c r="A142" s="16" t="n">
        <x:v>141</x:v>
      </x:c>
      <x:c r="B142" s="16" t="str">
        <x:v>MODEL</x:v>
      </x:c>
      <x:c r="C142" s="16" t="str">
        <x:f>Coder_A!C142</x:f>
        <x:v>PILOT_01_M05</x:v>
      </x:c>
      <x:c r="D142" s="16" t="str">
        <x:v>augmentation_validity_ablation</x:v>
      </x:c>
      <x:c r="E142" s="16" t="str"/>
      <x:c r="F142" s="16" t="str"/>
      <x:c r="G142" s="16" t="str"/>
      <x:c r="H142" s="16" t="str">
        <x:v>Y</x:v>
      </x:c>
      <x:c r="I142" s="16" t="str"/>
    </x:row>
    <x:row r="143">
      <x:c r="A143" s="16" t="n">
        <x:v>142</x:v>
      </x:c>
      <x:c r="B143" s="16" t="str">
        <x:v>MODEL</x:v>
      </x:c>
      <x:c r="C143" s="16" t="str">
        <x:f>Coder_A!C143</x:f>
        <x:v>PILOT_01_M06</x:v>
      </x:c>
      <x:c r="D143" s="16" t="str">
        <x:v>graph_source</x:v>
      </x:c>
      <x:c r="E143" s="16" t="str"/>
      <x:c r="F143" s="16" t="str"/>
      <x:c r="G143" s="16" t="str"/>
      <x:c r="H143" s="16" t="str">
        <x:v>Y</x:v>
      </x:c>
      <x:c r="I143" s="16" t="str"/>
    </x:row>
    <x:row r="144">
      <x:c r="A144" s="16" t="n">
        <x:v>143</x:v>
      </x:c>
      <x:c r="B144" s="16" t="str">
        <x:v>MODEL</x:v>
      </x:c>
      <x:c r="C144" s="16" t="str">
        <x:f>Coder_A!C144</x:f>
        <x:v>PILOT_01_M06</x:v>
      </x:c>
      <x:c r="D144" s="16" t="str">
        <x:v>graph_provenance</x:v>
      </x:c>
      <x:c r="E144" s="16" t="str"/>
      <x:c r="F144" s="16" t="str"/>
      <x:c r="G144" s="16" t="str"/>
      <x:c r="H144" s="16" t="str">
        <x:v>Y</x:v>
      </x:c>
      <x:c r="I144" s="16" t="str"/>
    </x:row>
    <x:row r="145">
      <x:c r="A145" s="16" t="n">
        <x:v>144</x:v>
      </x:c>
      <x:c r="B145" s="16" t="str">
        <x:v>MODEL</x:v>
      </x:c>
      <x:c r="C145" s="16" t="str">
        <x:f>Coder_A!C145</x:f>
        <x:v>PILOT_01_M06</x:v>
      </x:c>
      <x:c r="D145" s="16" t="str">
        <x:v>graph_leakage_risk</x:v>
      </x:c>
      <x:c r="E145" s="16" t="str"/>
      <x:c r="F145" s="16" t="str"/>
      <x:c r="G145" s="16" t="str"/>
      <x:c r="H145" s="16" t="str">
        <x:v>Y</x:v>
      </x:c>
      <x:c r="I145" s="16" t="str"/>
    </x:row>
    <x:row r="146">
      <x:c r="A146" s="16" t="n">
        <x:v>145</x:v>
      </x:c>
      <x:c r="B146" s="16" t="str">
        <x:v>MODEL</x:v>
      </x:c>
      <x:c r="C146" s="16" t="str">
        <x:f>Coder_A!C146</x:f>
        <x:v>PILOT_01_M06</x:v>
      </x:c>
      <x:c r="D146" s="16" t="str">
        <x:v>graph_construction_uses_response_labels</x:v>
      </x:c>
      <x:c r="E146" s="16" t="str"/>
      <x:c r="F146" s="16" t="str"/>
      <x:c r="G146" s="16" t="str"/>
      <x:c r="H146" s="16" t="str">
        <x:v>Y</x:v>
      </x:c>
      <x:c r="I146" s="16" t="str"/>
    </x:row>
    <x:row r="147">
      <x:c r="A147" s="16" t="n">
        <x:v>146</x:v>
      </x:c>
      <x:c r="B147" s="16" t="str">
        <x:v>MODEL</x:v>
      </x:c>
      <x:c r="C147" s="16" t="str">
        <x:f>Coder_A!C147</x:f>
        <x:v>PILOT_01_M06</x:v>
      </x:c>
      <x:c r="D147" s="16" t="str">
        <x:v>graph_construction_uses_test_partition</x:v>
      </x:c>
      <x:c r="E147" s="16" t="str"/>
      <x:c r="F147" s="16" t="str"/>
      <x:c r="G147" s="16" t="str"/>
      <x:c r="H147" s="16" t="str">
        <x:v>Y</x:v>
      </x:c>
      <x:c r="I147" s="16" t="str"/>
    </x:row>
    <x:row r="148">
      <x:c r="A148" s="16" t="n">
        <x:v>147</x:v>
      </x:c>
      <x:c r="B148" s="16" t="str">
        <x:v>MODEL</x:v>
      </x:c>
      <x:c r="C148" s="16" t="str">
        <x:f>Coder_A!C148</x:f>
        <x:v>PILOT_01_M06</x:v>
      </x:c>
      <x:c r="D148" s="16" t="str">
        <x:v>graph_representation</x:v>
      </x:c>
      <x:c r="E148" s="16" t="str"/>
      <x:c r="F148" s="16" t="str"/>
      <x:c r="G148" s="16" t="str"/>
      <x:c r="H148" s="16" t="str">
        <x:v>Y</x:v>
      </x:c>
      <x:c r="I148" s="16" t="str"/>
    </x:row>
    <x:row r="149">
      <x:c r="A149" s="16" t="n">
        <x:v>148</x:v>
      </x:c>
      <x:c r="B149" s="16" t="str">
        <x:v>MODEL</x:v>
      </x:c>
      <x:c r="C149" s="16" t="str">
        <x:f>Coder_A!C149</x:f>
        <x:v>PILOT_01_M06</x:v>
      </x:c>
      <x:c r="D149" s="16" t="str">
        <x:v>directed</x:v>
      </x:c>
      <x:c r="E149" s="16" t="str"/>
      <x:c r="F149" s="16" t="str"/>
      <x:c r="G149" s="16" t="str"/>
      <x:c r="H149" s="16" t="str">
        <x:v>Y</x:v>
      </x:c>
      <x:c r="I149" s="16" t="str"/>
    </x:row>
    <x:row r="150">
      <x:c r="A150" s="16" t="n">
        <x:v>149</x:v>
      </x:c>
      <x:c r="B150" s="16" t="str">
        <x:v>MODEL</x:v>
      </x:c>
      <x:c r="C150" s="16" t="str">
        <x:f>Coder_A!C150</x:f>
        <x:v>PILOT_01_M06</x:v>
      </x:c>
      <x:c r="D150" s="16" t="str">
        <x:v>weighted</x:v>
      </x:c>
      <x:c r="E150" s="16" t="str"/>
      <x:c r="F150" s="16" t="str"/>
      <x:c r="G150" s="16" t="str"/>
      <x:c r="H150" s="16" t="str">
        <x:v>Y</x:v>
      </x:c>
      <x:c r="I150" s="16" t="str"/>
    </x:row>
    <x:row r="151">
      <x:c r="A151" s="16" t="n">
        <x:v>150</x:v>
      </x:c>
      <x:c r="B151" s="16" t="str">
        <x:v>MODEL</x:v>
      </x:c>
      <x:c r="C151" s="16" t="str">
        <x:f>Coder_A!C151</x:f>
        <x:v>PILOT_01_M06</x:v>
      </x:c>
      <x:c r="D151" s="16" t="str">
        <x:v>typed_edges</x:v>
      </x:c>
      <x:c r="E151" s="16" t="str"/>
      <x:c r="F151" s="16" t="str"/>
      <x:c r="G151" s="16" t="str"/>
      <x:c r="H151" s="16" t="str">
        <x:v>Y</x:v>
      </x:c>
      <x:c r="I151" s="16" t="str"/>
    </x:row>
    <x:row r="152">
      <x:c r="A152" s="16" t="n">
        <x:v>151</x:v>
      </x:c>
      <x:c r="B152" s="16" t="str">
        <x:v>MODEL</x:v>
      </x:c>
      <x:c r="C152" s="16" t="str">
        <x:f>Coder_A!C152</x:f>
        <x:v>PILOT_01_M06</x:v>
      </x:c>
      <x:c r="D152" s="16" t="str">
        <x:v>dynamic</x:v>
      </x:c>
      <x:c r="E152" s="16" t="str"/>
      <x:c r="F152" s="16" t="str"/>
      <x:c r="G152" s="16" t="str"/>
      <x:c r="H152" s="16" t="str">
        <x:v>Y</x:v>
      </x:c>
      <x:c r="I152" s="16" t="str"/>
    </x:row>
    <x:row r="153">
      <x:c r="A153" s="16" t="n">
        <x:v>152</x:v>
      </x:c>
      <x:c r="B153" s="16" t="str">
        <x:v>MODEL</x:v>
      </x:c>
      <x:c r="C153" s="16" t="str">
        <x:f>Coder_A!C153</x:f>
        <x:v>PILOT_01_M06</x:v>
      </x:c>
      <x:c r="D153" s="16" t="str">
        <x:v>dag_enforced</x:v>
      </x:c>
      <x:c r="E153" s="16" t="str"/>
      <x:c r="F153" s="16" t="str"/>
      <x:c r="G153" s="16" t="str"/>
      <x:c r="H153" s="16" t="str">
        <x:v>Y</x:v>
      </x:c>
      <x:c r="I153" s="16" t="str"/>
    </x:row>
    <x:row r="154">
      <x:c r="A154" s="16" t="n">
        <x:v>153</x:v>
      </x:c>
      <x:c r="B154" s="16" t="str">
        <x:v>MODEL</x:v>
      </x:c>
      <x:c r="C154" s="16" t="str">
        <x:f>Coder_A!C154</x:f>
        <x:v>PILOT_01_M06</x:v>
      </x:c>
      <x:c r="D154" s="16" t="str">
        <x:v>edge_confidence_used</x:v>
      </x:c>
      <x:c r="E154" s="16" t="str"/>
      <x:c r="F154" s="16" t="str"/>
      <x:c r="G154" s="16" t="str"/>
      <x:c r="H154" s="16" t="str">
        <x:v>Y</x:v>
      </x:c>
      <x:c r="I154" s="16" t="str"/>
    </x:row>
    <x:row r="155">
      <x:c r="A155" s="16" t="n">
        <x:v>154</x:v>
      </x:c>
      <x:c r="B155" s="16" t="str">
        <x:v>MODEL</x:v>
      </x:c>
      <x:c r="C155" s="16" t="str">
        <x:f>Coder_A!C155</x:f>
        <x:v>PILOT_01_M06</x:v>
      </x:c>
      <x:c r="D155" s="16" t="str">
        <x:v>gnn_encoder</x:v>
      </x:c>
      <x:c r="E155" s="16" t="str"/>
      <x:c r="F155" s="16" t="str"/>
      <x:c r="G155" s="16" t="str"/>
      <x:c r="H155" s="16" t="str">
        <x:v>Y</x:v>
      </x:c>
      <x:c r="I155" s="16" t="str"/>
    </x:row>
    <x:row r="156">
      <x:c r="A156" s="16" t="n">
        <x:v>155</x:v>
      </x:c>
      <x:c r="B156" s="16" t="str">
        <x:v>MODEL</x:v>
      </x:c>
      <x:c r="C156" s="16" t="str">
        <x:f>Coder_A!C156</x:f>
        <x:v>PILOT_01_M06</x:v>
      </x:c>
      <x:c r="D156" s="16" t="str">
        <x:v>temporal_backbone</x:v>
      </x:c>
      <x:c r="E156" s="16" t="str"/>
      <x:c r="F156" s="16" t="str"/>
      <x:c r="G156" s="16" t="str"/>
      <x:c r="H156" s="16" t="str">
        <x:v>Y</x:v>
      </x:c>
      <x:c r="I156" s="16" t="str"/>
    </x:row>
    <x:row r="157">
      <x:c r="A157" s="16" t="n">
        <x:v>156</x:v>
      </x:c>
      <x:c r="B157" s="16" t="str">
        <x:v>MODEL</x:v>
      </x:c>
      <x:c r="C157" s="16" t="str">
        <x:f>Coder_A!C157</x:f>
        <x:v>PILOT_01_M06</x:v>
      </x:c>
      <x:c r="D157" s="16" t="str">
        <x:v>semantic_auxiliary_encoder</x:v>
      </x:c>
      <x:c r="E157" s="16" t="str"/>
      <x:c r="F157" s="16" t="str"/>
      <x:c r="G157" s="16" t="str"/>
      <x:c r="H157" s="16" t="str">
        <x:v>Y</x:v>
      </x:c>
      <x:c r="I157" s="16" t="str"/>
    </x:row>
    <x:row r="158">
      <x:c r="A158" s="16" t="n">
        <x:v>157</x:v>
      </x:c>
      <x:c r="B158" s="16" t="str">
        <x:v>MODEL</x:v>
      </x:c>
      <x:c r="C158" s="16" t="str">
        <x:f>Coder_A!C158</x:f>
        <x:v>PILOT_01_M06</x:v>
      </x:c>
      <x:c r="D158" s="16" t="str">
        <x:v>fusion_type</x:v>
      </x:c>
      <x:c r="E158" s="16" t="str"/>
      <x:c r="F158" s="16" t="str"/>
      <x:c r="G158" s="16" t="str"/>
      <x:c r="H158" s="16" t="str">
        <x:v>Y</x:v>
      </x:c>
      <x:c r="I158" s="16" t="str"/>
    </x:row>
    <x:row r="159">
      <x:c r="A159" s="16" t="n">
        <x:v>158</x:v>
      </x:c>
      <x:c r="B159" s="16" t="str">
        <x:v>MODEL</x:v>
      </x:c>
      <x:c r="C159" s="16" t="str">
        <x:f>Coder_A!C159</x:f>
        <x:v>PILOT_01_M06</x:v>
      </x:c>
      <x:c r="D159" s="16" t="str">
        <x:v>fusion_location</x:v>
      </x:c>
      <x:c r="E159" s="16" t="str"/>
      <x:c r="F159" s="16" t="str"/>
      <x:c r="G159" s="16" t="str"/>
      <x:c r="H159" s="16" t="str">
        <x:v>Y</x:v>
      </x:c>
      <x:c r="I159" s="16" t="str"/>
    </x:row>
    <x:row r="160">
      <x:c r="A160" s="16" t="n">
        <x:v>159</x:v>
      </x:c>
      <x:c r="B160" s="16" t="str">
        <x:v>MODEL</x:v>
      </x:c>
      <x:c r="C160" s="16" t="str">
        <x:f>Coder_A!C160</x:f>
        <x:v>PILOT_01_M06</x:v>
      </x:c>
      <x:c r="D160" s="16" t="str">
        <x:v>ssl_family</x:v>
      </x:c>
      <x:c r="E160" s="16" t="str"/>
      <x:c r="F160" s="16" t="str"/>
      <x:c r="G160" s="16" t="str"/>
      <x:c r="H160" s="16" t="str">
        <x:v>Y</x:v>
      </x:c>
      <x:c r="I160" s="16" t="str"/>
    </x:row>
    <x:row r="161">
      <x:c r="A161" s="16" t="n">
        <x:v>160</x:v>
      </x:c>
      <x:c r="B161" s="16" t="str">
        <x:v>MODEL</x:v>
      </x:c>
      <x:c r="C161" s="16" t="str">
        <x:f>Coder_A!C161</x:f>
        <x:v>PILOT_01_M06</x:v>
      </x:c>
      <x:c r="D161" s="16" t="str">
        <x:v>non_ssl_pretraining</x:v>
      </x:c>
      <x:c r="E161" s="16" t="str"/>
      <x:c r="F161" s="16" t="str"/>
      <x:c r="G161" s="16" t="str"/>
      <x:c r="H161" s="16" t="str">
        <x:v>Y</x:v>
      </x:c>
      <x:c r="I161" s="16" t="str"/>
    </x:row>
    <x:row r="162">
      <x:c r="A162" s="16" t="n">
        <x:v>161</x:v>
      </x:c>
      <x:c r="B162" s="16" t="str">
        <x:v>MODEL</x:v>
      </x:c>
      <x:c r="C162" s="16" t="str">
        <x:f>Coder_A!C162</x:f>
        <x:v>PILOT_01_M06</x:v>
      </x:c>
      <x:c r="D162" s="16" t="str">
        <x:v>ssl_training_mode</x:v>
      </x:c>
      <x:c r="E162" s="16" t="str"/>
      <x:c r="F162" s="16" t="str"/>
      <x:c r="G162" s="16" t="str"/>
      <x:c r="H162" s="16" t="str">
        <x:v>Y</x:v>
      </x:c>
      <x:c r="I162" s="16" t="str"/>
    </x:row>
    <x:row r="163">
      <x:c r="A163" s="16" t="n">
        <x:v>162</x:v>
      </x:c>
      <x:c r="B163" s="16" t="str">
        <x:v>MODEL</x:v>
      </x:c>
      <x:c r="C163" s="16" t="str">
        <x:f>Coder_A!C163</x:f>
        <x:v>PILOT_01_M06</x:v>
      </x:c>
      <x:c r="D163" s="16" t="str">
        <x:v>ssl_target_level</x:v>
      </x:c>
      <x:c r="E163" s="16" t="str"/>
      <x:c r="F163" s="16" t="str"/>
      <x:c r="G163" s="16" t="str"/>
      <x:c r="H163" s="16" t="str">
        <x:v>Y</x:v>
      </x:c>
      <x:c r="I163" s="16" t="str"/>
    </x:row>
    <x:row r="164">
      <x:c r="A164" s="16" t="n">
        <x:v>163</x:v>
      </x:c>
      <x:c r="B164" s="16" t="str">
        <x:v>MODEL</x:v>
      </x:c>
      <x:c r="C164" s="16" t="str">
        <x:f>Coder_A!C164</x:f>
        <x:v>PILOT_01_M06</x:v>
      </x:c>
      <x:c r="D164" s="16" t="str">
        <x:v>augmentation_type</x:v>
      </x:c>
      <x:c r="E164" s="16" t="str"/>
      <x:c r="F164" s="16" t="str"/>
      <x:c r="G164" s="16" t="str"/>
      <x:c r="H164" s="16" t="str">
        <x:v>Y</x:v>
      </x:c>
      <x:c r="I164" s="16" t="str"/>
    </x:row>
    <x:row r="165">
      <x:c r="A165" s="16" t="n">
        <x:v>164</x:v>
      </x:c>
      <x:c r="B165" s="16" t="str">
        <x:v>MODEL</x:v>
      </x:c>
      <x:c r="C165" s="16" t="str">
        <x:f>Coder_A!C165</x:f>
        <x:v>PILOT_01_M06</x:v>
      </x:c>
      <x:c r="D165" s="16" t="str">
        <x:v>educational_structure_preservation</x:v>
      </x:c>
      <x:c r="E165" s="16" t="str"/>
      <x:c r="F165" s="16" t="str"/>
      <x:c r="G165" s="16" t="str"/>
      <x:c r="H165" s="16" t="str">
        <x:v>Y</x:v>
      </x:c>
      <x:c r="I165" s="16" t="str"/>
    </x:row>
    <x:row r="166">
      <x:c r="A166" s="16" t="n">
        <x:v>165</x:v>
      </x:c>
      <x:c r="B166" s="16" t="str">
        <x:v>MODEL</x:v>
      </x:c>
      <x:c r="C166" s="16" t="str">
        <x:f>Coder_A!C166</x:f>
        <x:v>PILOT_01_M06</x:v>
      </x:c>
      <x:c r="D166" s="16" t="str">
        <x:v>augmentation_validity_ablation</x:v>
      </x:c>
      <x:c r="E166" s="16" t="str"/>
      <x:c r="F166" s="16" t="str"/>
      <x:c r="G166" s="16" t="str"/>
      <x:c r="H166" s="16" t="str">
        <x:v>Y</x:v>
      </x:c>
      <x:c r="I166" s="16" t="str"/>
    </x:row>
    <x:row r="167">
      <x:c r="A167" s="16" t="n">
        <x:v>166</x:v>
      </x:c>
      <x:c r="B167" s="16" t="str">
        <x:v>EXPERIMENT</x:v>
      </x:c>
      <x:c r="C167" s="16" t="str">
        <x:f>Coder_A!C167</x:f>
        <x:v>PILOT_01_E01</x:v>
      </x:c>
      <x:c r="D167" s="16" t="str">
        <x:v>dataset_name</x:v>
      </x:c>
      <x:c r="E167" s="16" t="str"/>
      <x:c r="F167" s="16" t="str"/>
      <x:c r="G167" s="16" t="str"/>
      <x:c r="H167" s="16" t="str">
        <x:v>N</x:v>
      </x:c>
      <x:c r="I167" s="16" t="str"/>
    </x:row>
    <x:row r="168">
      <x:c r="A168" s="16" t="n">
        <x:v>167</x:v>
      </x:c>
      <x:c r="B168" s="16" t="str">
        <x:v>EXPERIMENT</x:v>
      </x:c>
      <x:c r="C168" s="16" t="str">
        <x:f>Coder_A!C168</x:f>
        <x:v>PILOT_01_E01</x:v>
      </x:c>
      <x:c r="D168" s="16" t="str">
        <x:v>dataset_version</x:v>
      </x:c>
      <x:c r="E168" s="16" t="str"/>
      <x:c r="F168" s="16" t="str"/>
      <x:c r="G168" s="16" t="str"/>
      <x:c r="H168" s="16" t="str">
        <x:v>N</x:v>
      </x:c>
      <x:c r="I168" s="16" t="str"/>
    </x:row>
    <x:row r="169">
      <x:c r="A169" s="16" t="n">
        <x:v>168</x:v>
      </x:c>
      <x:c r="B169" s="16" t="str">
        <x:v>EXPERIMENT</x:v>
      </x:c>
      <x:c r="C169" s="16" t="str">
        <x:f>Coder_A!C169</x:f>
        <x:v>PILOT_01_E01</x:v>
      </x:c>
      <x:c r="D169" s="16" t="str">
        <x:v>n_learners_reported</x:v>
      </x:c>
      <x:c r="E169" s="16" t="str"/>
      <x:c r="F169" s="16" t="str"/>
      <x:c r="G169" s="16" t="str"/>
      <x:c r="H169" s="16" t="str">
        <x:v>N</x:v>
      </x:c>
      <x:c r="I169" s="16" t="str"/>
    </x:row>
    <x:row r="170">
      <x:c r="A170" s="16" t="n">
        <x:v>169</x:v>
      </x:c>
      <x:c r="B170" s="16" t="str">
        <x:v>EXPERIMENT</x:v>
      </x:c>
      <x:c r="C170" s="16" t="str">
        <x:f>Coder_A!C170</x:f>
        <x:v>PILOT_01_E01</x:v>
      </x:c>
      <x:c r="D170" s="16" t="str">
        <x:v>n_items_reported</x:v>
      </x:c>
      <x:c r="E170" s="16" t="str"/>
      <x:c r="F170" s="16" t="str"/>
      <x:c r="G170" s="16" t="str"/>
      <x:c r="H170" s="16" t="str">
        <x:v>N</x:v>
      </x:c>
      <x:c r="I170" s="16" t="str"/>
    </x:row>
    <x:row r="171">
      <x:c r="A171" s="16" t="n">
        <x:v>170</x:v>
      </x:c>
      <x:c r="B171" s="16" t="str">
        <x:v>EXPERIMENT</x:v>
      </x:c>
      <x:c r="C171" s="16" t="str">
        <x:f>Coder_A!C171</x:f>
        <x:v>PILOT_01_E01</x:v>
      </x:c>
      <x:c r="D171" s="16" t="str">
        <x:v>n_kcs_reported</x:v>
      </x:c>
      <x:c r="E171" s="16" t="str"/>
      <x:c r="F171" s="16" t="str"/>
      <x:c r="G171" s="16" t="str"/>
      <x:c r="H171" s="16" t="str">
        <x:v>N</x:v>
      </x:c>
      <x:c r="I171" s="16" t="str"/>
    </x:row>
    <x:row r="172">
      <x:c r="A172" s="16" t="n">
        <x:v>171</x:v>
      </x:c>
      <x:c r="B172" s="16" t="str">
        <x:v>EXPERIMENT</x:v>
      </x:c>
      <x:c r="C172" s="16" t="str">
        <x:f>Coder_A!C172</x:f>
        <x:v>PILOT_01_E01</x:v>
      </x:c>
      <x:c r="D172" s="16" t="str">
        <x:v>n_interactions_reported</x:v>
      </x:c>
      <x:c r="E172" s="16" t="str"/>
      <x:c r="F172" s="16" t="str"/>
      <x:c r="G172" s="16" t="str"/>
      <x:c r="H172" s="16" t="str">
        <x:v>N</x:v>
      </x:c>
      <x:c r="I172" s="16" t="str"/>
    </x:row>
    <x:row r="173">
      <x:c r="A173" s="16" t="n">
        <x:v>172</x:v>
      </x:c>
      <x:c r="B173" s="16" t="str">
        <x:v>EXPERIMENT</x:v>
      </x:c>
      <x:c r="C173" s="16" t="str">
        <x:f>Coder_A!C173</x:f>
        <x:v>PILOT_01_E01</x:v>
      </x:c>
      <x:c r="D173" s="16" t="str">
        <x:v>multi_skill_present</x:v>
      </x:c>
      <x:c r="E173" s="16" t="str"/>
      <x:c r="F173" s="16" t="str"/>
      <x:c r="G173" s="16" t="str"/>
      <x:c r="H173" s="16" t="str">
        <x:v>Y</x:v>
      </x:c>
      <x:c r="I173" s="16" t="str"/>
    </x:row>
    <x:row r="174">
      <x:c r="A174" s="16" t="n">
        <x:v>173</x:v>
      </x:c>
      <x:c r="B174" s="16" t="str">
        <x:v>EXPERIMENT</x:v>
      </x:c>
      <x:c r="C174" s="16" t="str">
        <x:f>Coder_A!C174</x:f>
        <x:v>PILOT_01_E01</x:v>
      </x:c>
      <x:c r="D174" s="16" t="str">
        <x:v>multi_skill_handling</x:v>
      </x:c>
      <x:c r="E174" s="16" t="str"/>
      <x:c r="F174" s="16" t="str"/>
      <x:c r="G174" s="16" t="str"/>
      <x:c r="H174" s="16" t="str">
        <x:v>N</x:v>
      </x:c>
      <x:c r="I174" s="16" t="str"/>
    </x:row>
    <x:row r="175">
      <x:c r="A175" s="16" t="n">
        <x:v>174</x:v>
      </x:c>
      <x:c r="B175" s="16" t="str">
        <x:v>EXPERIMENT</x:v>
      </x:c>
      <x:c r="C175" s="16" t="str">
        <x:f>Coder_A!C175</x:f>
        <x:v>PILOT_01_E01</x:v>
      </x:c>
      <x:c r="D175" s="16" t="str">
        <x:v>sequence_truncation</x:v>
      </x:c>
      <x:c r="E175" s="16" t="str"/>
      <x:c r="F175" s="16" t="str"/>
      <x:c r="G175" s="16" t="str"/>
      <x:c r="H175" s="16" t="str">
        <x:v>N</x:v>
      </x:c>
      <x:c r="I175" s="16" t="str"/>
    </x:row>
    <x:row r="176">
      <x:c r="A176" s="16" t="n">
        <x:v>175</x:v>
      </x:c>
      <x:c r="B176" s="16" t="str">
        <x:v>EXPERIMENT</x:v>
      </x:c>
      <x:c r="C176" s="16" t="str">
        <x:f>Coder_A!C176</x:f>
        <x:v>PILOT_01_E01</x:v>
      </x:c>
      <x:c r="D176" s="16" t="str">
        <x:v>min_sequence_filter</x:v>
      </x:c>
      <x:c r="E176" s="16" t="str"/>
      <x:c r="F176" s="16" t="str"/>
      <x:c r="G176" s="16" t="str"/>
      <x:c r="H176" s="16" t="str">
        <x:v>N</x:v>
      </x:c>
      <x:c r="I176" s="16" t="str"/>
    </x:row>
    <x:row r="177">
      <x:c r="A177" s="16" t="n">
        <x:v>176</x:v>
      </x:c>
      <x:c r="B177" s="16" t="str">
        <x:v>EXPERIMENT</x:v>
      </x:c>
      <x:c r="C177" s="16" t="str">
        <x:f>Coder_A!C177</x:f>
        <x:v>PILOT_01_E01</x:v>
      </x:c>
      <x:c r="D177" s="16" t="str">
        <x:v>timestamp_used</x:v>
      </x:c>
      <x:c r="E177" s="16" t="str"/>
      <x:c r="F177" s="16" t="str"/>
      <x:c r="G177" s="16" t="str"/>
      <x:c r="H177" s="16" t="str">
        <x:v>Y</x:v>
      </x:c>
      <x:c r="I177" s="16" t="str"/>
    </x:row>
    <x:row r="178">
      <x:c r="A178" s="16" t="n">
        <x:v>177</x:v>
      </x:c>
      <x:c r="B178" s="16" t="str">
        <x:v>EXPERIMENT</x:v>
      </x:c>
      <x:c r="C178" s="16" t="str">
        <x:f>Coder_A!C178</x:f>
        <x:v>PILOT_01_E01</x:v>
      </x:c>
      <x:c r="D178" s="16" t="str">
        <x:v>preprocessing_code_available</x:v>
      </x:c>
      <x:c r="E178" s="16" t="str"/>
      <x:c r="F178" s="16" t="str"/>
      <x:c r="G178" s="16" t="str"/>
      <x:c r="H178" s="16" t="str">
        <x:v>Y</x:v>
      </x:c>
      <x:c r="I178" s="16" t="str"/>
    </x:row>
    <x:row r="179">
      <x:c r="A179" s="16" t="n">
        <x:v>178</x:v>
      </x:c>
      <x:c r="B179" s="16" t="str">
        <x:v>EXPERIMENT</x:v>
      </x:c>
      <x:c r="C179" s="16" t="str">
        <x:f>Coder_A!C179</x:f>
        <x:v>PILOT_01_E01</x:v>
      </x:c>
      <x:c r="D179" s="16" t="str">
        <x:v>split_type</x:v>
      </x:c>
      <x:c r="E179" s="16" t="str"/>
      <x:c r="F179" s="16" t="str"/>
      <x:c r="G179" s="16" t="str"/>
      <x:c r="H179" s="16" t="str">
        <x:v>Y</x:v>
      </x:c>
      <x:c r="I179" s="16" t="str"/>
    </x:row>
    <x:row r="180">
      <x:c r="A180" s="16" t="n">
        <x:v>179</x:v>
      </x:c>
      <x:c r="B180" s="16" t="str">
        <x:v>EXPERIMENT</x:v>
      </x:c>
      <x:c r="C180" s="16" t="str">
        <x:f>Coder_A!C180</x:f>
        <x:v>PILOT_01_E01</x:v>
      </x:c>
      <x:c r="D180" s="16" t="str">
        <x:v>split_unit_original</x:v>
      </x:c>
      <x:c r="E180" s="16" t="str"/>
      <x:c r="F180" s="16" t="str"/>
      <x:c r="G180" s="16" t="str"/>
      <x:c r="H180" s="16" t="str">
        <x:v>N</x:v>
      </x:c>
      <x:c r="I180" s="16" t="str"/>
    </x:row>
    <x:row r="181">
      <x:c r="A181" s="16" t="n">
        <x:v>180</x:v>
      </x:c>
      <x:c r="B181" s="16" t="str">
        <x:v>EXPERIMENT</x:v>
      </x:c>
      <x:c r="C181" s="16" t="str">
        <x:f>Coder_A!C181</x:f>
        <x:v>PILOT_01_E01</x:v>
      </x:c>
      <x:c r="D181" s="16" t="str">
        <x:v>train_fraction</x:v>
      </x:c>
      <x:c r="E181" s="16" t="str"/>
      <x:c r="F181" s="16" t="str"/>
      <x:c r="G181" s="16" t="str"/>
      <x:c r="H181" s="16" t="str">
        <x:v>N</x:v>
      </x:c>
      <x:c r="I181" s="16" t="str"/>
    </x:row>
    <x:row r="182">
      <x:c r="A182" s="16" t="n">
        <x:v>181</x:v>
      </x:c>
      <x:c r="B182" s="16" t="str">
        <x:v>EXPERIMENT</x:v>
      </x:c>
      <x:c r="C182" s="16" t="str">
        <x:f>Coder_A!C182</x:f>
        <x:v>PILOT_01_E01</x:v>
      </x:c>
      <x:c r="D182" s="16" t="str">
        <x:v>validation_fraction</x:v>
      </x:c>
      <x:c r="E182" s="16" t="str"/>
      <x:c r="F182" s="16" t="str"/>
      <x:c r="G182" s="16" t="str"/>
      <x:c r="H182" s="16" t="str">
        <x:v>N</x:v>
      </x:c>
      <x:c r="I182" s="16" t="str"/>
    </x:row>
    <x:row r="183">
      <x:c r="A183" s="16" t="n">
        <x:v>182</x:v>
      </x:c>
      <x:c r="B183" s="16" t="str">
        <x:v>EXPERIMENT</x:v>
      </x:c>
      <x:c r="C183" s="16" t="str">
        <x:f>Coder_A!C183</x:f>
        <x:v>PILOT_01_E01</x:v>
      </x:c>
      <x:c r="D183" s="16" t="str">
        <x:v>test_fraction</x:v>
      </x:c>
      <x:c r="E183" s="16" t="str"/>
      <x:c r="F183" s="16" t="str"/>
      <x:c r="G183" s="16" t="str"/>
      <x:c r="H183" s="16" t="str">
        <x:v>N</x:v>
      </x:c>
      <x:c r="I183" s="16" t="str"/>
    </x:row>
    <x:row r="184">
      <x:c r="A184" s="16" t="n">
        <x:v>183</x:v>
      </x:c>
      <x:c r="B184" s="16" t="str">
        <x:v>EXPERIMENT</x:v>
      </x:c>
      <x:c r="C184" s="16" t="str">
        <x:f>Coder_A!C184</x:f>
        <x:v>PILOT_01_E01</x:v>
      </x:c>
      <x:c r="D184" s="16" t="str">
        <x:v>validation_set_separate</x:v>
      </x:c>
      <x:c r="E184" s="16" t="str"/>
      <x:c r="F184" s="16" t="str"/>
      <x:c r="G184" s="16" t="str"/>
      <x:c r="H184" s="16" t="str">
        <x:v>Y</x:v>
      </x:c>
      <x:c r="I184" s="16" t="str"/>
    </x:row>
    <x:row r="185">
      <x:c r="A185" s="16" t="n">
        <x:v>184</x:v>
      </x:c>
      <x:c r="B185" s="16" t="str">
        <x:v>EXPERIMENT</x:v>
      </x:c>
      <x:c r="C185" s="16" t="str">
        <x:f>Coder_A!C185</x:f>
        <x:v>PILOT_01_E01</x:v>
      </x:c>
      <x:c r="D185" s="16" t="str">
        <x:v>early_stopping_validation_only</x:v>
      </x:c>
      <x:c r="E185" s="16" t="str"/>
      <x:c r="F185" s="16" t="str"/>
      <x:c r="G185" s="16" t="str"/>
      <x:c r="H185" s="16" t="str">
        <x:v>Y</x:v>
      </x:c>
      <x:c r="I185" s="16" t="str"/>
    </x:row>
    <x:row r="186">
      <x:c r="A186" s="16" t="n">
        <x:v>185</x:v>
      </x:c>
      <x:c r="B186" s="16" t="str">
        <x:v>EXPERIMENT</x:v>
      </x:c>
      <x:c r="C186" s="16" t="str">
        <x:f>Coder_A!C186</x:f>
        <x:v>PILOT_01_E01</x:v>
      </x:c>
      <x:c r="D186" s="16" t="str">
        <x:v>graph_train_only</x:v>
      </x:c>
      <x:c r="E186" s="16" t="str"/>
      <x:c r="F186" s="16" t="str"/>
      <x:c r="G186" s="16" t="str"/>
      <x:c r="H186" s="16" t="str">
        <x:v>Y</x:v>
      </x:c>
      <x:c r="I186" s="16" t="str"/>
    </x:row>
    <x:row r="187">
      <x:c r="A187" s="16" t="n">
        <x:v>186</x:v>
      </x:c>
      <x:c r="B187" s="16" t="str">
        <x:v>EXPERIMENT</x:v>
      </x:c>
      <x:c r="C187" s="16" t="str">
        <x:f>Coder_A!C187</x:f>
        <x:v>PILOT_01_E01</x:v>
      </x:c>
      <x:c r="D187" s="16" t="str">
        <x:v>normalization_train_only</x:v>
      </x:c>
      <x:c r="E187" s="16" t="str"/>
      <x:c r="F187" s="16" t="str"/>
      <x:c r="G187" s="16" t="str"/>
      <x:c r="H187" s="16" t="str">
        <x:v>Y</x:v>
      </x:c>
      <x:c r="I187" s="16" t="str"/>
    </x:row>
    <x:row r="188">
      <x:c r="A188" s="16" t="n">
        <x:v>187</x:v>
      </x:c>
      <x:c r="B188" s="16" t="str">
        <x:v>EXPERIMENT</x:v>
      </x:c>
      <x:c r="C188" s="16" t="str">
        <x:f>Coder_A!C188</x:f>
        <x:v>PILOT_01_E01</x:v>
      </x:c>
      <x:c r="D188" s="16" t="str">
        <x:v>sparse_strata_train_only</x:v>
      </x:c>
      <x:c r="E188" s="16" t="str"/>
      <x:c r="F188" s="16" t="str"/>
      <x:c r="G188" s="16" t="str"/>
      <x:c r="H188" s="16" t="str">
        <x:v>Y</x:v>
      </x:c>
      <x:c r="I188" s="16" t="str"/>
    </x:row>
    <x:row r="189">
      <x:c r="A189" s="16" t="n">
        <x:v>188</x:v>
      </x:c>
      <x:c r="B189" s="16" t="str">
        <x:v>EXPERIMENT</x:v>
      </x:c>
      <x:c r="C189" s="16" t="str">
        <x:f>Coder_A!C189</x:f>
        <x:v>PILOT_01_E01</x:v>
      </x:c>
      <x:c r="D189" s="16" t="str">
        <x:v>temporal_alignment_audited</x:v>
      </x:c>
      <x:c r="E189" s="16" t="str"/>
      <x:c r="F189" s="16" t="str"/>
      <x:c r="G189" s="16" t="str"/>
      <x:c r="H189" s="16" t="str">
        <x:v>Y</x:v>
      </x:c>
      <x:c r="I189" s="16" t="str"/>
    </x:row>
    <x:row r="190">
      <x:c r="A190" s="16" t="n">
        <x:v>189</x:v>
      </x:c>
      <x:c r="B190" s="16" t="str">
        <x:v>EXPERIMENT</x:v>
      </x:c>
      <x:c r="C190" s="16" t="str">
        <x:f>Coder_A!C190</x:f>
        <x:v>PILOT_01_E01</x:v>
      </x:c>
      <x:c r="D190" s="16" t="str">
        <x:v>duplicate_entity_leakage_checked</x:v>
      </x:c>
      <x:c r="E190" s="16" t="str"/>
      <x:c r="F190" s="16" t="str"/>
      <x:c r="G190" s="16" t="str"/>
      <x:c r="H190" s="16" t="str">
        <x:v>Y</x:v>
      </x:c>
      <x:c r="I190" s="16" t="str"/>
    </x:row>
    <x:row r="191">
      <x:c r="A191" s="16" t="n">
        <x:v>190</x:v>
      </x:c>
      <x:c r="B191" s="16" t="str">
        <x:v>EXPERIMENT</x:v>
      </x:c>
      <x:c r="C191" s="16" t="str">
        <x:f>Coder_A!C191</x:f>
        <x:v>PILOT_01_E01</x:v>
      </x:c>
      <x:c r="D191" s="16" t="str">
        <x:v>sparsity_construct</x:v>
      </x:c>
      <x:c r="E191" s="16" t="str"/>
      <x:c r="F191" s="16" t="str"/>
      <x:c r="G191" s="16" t="str"/>
      <x:c r="H191" s="16" t="str">
        <x:v>Y</x:v>
      </x:c>
      <x:c r="I191" s="16" t="str"/>
    </x:row>
    <x:row r="192">
      <x:c r="A192" s="16" t="n">
        <x:v>191</x:v>
      </x:c>
      <x:c r="B192" s="16" t="str">
        <x:v>EXPERIMENT</x:v>
      </x:c>
      <x:c r="C192" s="16" t="str">
        <x:f>Coder_A!C192</x:f>
        <x:v>PILOT_01_E01</x:v>
      </x:c>
      <x:c r="D192" s="16" t="str">
        <x:v>sparse_definition_original</x:v>
      </x:c>
      <x:c r="E192" s="16" t="str"/>
      <x:c r="F192" s="16" t="str"/>
      <x:c r="G192" s="16" t="str"/>
      <x:c r="H192" s="16" t="str">
        <x:v>N</x:v>
      </x:c>
      <x:c r="I192" s="16" t="str"/>
    </x:row>
    <x:row r="193">
      <x:c r="A193" s="16" t="n">
        <x:v>192</x:v>
      </x:c>
      <x:c r="B193" s="16" t="str">
        <x:v>EXPERIMENT</x:v>
      </x:c>
      <x:c r="C193" s="16" t="str">
        <x:f>Coder_A!C193</x:f>
        <x:v>PILOT_01_E01</x:v>
      </x:c>
      <x:c r="D193" s="16" t="str">
        <x:v>sparse_threshold_original</x:v>
      </x:c>
      <x:c r="E193" s="16" t="str"/>
      <x:c r="F193" s="16" t="str"/>
      <x:c r="G193" s="16" t="str"/>
      <x:c r="H193" s="16" t="str">
        <x:v>N</x:v>
      </x:c>
      <x:c r="I193" s="16" t="str"/>
    </x:row>
    <x:row r="194">
      <x:c r="A194" s="16" t="n">
        <x:v>193</x:v>
      </x:c>
      <x:c r="B194" s="16" t="str">
        <x:v>EXPERIMENT</x:v>
      </x:c>
      <x:c r="C194" s="16" t="str">
        <x:f>Coder_A!C194</x:f>
        <x:v>PILOT_01_E01</x:v>
      </x:c>
      <x:c r="D194" s="16" t="str">
        <x:v>threshold_source</x:v>
      </x:c>
      <x:c r="E194" s="16" t="str"/>
      <x:c r="F194" s="16" t="str"/>
      <x:c r="G194" s="16" t="str"/>
      <x:c r="H194" s="16" t="str">
        <x:v>Y</x:v>
      </x:c>
      <x:c r="I194" s="16" t="str"/>
    </x:row>
    <x:row r="195">
      <x:c r="A195" s="16" t="n">
        <x:v>194</x:v>
      </x:c>
      <x:c r="B195" s="16" t="str">
        <x:v>EXPERIMENT</x:v>
      </x:c>
      <x:c r="C195" s="16" t="str">
        <x:f>Coder_A!C195</x:f>
        <x:v>PILOT_01_E01</x:v>
      </x:c>
      <x:c r="D195" s="16" t="str">
        <x:v>frequency_computed_on</x:v>
      </x:c>
      <x:c r="E195" s="16" t="str"/>
      <x:c r="F195" s="16" t="str"/>
      <x:c r="G195" s="16" t="str"/>
      <x:c r="H195" s="16" t="str">
        <x:v>Y</x:v>
      </x:c>
      <x:c r="I195" s="16" t="str"/>
    </x:row>
    <x:row r="196">
      <x:c r="A196" s="16" t="n">
        <x:v>195</x:v>
      </x:c>
      <x:c r="B196" s="16" t="str">
        <x:v>EXPERIMENT</x:v>
      </x:c>
      <x:c r="C196" s="16" t="str">
        <x:f>Coder_A!C196</x:f>
        <x:v>PILOT_01_E01</x:v>
      </x:c>
      <x:c r="D196" s="16" t="str">
        <x:v>strict_zero_train_verified</x:v>
      </x:c>
      <x:c r="E196" s="16" t="str"/>
      <x:c r="F196" s="16" t="str"/>
      <x:c r="G196" s="16" t="str"/>
      <x:c r="H196" s="16" t="str">
        <x:v>Y</x:v>
      </x:c>
      <x:c r="I196" s="16" t="str"/>
    </x:row>
    <x:row r="197">
      <x:c r="A197" s="16" t="n">
        <x:v>196</x:v>
      </x:c>
      <x:c r="B197" s="16" t="str">
        <x:v>EXPERIMENT</x:v>
      </x:c>
      <x:c r="C197" s="16" t="str">
        <x:f>Coder_A!C197</x:f>
        <x:v>PILOT_01_E01</x:v>
      </x:c>
      <x:c r="D197" s="16" t="str">
        <x:v>external_info_for_unseen_kc</x:v>
      </x:c>
      <x:c r="E197" s="16" t="str"/>
      <x:c r="F197" s="16" t="str"/>
      <x:c r="G197" s="16" t="str"/>
      <x:c r="H197" s="16" t="str">
        <x:v>Y</x:v>
      </x:c>
      <x:c r="I197" s="16" t="str"/>
    </x:row>
    <x:row r="198">
      <x:c r="A198" s="16" t="n">
        <x:v>197</x:v>
      </x:c>
      <x:c r="B198" s="16" t="str">
        <x:v>EXPERIMENT</x:v>
      </x:c>
      <x:c r="C198" s="16" t="str">
        <x:f>Coder_A!C198</x:f>
        <x:v>PILOT_01_E01</x:v>
      </x:c>
      <x:c r="D198" s="16" t="str">
        <x:v>support_kcs</x:v>
      </x:c>
      <x:c r="E198" s="16" t="str"/>
      <x:c r="F198" s="16" t="str"/>
      <x:c r="G198" s="16" t="str"/>
      <x:c r="H198" s="16" t="str">
        <x:v>N</x:v>
      </x:c>
      <x:c r="I198" s="16" t="str"/>
    </x:row>
    <x:row r="199">
      <x:c r="A199" s="16" t="n">
        <x:v>198</x:v>
      </x:c>
      <x:c r="B199" s="16" t="str">
        <x:v>EXPERIMENT</x:v>
      </x:c>
      <x:c r="C199" s="16" t="str">
        <x:f>Coder_A!C199</x:f>
        <x:v>PILOT_01_E01</x:v>
      </x:c>
      <x:c r="D199" s="16" t="str">
        <x:v>support_learners</x:v>
      </x:c>
      <x:c r="E199" s="16" t="str"/>
      <x:c r="F199" s="16" t="str"/>
      <x:c r="G199" s="16" t="str"/>
      <x:c r="H199" s="16" t="str">
        <x:v>N</x:v>
      </x:c>
      <x:c r="I199" s="16" t="str"/>
    </x:row>
    <x:row r="200">
      <x:c r="A200" s="16" t="n">
        <x:v>199</x:v>
      </x:c>
      <x:c r="B200" s="16" t="str">
        <x:v>EXPERIMENT</x:v>
      </x:c>
      <x:c r="C200" s="16" t="str">
        <x:f>Coder_A!C200</x:f>
        <x:v>PILOT_01_E01</x:v>
      </x:c>
      <x:c r="D200" s="16" t="str">
        <x:v>support_items</x:v>
      </x:c>
      <x:c r="E200" s="16" t="str"/>
      <x:c r="F200" s="16" t="str"/>
      <x:c r="G200" s="16" t="str"/>
      <x:c r="H200" s="16" t="str">
        <x:v>N</x:v>
      </x:c>
      <x:c r="I200" s="16" t="str"/>
    </x:row>
    <x:row r="201">
      <x:c r="A201" s="16" t="n">
        <x:v>200</x:v>
      </x:c>
      <x:c r="B201" s="16" t="str">
        <x:v>EXPERIMENT</x:v>
      </x:c>
      <x:c r="C201" s="16" t="str">
        <x:f>Coder_A!C201</x:f>
        <x:v>PILOT_01_E01</x:v>
      </x:c>
      <x:c r="D201" s="16" t="str">
        <x:v>support_test_interactions</x:v>
      </x:c>
      <x:c r="E201" s="16" t="str"/>
      <x:c r="F201" s="16" t="str"/>
      <x:c r="G201" s="16" t="str"/>
      <x:c r="H201" s="16" t="str">
        <x:v>N</x:v>
      </x:c>
      <x:c r="I201" s="16" t="str"/>
    </x:row>
    <x:row r="202">
      <x:c r="A202" s="16" t="n">
        <x:v>201</x:v>
      </x:c>
      <x:c r="B202" s="16" t="str">
        <x:v>EXPERIMENT</x:v>
      </x:c>
      <x:c r="C202" s="16" t="str">
        <x:f>Coder_A!C202</x:f>
        <x:v>PILOT_01_E01</x:v>
      </x:c>
      <x:c r="D202" s="16" t="str">
        <x:v>positive_count</x:v>
      </x:c>
      <x:c r="E202" s="16" t="str"/>
      <x:c r="F202" s="16" t="str"/>
      <x:c r="G202" s="16" t="str"/>
      <x:c r="H202" s="16" t="str">
        <x:v>N</x:v>
      </x:c>
      <x:c r="I202" s="16" t="str"/>
    </x:row>
    <x:row r="203">
      <x:c r="A203" s="16" t="n">
        <x:v>202</x:v>
      </x:c>
      <x:c r="B203" s="16" t="str">
        <x:v>EXPERIMENT</x:v>
      </x:c>
      <x:c r="C203" s="16" t="str">
        <x:f>Coder_A!C203</x:f>
        <x:v>PILOT_01_E01</x:v>
      </x:c>
      <x:c r="D203" s="16" t="str">
        <x:v>negative_count</x:v>
      </x:c>
      <x:c r="E203" s="16" t="str"/>
      <x:c r="F203" s="16" t="str"/>
      <x:c r="G203" s="16" t="str"/>
      <x:c r="H203" s="16" t="str">
        <x:v>N</x:v>
      </x:c>
      <x:c r="I203" s="16" t="str"/>
    </x:row>
    <x:row r="204">
      <x:c r="A204" s="16" t="n">
        <x:v>203</x:v>
      </x:c>
      <x:c r="B204" s="16" t="str">
        <x:v>EXPERIMENT</x:v>
      </x:c>
      <x:c r="C204" s="16" t="str">
        <x:f>Coder_A!C204</x:f>
        <x:v>PILOT_01_E01</x:v>
      </x:c>
      <x:c r="D204" s="16" t="str">
        <x:v>metric_name_original</x:v>
      </x:c>
      <x:c r="E204" s="16" t="str"/>
      <x:c r="F204" s="16" t="str"/>
      <x:c r="G204" s="16" t="str"/>
      <x:c r="H204" s="16" t="str">
        <x:v>N</x:v>
      </x:c>
      <x:c r="I204" s="16" t="str"/>
    </x:row>
    <x:row r="205">
      <x:c r="A205" s="16" t="n">
        <x:v>204</x:v>
      </x:c>
      <x:c r="B205" s="16" t="str">
        <x:v>EXPERIMENT</x:v>
      </x:c>
      <x:c r="C205" s="16" t="str">
        <x:f>Coder_A!C205</x:f>
        <x:v>PILOT_01_E01</x:v>
      </x:c>
      <x:c r="D205" s="16" t="str">
        <x:v>metric_value_original</x:v>
      </x:c>
      <x:c r="E205" s="16" t="str"/>
      <x:c r="F205" s="16" t="str"/>
      <x:c r="G205" s="16" t="str"/>
      <x:c r="H205" s="16" t="str">
        <x:v>N</x:v>
      </x:c>
      <x:c r="I205" s="16" t="str"/>
    </x:row>
    <x:row r="206">
      <x:c r="A206" s="16" t="n">
        <x:v>205</x:v>
      </x:c>
      <x:c r="B206" s="16" t="str">
        <x:v>EXPERIMENT</x:v>
      </x:c>
      <x:c r="C206" s="16" t="str">
        <x:f>Coder_A!C206</x:f>
        <x:v>PILOT_01_E01</x:v>
      </x:c>
      <x:c r="D206" s="16" t="str">
        <x:v>metric_scope</x:v>
      </x:c>
      <x:c r="E206" s="16" t="str"/>
      <x:c r="F206" s="16" t="str"/>
      <x:c r="G206" s="16" t="str"/>
      <x:c r="H206" s="16" t="str">
        <x:v>Y</x:v>
      </x:c>
      <x:c r="I206" s="16" t="str"/>
    </x:row>
    <x:row r="207">
      <x:c r="A207" s="16" t="n">
        <x:v>206</x:v>
      </x:c>
      <x:c r="B207" s="16" t="str">
        <x:v>EXPERIMENT</x:v>
      </x:c>
      <x:c r="C207" s="16" t="str">
        <x:f>Coder_A!C207</x:f>
        <x:v>PILOT_01_E01</x:v>
      </x:c>
      <x:c r="D207" s="16" t="str">
        <x:v>n_seeds</x:v>
      </x:c>
      <x:c r="E207" s="16" t="str"/>
      <x:c r="F207" s="16" t="str"/>
      <x:c r="G207" s="16" t="str"/>
      <x:c r="H207" s="16" t="str">
        <x:v>N</x:v>
      </x:c>
      <x:c r="I207" s="16" t="str"/>
    </x:row>
    <x:row r="208">
      <x:c r="A208" s="16" t="n">
        <x:v>207</x:v>
      </x:c>
      <x:c r="B208" s="16" t="str">
        <x:v>EXPERIMENT</x:v>
      </x:c>
      <x:c r="C208" s="16" t="str">
        <x:f>Coder_A!C208</x:f>
        <x:v>PILOT_01_E01</x:v>
      </x:c>
      <x:c r="D208" s="16" t="str">
        <x:v>seed_values_reported</x:v>
      </x:c>
      <x:c r="E208" s="16" t="str"/>
      <x:c r="F208" s="16" t="str"/>
      <x:c r="G208" s="16" t="str"/>
      <x:c r="H208" s="16" t="str">
        <x:v>N</x:v>
      </x:c>
      <x:c r="I208" s="16" t="str"/>
    </x:row>
    <x:row r="209">
      <x:c r="A209" s="16" t="n">
        <x:v>208</x:v>
      </x:c>
      <x:c r="B209" s="16" t="str">
        <x:v>EXPERIMENT</x:v>
      </x:c>
      <x:c r="C209" s="16" t="str">
        <x:f>Coder_A!C209</x:f>
        <x:v>PILOT_01_E01</x:v>
      </x:c>
      <x:c r="D209" s="16" t="str">
        <x:v>mean_std_reported</x:v>
      </x:c>
      <x:c r="E209" s="16" t="str"/>
      <x:c r="F209" s="16" t="str"/>
      <x:c r="G209" s="16" t="str"/>
      <x:c r="H209" s="16" t="str">
        <x:v>Y</x:v>
      </x:c>
      <x:c r="I209" s="16" t="str"/>
    </x:row>
    <x:row r="210">
      <x:c r="A210" s="16" t="n">
        <x:v>209</x:v>
      </x:c>
      <x:c r="B210" s="16" t="str">
        <x:v>EXPERIMENT</x:v>
      </x:c>
      <x:c r="C210" s="16" t="str">
        <x:f>Coder_A!C210</x:f>
        <x:v>PILOT_01_E01</x:v>
      </x:c>
      <x:c r="D210" s="16" t="str">
        <x:v>confidence_interval</x:v>
      </x:c>
      <x:c r="E210" s="16" t="str"/>
      <x:c r="F210" s="16" t="str"/>
      <x:c r="G210" s="16" t="str"/>
      <x:c r="H210" s="16" t="str">
        <x:v>N</x:v>
      </x:c>
      <x:c r="I210" s="16" t="str"/>
    </x:row>
    <x:row r="211">
      <x:c r="A211" s="16" t="n">
        <x:v>210</x:v>
      </x:c>
      <x:c r="B211" s="16" t="str">
        <x:v>EXPERIMENT</x:v>
      </x:c>
      <x:c r="C211" s="16" t="str">
        <x:f>Coder_A!C211</x:f>
        <x:v>PILOT_01_E01</x:v>
      </x:c>
      <x:c r="D211" s="16" t="str">
        <x:v>bootstrap_unit</x:v>
      </x:c>
      <x:c r="E211" s="16" t="str"/>
      <x:c r="F211" s="16" t="str"/>
      <x:c r="G211" s="16" t="str"/>
      <x:c r="H211" s="16" t="str">
        <x:v>Y</x:v>
      </x:c>
      <x:c r="I211" s="16" t="str"/>
    </x:row>
    <x:row r="212">
      <x:c r="A212" s="16" t="n">
        <x:v>211</x:v>
      </x:c>
      <x:c r="B212" s="16" t="str">
        <x:v>EXPERIMENT</x:v>
      </x:c>
      <x:c r="C212" s="16" t="str">
        <x:f>Coder_A!C212</x:f>
        <x:v>PILOT_01_E01</x:v>
      </x:c>
      <x:c r="D212" s="16" t="str">
        <x:v>statistical_test</x:v>
      </x:c>
      <x:c r="E212" s="16" t="str"/>
      <x:c r="F212" s="16" t="str"/>
      <x:c r="G212" s="16" t="str"/>
      <x:c r="H212" s="16" t="str">
        <x:v>N</x:v>
      </x:c>
      <x:c r="I212" s="16" t="str"/>
    </x:row>
    <x:row r="213">
      <x:c r="A213" s="16" t="n">
        <x:v>212</x:v>
      </x:c>
      <x:c r="B213" s="16" t="str">
        <x:v>EXPERIMENT</x:v>
      </x:c>
      <x:c r="C213" s="16" t="str">
        <x:f>Coder_A!C213</x:f>
        <x:v>PILOT_01_E01</x:v>
      </x:c>
      <x:c r="D213" s="16" t="str">
        <x:v>multiple_comparison_correction</x:v>
      </x:c>
      <x:c r="E213" s="16" t="str"/>
      <x:c r="F213" s="16" t="str"/>
      <x:c r="G213" s="16" t="str"/>
      <x:c r="H213" s="16" t="str">
        <x:v>N</x:v>
      </x:c>
      <x:c r="I213" s="16" t="str"/>
    </x:row>
    <x:row r="214">
      <x:c r="A214" s="16" t="n">
        <x:v>213</x:v>
      </x:c>
      <x:c r="B214" s="16" t="str">
        <x:v>EXPERIMENT</x:v>
      </x:c>
      <x:c r="C214" s="16" t="str">
        <x:f>Coder_A!C214</x:f>
        <x:v>PILOT_01_E01</x:v>
      </x:c>
      <x:c r="D214" s="16" t="str">
        <x:v>effect_size</x:v>
      </x:c>
      <x:c r="E214" s="16" t="str"/>
      <x:c r="F214" s="16" t="str"/>
      <x:c r="G214" s="16" t="str"/>
      <x:c r="H214" s="16" t="str">
        <x:v>N</x:v>
      </x:c>
      <x:c r="I214" s="16" t="str"/>
    </x:row>
    <x:row r="215">
      <x:c r="A215" s="16" t="n">
        <x:v>214</x:v>
      </x:c>
      <x:c r="B215" s="16" t="str">
        <x:v>EXPERIMENT</x:v>
      </x:c>
      <x:c r="C215" s="16" t="str">
        <x:f>Coder_A!C215</x:f>
        <x:v>PILOT_01_E01</x:v>
      </x:c>
      <x:c r="D215" s="16" t="str">
        <x:v>paired_design</x:v>
      </x:c>
      <x:c r="E215" s="16" t="str"/>
      <x:c r="F215" s="16" t="str"/>
      <x:c r="G215" s="16" t="str"/>
      <x:c r="H215" s="16" t="str">
        <x:v>Y</x:v>
      </x:c>
      <x:c r="I215" s="16" t="str"/>
    </x:row>
    <x:row r="216">
      <x:c r="A216" s="16" t="n">
        <x:v>215</x:v>
      </x:c>
      <x:c r="B216" s="16" t="str">
        <x:v>EXPERIMENT</x:v>
      </x:c>
      <x:c r="C216" s="16" t="str">
        <x:f>Coder_A!C216</x:f>
        <x:v>PILOT_01_E01</x:v>
      </x:c>
      <x:c r="D216" s="16" t="str">
        <x:v>significance_threshold</x:v>
      </x:c>
      <x:c r="E216" s="16" t="str"/>
      <x:c r="F216" s="16" t="str"/>
      <x:c r="G216" s="16" t="str"/>
      <x:c r="H216" s="16" t="str">
        <x:v>N</x:v>
      </x:c>
      <x:c r="I216" s="16" t="str"/>
    </x:row>
    <x:row r="217">
      <x:c r="A217" s="16" t="n">
        <x:v>216</x:v>
      </x:c>
      <x:c r="B217" s="16" t="str">
        <x:v>EXPERIMENT</x:v>
      </x:c>
      <x:c r="C217" s="16" t="str">
        <x:f>Coder_A!C217</x:f>
        <x:v>PILOT_01_E01</x:v>
      </x:c>
      <x:c r="D217" s="16" t="str">
        <x:v>parameter_count</x:v>
      </x:c>
      <x:c r="E217" s="16" t="str"/>
      <x:c r="F217" s="16" t="str"/>
      <x:c r="G217" s="16" t="str"/>
      <x:c r="H217" s="16" t="str">
        <x:v>N</x:v>
      </x:c>
      <x:c r="I217" s="16" t="str"/>
    </x:row>
    <x:row r="218">
      <x:c r="A218" s="16" t="n">
        <x:v>217</x:v>
      </x:c>
      <x:c r="B218" s="16" t="str">
        <x:v>EXPERIMENT</x:v>
      </x:c>
      <x:c r="C218" s="16" t="str">
        <x:f>Coder_A!C218</x:f>
        <x:v>PILOT_01_E01</x:v>
      </x:c>
      <x:c r="D218" s="16" t="str">
        <x:v>train_time</x:v>
      </x:c>
      <x:c r="E218" s="16" t="str"/>
      <x:c r="F218" s="16" t="str"/>
      <x:c r="G218" s="16" t="str"/>
      <x:c r="H218" s="16" t="str">
        <x:v>N</x:v>
      </x:c>
      <x:c r="I218" s="16" t="str"/>
    </x:row>
    <x:row r="219">
      <x:c r="A219" s="16" t="n">
        <x:v>218</x:v>
      </x:c>
      <x:c r="B219" s="16" t="str">
        <x:v>EXPERIMENT</x:v>
      </x:c>
      <x:c r="C219" s="16" t="str">
        <x:f>Coder_A!C219</x:f>
        <x:v>PILOT_01_E01</x:v>
      </x:c>
      <x:c r="D219" s="16" t="str">
        <x:v>time_per_epoch</x:v>
      </x:c>
      <x:c r="E219" s="16" t="str"/>
      <x:c r="F219" s="16" t="str"/>
      <x:c r="G219" s="16" t="str"/>
      <x:c r="H219" s="16" t="str">
        <x:v>N</x:v>
      </x:c>
      <x:c r="I219" s="16" t="str"/>
    </x:row>
    <x:row r="220">
      <x:c r="A220" s="16" t="n">
        <x:v>219</x:v>
      </x:c>
      <x:c r="B220" s="16" t="str">
        <x:v>EXPERIMENT</x:v>
      </x:c>
      <x:c r="C220" s="16" t="str">
        <x:f>Coder_A!C220</x:f>
        <x:v>PILOT_01_E01</x:v>
      </x:c>
      <x:c r="D220" s="16" t="str">
        <x:v>inference_latency</x:v>
      </x:c>
      <x:c r="E220" s="16" t="str"/>
      <x:c r="F220" s="16" t="str"/>
      <x:c r="G220" s="16" t="str"/>
      <x:c r="H220" s="16" t="str">
        <x:v>N</x:v>
      </x:c>
      <x:c r="I220" s="16" t="str"/>
    </x:row>
    <x:row r="221">
      <x:c r="A221" s="16" t="n">
        <x:v>220</x:v>
      </x:c>
      <x:c r="B221" s="16" t="str">
        <x:v>EXPERIMENT</x:v>
      </x:c>
      <x:c r="C221" s="16" t="str">
        <x:f>Coder_A!C221</x:f>
        <x:v>PILOT_01_E01</x:v>
      </x:c>
      <x:c r="D221" s="16" t="str">
        <x:v>throughput</x:v>
      </x:c>
      <x:c r="E221" s="16" t="str"/>
      <x:c r="F221" s="16" t="str"/>
      <x:c r="G221" s="16" t="str"/>
      <x:c r="H221" s="16" t="str">
        <x:v>N</x:v>
      </x:c>
      <x:c r="I221" s="16" t="str"/>
    </x:row>
    <x:row r="222">
      <x:c r="A222" s="16" t="n">
        <x:v>221</x:v>
      </x:c>
      <x:c r="B222" s="16" t="str">
        <x:v>EXPERIMENT</x:v>
      </x:c>
      <x:c r="C222" s="16" t="str">
        <x:f>Coder_A!C222</x:f>
        <x:v>PILOT_01_E01</x:v>
      </x:c>
      <x:c r="D222" s="16" t="str">
        <x:v>cpu_ram</x:v>
      </x:c>
      <x:c r="E222" s="16" t="str"/>
      <x:c r="F222" s="16" t="str"/>
      <x:c r="G222" s="16" t="str"/>
      <x:c r="H222" s="16" t="str">
        <x:v>N</x:v>
      </x:c>
      <x:c r="I222" s="16" t="str"/>
    </x:row>
    <x:row r="223">
      <x:c r="A223" s="16" t="n">
        <x:v>222</x:v>
      </x:c>
      <x:c r="B223" s="16" t="str">
        <x:v>EXPERIMENT</x:v>
      </x:c>
      <x:c r="C223" s="16" t="str">
        <x:f>Coder_A!C223</x:f>
        <x:v>PILOT_01_E01</x:v>
      </x:c>
      <x:c r="D223" s="16" t="str">
        <x:v>gpu_vram</x:v>
      </x:c>
      <x:c r="E223" s="16" t="str"/>
      <x:c r="F223" s="16" t="str"/>
      <x:c r="G223" s="16" t="str"/>
      <x:c r="H223" s="16" t="str">
        <x:v>N</x:v>
      </x:c>
      <x:c r="I223" s="16" t="str"/>
    </x:row>
    <x:row r="224">
      <x:c r="A224" s="16" t="n">
        <x:v>223</x:v>
      </x:c>
      <x:c r="B224" s="16" t="str">
        <x:v>EXPERIMENT</x:v>
      </x:c>
      <x:c r="C224" s="16" t="str">
        <x:f>Coder_A!C224</x:f>
        <x:v>PILOT_01_E01</x:v>
      </x:c>
      <x:c r="D224" s="16" t="str">
        <x:v>hardware</x:v>
      </x:c>
      <x:c r="E224" s="16" t="str"/>
      <x:c r="F224" s="16" t="str"/>
      <x:c r="G224" s="16" t="str"/>
      <x:c r="H224" s="16" t="str">
        <x:v>N</x:v>
      </x:c>
      <x:c r="I224" s="16" t="str"/>
    </x:row>
    <x:row r="225">
      <x:c r="A225" s="16" t="n">
        <x:v>224</x:v>
      </x:c>
      <x:c r="B225" s="16" t="str">
        <x:v>EXPERIMENT</x:v>
      </x:c>
      <x:c r="C225" s="16" t="str">
        <x:f>Coder_A!C225</x:f>
        <x:v>PILOT_01_E01</x:v>
      </x:c>
      <x:c r="D225" s="16" t="str">
        <x:v>graph_construction_time</x:v>
      </x:c>
      <x:c r="E225" s="16" t="str"/>
      <x:c r="F225" s="16" t="str"/>
      <x:c r="G225" s="16" t="str"/>
      <x:c r="H225" s="16" t="str">
        <x:v>N</x:v>
      </x:c>
      <x:c r="I225" s="16" t="str"/>
    </x:row>
    <x:row r="226">
      <x:c r="A226" s="16" t="n">
        <x:v>225</x:v>
      </x:c>
      <x:c r="B226" s="16" t="str">
        <x:v>EXPERIMENT</x:v>
      </x:c>
      <x:c r="C226" s="16" t="str">
        <x:f>Coder_A!C226</x:f>
        <x:v>PILOT_01_E01</x:v>
      </x:c>
      <x:c r="D226" s="16" t="str">
        <x:v>complexity_formula</x:v>
      </x:c>
      <x:c r="E226" s="16" t="str"/>
      <x:c r="F226" s="16" t="str"/>
      <x:c r="G226" s="16" t="str"/>
      <x:c r="H226" s="16" t="str">
        <x:v>N</x:v>
      </x:c>
      <x:c r="I226" s="16" t="str"/>
    </x:row>
    <x:row r="227">
      <x:c r="A227" s="16" t="n">
        <x:v>226</x:v>
      </x:c>
      <x:c r="B227" s="16" t="str">
        <x:v>EXPERIMENT</x:v>
      </x:c>
      <x:c r="C227" s="16" t="str">
        <x:f>Coder_A!C227</x:f>
        <x:v>PILOT_01_E01</x:v>
      </x:c>
      <x:c r="D227" s="16" t="str">
        <x:v>scale_up_experiment</x:v>
      </x:c>
      <x:c r="E227" s="16" t="str"/>
      <x:c r="F227" s="16" t="str"/>
      <x:c r="G227" s="16" t="str"/>
      <x:c r="H227" s="16" t="str">
        <x:v>Y</x:v>
      </x:c>
      <x:c r="I227" s="16" t="str"/>
    </x:row>
    <x:row r="228">
      <x:c r="A228" s="16" t="n">
        <x:v>227</x:v>
      </x:c>
      <x:c r="B228" s="16" t="str">
        <x:v>EXPERIMENT</x:v>
      </x:c>
      <x:c r="C228" s="16" t="str">
        <x:f>Coder_A!C228</x:f>
        <x:v>PILOT_01_E01</x:v>
      </x:c>
      <x:c r="D228" s="16" t="str">
        <x:v>oom_timeout_reported</x:v>
      </x:c>
      <x:c r="E228" s="16" t="str"/>
      <x:c r="F228" s="16" t="str"/>
      <x:c r="G228" s="16" t="str"/>
      <x:c r="H228" s="16" t="str">
        <x:v>Y</x:v>
      </x:c>
      <x:c r="I228" s="16" t="str"/>
    </x:row>
    <x:row r="229">
      <x:c r="A229" s="16" t="n">
        <x:v>228</x:v>
      </x:c>
      <x:c r="B229" s="16" t="str">
        <x:v>EXPERIMENT</x:v>
      </x:c>
      <x:c r="C229" s="16" t="str">
        <x:f>Coder_A!C229</x:f>
        <x:v>PILOT_01_E02</x:v>
      </x:c>
      <x:c r="D229" s="16" t="str">
        <x:v>dataset_name</x:v>
      </x:c>
      <x:c r="E229" s="16" t="str"/>
      <x:c r="F229" s="16" t="str"/>
      <x:c r="G229" s="16" t="str"/>
      <x:c r="H229" s="16" t="str">
        <x:v>N</x:v>
      </x:c>
      <x:c r="I229" s="16" t="str"/>
    </x:row>
    <x:row r="230">
      <x:c r="A230" s="16" t="n">
        <x:v>229</x:v>
      </x:c>
      <x:c r="B230" s="16" t="str">
        <x:v>EXPERIMENT</x:v>
      </x:c>
      <x:c r="C230" s="16" t="str">
        <x:f>Coder_A!C230</x:f>
        <x:v>PILOT_01_E02</x:v>
      </x:c>
      <x:c r="D230" s="16" t="str">
        <x:v>dataset_version</x:v>
      </x:c>
      <x:c r="E230" s="16" t="str"/>
      <x:c r="F230" s="16" t="str"/>
      <x:c r="G230" s="16" t="str"/>
      <x:c r="H230" s="16" t="str">
        <x:v>N</x:v>
      </x:c>
      <x:c r="I230" s="16" t="str"/>
    </x:row>
    <x:row r="231">
      <x:c r="A231" s="16" t="n">
        <x:v>230</x:v>
      </x:c>
      <x:c r="B231" s="16" t="str">
        <x:v>EXPERIMENT</x:v>
      </x:c>
      <x:c r="C231" s="16" t="str">
        <x:f>Coder_A!C231</x:f>
        <x:v>PILOT_01_E02</x:v>
      </x:c>
      <x:c r="D231" s="16" t="str">
        <x:v>n_learners_reported</x:v>
      </x:c>
      <x:c r="E231" s="16" t="str"/>
      <x:c r="F231" s="16" t="str"/>
      <x:c r="G231" s="16" t="str"/>
      <x:c r="H231" s="16" t="str">
        <x:v>N</x:v>
      </x:c>
      <x:c r="I231" s="16" t="str"/>
    </x:row>
    <x:row r="232">
      <x:c r="A232" s="16" t="n">
        <x:v>231</x:v>
      </x:c>
      <x:c r="B232" s="16" t="str">
        <x:v>EXPERIMENT</x:v>
      </x:c>
      <x:c r="C232" s="16" t="str">
        <x:f>Coder_A!C232</x:f>
        <x:v>PILOT_01_E02</x:v>
      </x:c>
      <x:c r="D232" s="16" t="str">
        <x:v>n_items_reported</x:v>
      </x:c>
      <x:c r="E232" s="16" t="str"/>
      <x:c r="F232" s="16" t="str"/>
      <x:c r="G232" s="16" t="str"/>
      <x:c r="H232" s="16" t="str">
        <x:v>N</x:v>
      </x:c>
      <x:c r="I232" s="16" t="str"/>
    </x:row>
    <x:row r="233">
      <x:c r="A233" s="16" t="n">
        <x:v>232</x:v>
      </x:c>
      <x:c r="B233" s="16" t="str">
        <x:v>EXPERIMENT</x:v>
      </x:c>
      <x:c r="C233" s="16" t="str">
        <x:f>Coder_A!C233</x:f>
        <x:v>PILOT_01_E02</x:v>
      </x:c>
      <x:c r="D233" s="16" t="str">
        <x:v>n_kcs_reported</x:v>
      </x:c>
      <x:c r="E233" s="16" t="str"/>
      <x:c r="F233" s="16" t="str"/>
      <x:c r="G233" s="16" t="str"/>
      <x:c r="H233" s="16" t="str">
        <x:v>N</x:v>
      </x:c>
      <x:c r="I233" s="16" t="str"/>
    </x:row>
    <x:row r="234">
      <x:c r="A234" s="16" t="n">
        <x:v>233</x:v>
      </x:c>
      <x:c r="B234" s="16" t="str">
        <x:v>EXPERIMENT</x:v>
      </x:c>
      <x:c r="C234" s="16" t="str">
        <x:f>Coder_A!C234</x:f>
        <x:v>PILOT_01_E02</x:v>
      </x:c>
      <x:c r="D234" s="16" t="str">
        <x:v>n_interactions_reported</x:v>
      </x:c>
      <x:c r="E234" s="16" t="str"/>
      <x:c r="F234" s="16" t="str"/>
      <x:c r="G234" s="16" t="str"/>
      <x:c r="H234" s="16" t="str">
        <x:v>N</x:v>
      </x:c>
      <x:c r="I234" s="16" t="str"/>
    </x:row>
    <x:row r="235">
      <x:c r="A235" s="16" t="n">
        <x:v>234</x:v>
      </x:c>
      <x:c r="B235" s="16" t="str">
        <x:v>EXPERIMENT</x:v>
      </x:c>
      <x:c r="C235" s="16" t="str">
        <x:f>Coder_A!C235</x:f>
        <x:v>PILOT_01_E02</x:v>
      </x:c>
      <x:c r="D235" s="16" t="str">
        <x:v>multi_skill_present</x:v>
      </x:c>
      <x:c r="E235" s="16" t="str"/>
      <x:c r="F235" s="16" t="str"/>
      <x:c r="G235" s="16" t="str"/>
      <x:c r="H235" s="16" t="str">
        <x:v>Y</x:v>
      </x:c>
      <x:c r="I235" s="16" t="str"/>
    </x:row>
    <x:row r="236">
      <x:c r="A236" s="16" t="n">
        <x:v>235</x:v>
      </x:c>
      <x:c r="B236" s="16" t="str">
        <x:v>EXPERIMENT</x:v>
      </x:c>
      <x:c r="C236" s="16" t="str">
        <x:f>Coder_A!C236</x:f>
        <x:v>PILOT_01_E02</x:v>
      </x:c>
      <x:c r="D236" s="16" t="str">
        <x:v>multi_skill_handling</x:v>
      </x:c>
      <x:c r="E236" s="16" t="str"/>
      <x:c r="F236" s="16" t="str"/>
      <x:c r="G236" s="16" t="str"/>
      <x:c r="H236" s="16" t="str">
        <x:v>N</x:v>
      </x:c>
      <x:c r="I236" s="16" t="str"/>
    </x:row>
    <x:row r="237">
      <x:c r="A237" s="16" t="n">
        <x:v>236</x:v>
      </x:c>
      <x:c r="B237" s="16" t="str">
        <x:v>EXPERIMENT</x:v>
      </x:c>
      <x:c r="C237" s="16" t="str">
        <x:f>Coder_A!C237</x:f>
        <x:v>PILOT_01_E02</x:v>
      </x:c>
      <x:c r="D237" s="16" t="str">
        <x:v>sequence_truncation</x:v>
      </x:c>
      <x:c r="E237" s="16" t="str"/>
      <x:c r="F237" s="16" t="str"/>
      <x:c r="G237" s="16" t="str"/>
      <x:c r="H237" s="16" t="str">
        <x:v>N</x:v>
      </x:c>
      <x:c r="I237" s="16" t="str"/>
    </x:row>
    <x:row r="238">
      <x:c r="A238" s="16" t="n">
        <x:v>237</x:v>
      </x:c>
      <x:c r="B238" s="16" t="str">
        <x:v>EXPERIMENT</x:v>
      </x:c>
      <x:c r="C238" s="16" t="str">
        <x:f>Coder_A!C238</x:f>
        <x:v>PILOT_01_E02</x:v>
      </x:c>
      <x:c r="D238" s="16" t="str">
        <x:v>min_sequence_filter</x:v>
      </x:c>
      <x:c r="E238" s="16" t="str"/>
      <x:c r="F238" s="16" t="str"/>
      <x:c r="G238" s="16" t="str"/>
      <x:c r="H238" s="16" t="str">
        <x:v>N</x:v>
      </x:c>
      <x:c r="I238" s="16" t="str"/>
    </x:row>
    <x:row r="239">
      <x:c r="A239" s="16" t="n">
        <x:v>238</x:v>
      </x:c>
      <x:c r="B239" s="16" t="str">
        <x:v>EXPERIMENT</x:v>
      </x:c>
      <x:c r="C239" s="16" t="str">
        <x:f>Coder_A!C239</x:f>
        <x:v>PILOT_01_E02</x:v>
      </x:c>
      <x:c r="D239" s="16" t="str">
        <x:v>timestamp_used</x:v>
      </x:c>
      <x:c r="E239" s="16" t="str"/>
      <x:c r="F239" s="16" t="str"/>
      <x:c r="G239" s="16" t="str"/>
      <x:c r="H239" s="16" t="str">
        <x:v>Y</x:v>
      </x:c>
      <x:c r="I239" s="16" t="str"/>
    </x:row>
    <x:row r="240">
      <x:c r="A240" s="16" t="n">
        <x:v>239</x:v>
      </x:c>
      <x:c r="B240" s="16" t="str">
        <x:v>EXPERIMENT</x:v>
      </x:c>
      <x:c r="C240" s="16" t="str">
        <x:f>Coder_A!C240</x:f>
        <x:v>PILOT_01_E02</x:v>
      </x:c>
      <x:c r="D240" s="16" t="str">
        <x:v>preprocessing_code_available</x:v>
      </x:c>
      <x:c r="E240" s="16" t="str"/>
      <x:c r="F240" s="16" t="str"/>
      <x:c r="G240" s="16" t="str"/>
      <x:c r="H240" s="16" t="str">
        <x:v>Y</x:v>
      </x:c>
      <x:c r="I240" s="16" t="str"/>
    </x:row>
    <x:row r="241">
      <x:c r="A241" s="16" t="n">
        <x:v>240</x:v>
      </x:c>
      <x:c r="B241" s="16" t="str">
        <x:v>EXPERIMENT</x:v>
      </x:c>
      <x:c r="C241" s="16" t="str">
        <x:f>Coder_A!C241</x:f>
        <x:v>PILOT_01_E02</x:v>
      </x:c>
      <x:c r="D241" s="16" t="str">
        <x:v>split_type</x:v>
      </x:c>
      <x:c r="E241" s="16" t="str"/>
      <x:c r="F241" s="16" t="str"/>
      <x:c r="G241" s="16" t="str"/>
      <x:c r="H241" s="16" t="str">
        <x:v>Y</x:v>
      </x:c>
      <x:c r="I241" s="16" t="str"/>
    </x:row>
    <x:row r="242">
      <x:c r="A242" s="16" t="n">
        <x:v>241</x:v>
      </x:c>
      <x:c r="B242" s="16" t="str">
        <x:v>EXPERIMENT</x:v>
      </x:c>
      <x:c r="C242" s="16" t="str">
        <x:f>Coder_A!C242</x:f>
        <x:v>PILOT_01_E02</x:v>
      </x:c>
      <x:c r="D242" s="16" t="str">
        <x:v>split_unit_original</x:v>
      </x:c>
      <x:c r="E242" s="16" t="str"/>
      <x:c r="F242" s="16" t="str"/>
      <x:c r="G242" s="16" t="str"/>
      <x:c r="H242" s="16" t="str">
        <x:v>N</x:v>
      </x:c>
      <x:c r="I242" s="16" t="str"/>
    </x:row>
    <x:row r="243">
      <x:c r="A243" s="16" t="n">
        <x:v>242</x:v>
      </x:c>
      <x:c r="B243" s="16" t="str">
        <x:v>EXPERIMENT</x:v>
      </x:c>
      <x:c r="C243" s="16" t="str">
        <x:f>Coder_A!C243</x:f>
        <x:v>PILOT_01_E02</x:v>
      </x:c>
      <x:c r="D243" s="16" t="str">
        <x:v>train_fraction</x:v>
      </x:c>
      <x:c r="E243" s="16" t="str"/>
      <x:c r="F243" s="16" t="str"/>
      <x:c r="G243" s="16" t="str"/>
      <x:c r="H243" s="16" t="str">
        <x:v>N</x:v>
      </x:c>
      <x:c r="I243" s="16" t="str"/>
    </x:row>
    <x:row r="244">
      <x:c r="A244" s="16" t="n">
        <x:v>243</x:v>
      </x:c>
      <x:c r="B244" s="16" t="str">
        <x:v>EXPERIMENT</x:v>
      </x:c>
      <x:c r="C244" s="16" t="str">
        <x:f>Coder_A!C244</x:f>
        <x:v>PILOT_01_E02</x:v>
      </x:c>
      <x:c r="D244" s="16" t="str">
        <x:v>validation_fraction</x:v>
      </x:c>
      <x:c r="E244" s="16" t="str"/>
      <x:c r="F244" s="16" t="str"/>
      <x:c r="G244" s="16" t="str"/>
      <x:c r="H244" s="16" t="str">
        <x:v>N</x:v>
      </x:c>
      <x:c r="I244" s="16" t="str"/>
    </x:row>
    <x:row r="245">
      <x:c r="A245" s="16" t="n">
        <x:v>244</x:v>
      </x:c>
      <x:c r="B245" s="16" t="str">
        <x:v>EXPERIMENT</x:v>
      </x:c>
      <x:c r="C245" s="16" t="str">
        <x:f>Coder_A!C245</x:f>
        <x:v>PILOT_01_E02</x:v>
      </x:c>
      <x:c r="D245" s="16" t="str">
        <x:v>test_fraction</x:v>
      </x:c>
      <x:c r="E245" s="16" t="str"/>
      <x:c r="F245" s="16" t="str"/>
      <x:c r="G245" s="16" t="str"/>
      <x:c r="H245" s="16" t="str">
        <x:v>N</x:v>
      </x:c>
      <x:c r="I245" s="16" t="str"/>
    </x:row>
    <x:row r="246">
      <x:c r="A246" s="16" t="n">
        <x:v>245</x:v>
      </x:c>
      <x:c r="B246" s="16" t="str">
        <x:v>EXPERIMENT</x:v>
      </x:c>
      <x:c r="C246" s="16" t="str">
        <x:f>Coder_A!C246</x:f>
        <x:v>PILOT_01_E02</x:v>
      </x:c>
      <x:c r="D246" s="16" t="str">
        <x:v>validation_set_separate</x:v>
      </x:c>
      <x:c r="E246" s="16" t="str"/>
      <x:c r="F246" s="16" t="str"/>
      <x:c r="G246" s="16" t="str"/>
      <x:c r="H246" s="16" t="str">
        <x:v>Y</x:v>
      </x:c>
      <x:c r="I246" s="16" t="str"/>
    </x:row>
    <x:row r="247">
      <x:c r="A247" s="16" t="n">
        <x:v>246</x:v>
      </x:c>
      <x:c r="B247" s="16" t="str">
        <x:v>EXPERIMENT</x:v>
      </x:c>
      <x:c r="C247" s="16" t="str">
        <x:f>Coder_A!C247</x:f>
        <x:v>PILOT_01_E02</x:v>
      </x:c>
      <x:c r="D247" s="16" t="str">
        <x:v>early_stopping_validation_only</x:v>
      </x:c>
      <x:c r="E247" s="16" t="str"/>
      <x:c r="F247" s="16" t="str"/>
      <x:c r="G247" s="16" t="str"/>
      <x:c r="H247" s="16" t="str">
        <x:v>Y</x:v>
      </x:c>
      <x:c r="I247" s="16" t="str"/>
    </x:row>
    <x:row r="248">
      <x:c r="A248" s="16" t="n">
        <x:v>247</x:v>
      </x:c>
      <x:c r="B248" s="16" t="str">
        <x:v>EXPERIMENT</x:v>
      </x:c>
      <x:c r="C248" s="16" t="str">
        <x:f>Coder_A!C248</x:f>
        <x:v>PILOT_01_E02</x:v>
      </x:c>
      <x:c r="D248" s="16" t="str">
        <x:v>graph_train_only</x:v>
      </x:c>
      <x:c r="E248" s="16" t="str"/>
      <x:c r="F248" s="16" t="str"/>
      <x:c r="G248" s="16" t="str"/>
      <x:c r="H248" s="16" t="str">
        <x:v>Y</x:v>
      </x:c>
      <x:c r="I248" s="16" t="str"/>
    </x:row>
    <x:row r="249">
      <x:c r="A249" s="16" t="n">
        <x:v>248</x:v>
      </x:c>
      <x:c r="B249" s="16" t="str">
        <x:v>EXPERIMENT</x:v>
      </x:c>
      <x:c r="C249" s="16" t="str">
        <x:f>Coder_A!C249</x:f>
        <x:v>PILOT_01_E02</x:v>
      </x:c>
      <x:c r="D249" s="16" t="str">
        <x:v>normalization_train_only</x:v>
      </x:c>
      <x:c r="E249" s="16" t="str"/>
      <x:c r="F249" s="16" t="str"/>
      <x:c r="G249" s="16" t="str"/>
      <x:c r="H249" s="16" t="str">
        <x:v>Y</x:v>
      </x:c>
      <x:c r="I249" s="16" t="str"/>
    </x:row>
    <x:row r="250">
      <x:c r="A250" s="16" t="n">
        <x:v>249</x:v>
      </x:c>
      <x:c r="B250" s="16" t="str">
        <x:v>EXPERIMENT</x:v>
      </x:c>
      <x:c r="C250" s="16" t="str">
        <x:f>Coder_A!C250</x:f>
        <x:v>PILOT_01_E02</x:v>
      </x:c>
      <x:c r="D250" s="16" t="str">
        <x:v>sparse_strata_train_only</x:v>
      </x:c>
      <x:c r="E250" s="16" t="str"/>
      <x:c r="F250" s="16" t="str"/>
      <x:c r="G250" s="16" t="str"/>
      <x:c r="H250" s="16" t="str">
        <x:v>Y</x:v>
      </x:c>
      <x:c r="I250" s="16" t="str"/>
    </x:row>
    <x:row r="251">
      <x:c r="A251" s="16" t="n">
        <x:v>250</x:v>
      </x:c>
      <x:c r="B251" s="16" t="str">
        <x:v>EXPERIMENT</x:v>
      </x:c>
      <x:c r="C251" s="16" t="str">
        <x:f>Coder_A!C251</x:f>
        <x:v>PILOT_01_E02</x:v>
      </x:c>
      <x:c r="D251" s="16" t="str">
        <x:v>temporal_alignment_audited</x:v>
      </x:c>
      <x:c r="E251" s="16" t="str"/>
      <x:c r="F251" s="16" t="str"/>
      <x:c r="G251" s="16" t="str"/>
      <x:c r="H251" s="16" t="str">
        <x:v>Y</x:v>
      </x:c>
      <x:c r="I251" s="16" t="str"/>
    </x:row>
    <x:row r="252">
      <x:c r="A252" s="16" t="n">
        <x:v>251</x:v>
      </x:c>
      <x:c r="B252" s="16" t="str">
        <x:v>EXPERIMENT</x:v>
      </x:c>
      <x:c r="C252" s="16" t="str">
        <x:f>Coder_A!C252</x:f>
        <x:v>PILOT_01_E02</x:v>
      </x:c>
      <x:c r="D252" s="16" t="str">
        <x:v>duplicate_entity_leakage_checked</x:v>
      </x:c>
      <x:c r="E252" s="16" t="str"/>
      <x:c r="F252" s="16" t="str"/>
      <x:c r="G252" s="16" t="str"/>
      <x:c r="H252" s="16" t="str">
        <x:v>Y</x:v>
      </x:c>
      <x:c r="I252" s="16" t="str"/>
    </x:row>
    <x:row r="253">
      <x:c r="A253" s="16" t="n">
        <x:v>252</x:v>
      </x:c>
      <x:c r="B253" s="16" t="str">
        <x:v>EXPERIMENT</x:v>
      </x:c>
      <x:c r="C253" s="16" t="str">
        <x:f>Coder_A!C253</x:f>
        <x:v>PILOT_01_E02</x:v>
      </x:c>
      <x:c r="D253" s="16" t="str">
        <x:v>sparsity_construct</x:v>
      </x:c>
      <x:c r="E253" s="16" t="str"/>
      <x:c r="F253" s="16" t="str"/>
      <x:c r="G253" s="16" t="str"/>
      <x:c r="H253" s="16" t="str">
        <x:v>Y</x:v>
      </x:c>
      <x:c r="I253" s="16" t="str"/>
    </x:row>
    <x:row r="254">
      <x:c r="A254" s="16" t="n">
        <x:v>253</x:v>
      </x:c>
      <x:c r="B254" s="16" t="str">
        <x:v>EXPERIMENT</x:v>
      </x:c>
      <x:c r="C254" s="16" t="str">
        <x:f>Coder_A!C254</x:f>
        <x:v>PILOT_01_E02</x:v>
      </x:c>
      <x:c r="D254" s="16" t="str">
        <x:v>sparse_definition_original</x:v>
      </x:c>
      <x:c r="E254" s="16" t="str"/>
      <x:c r="F254" s="16" t="str"/>
      <x:c r="G254" s="16" t="str"/>
      <x:c r="H254" s="16" t="str">
        <x:v>N</x:v>
      </x:c>
      <x:c r="I254" s="16" t="str"/>
    </x:row>
    <x:row r="255">
      <x:c r="A255" s="16" t="n">
        <x:v>254</x:v>
      </x:c>
      <x:c r="B255" s="16" t="str">
        <x:v>EXPERIMENT</x:v>
      </x:c>
      <x:c r="C255" s="16" t="str">
        <x:f>Coder_A!C255</x:f>
        <x:v>PILOT_01_E02</x:v>
      </x:c>
      <x:c r="D255" s="16" t="str">
        <x:v>sparse_threshold_original</x:v>
      </x:c>
      <x:c r="E255" s="16" t="str"/>
      <x:c r="F255" s="16" t="str"/>
      <x:c r="G255" s="16" t="str"/>
      <x:c r="H255" s="16" t="str">
        <x:v>N</x:v>
      </x:c>
      <x:c r="I255" s="16" t="str"/>
    </x:row>
    <x:row r="256">
      <x:c r="A256" s="16" t="n">
        <x:v>255</x:v>
      </x:c>
      <x:c r="B256" s="16" t="str">
        <x:v>EXPERIMENT</x:v>
      </x:c>
      <x:c r="C256" s="16" t="str">
        <x:f>Coder_A!C256</x:f>
        <x:v>PILOT_01_E02</x:v>
      </x:c>
      <x:c r="D256" s="16" t="str">
        <x:v>threshold_source</x:v>
      </x:c>
      <x:c r="E256" s="16" t="str"/>
      <x:c r="F256" s="16" t="str"/>
      <x:c r="G256" s="16" t="str"/>
      <x:c r="H256" s="16" t="str">
        <x:v>Y</x:v>
      </x:c>
      <x:c r="I256" s="16" t="str"/>
    </x:row>
    <x:row r="257">
      <x:c r="A257" s="16" t="n">
        <x:v>256</x:v>
      </x:c>
      <x:c r="B257" s="16" t="str">
        <x:v>EXPERIMENT</x:v>
      </x:c>
      <x:c r="C257" s="16" t="str">
        <x:f>Coder_A!C257</x:f>
        <x:v>PILOT_01_E02</x:v>
      </x:c>
      <x:c r="D257" s="16" t="str">
        <x:v>frequency_computed_on</x:v>
      </x:c>
      <x:c r="E257" s="16" t="str"/>
      <x:c r="F257" s="16" t="str"/>
      <x:c r="G257" s="16" t="str"/>
      <x:c r="H257" s="16" t="str">
        <x:v>Y</x:v>
      </x:c>
      <x:c r="I257" s="16" t="str"/>
    </x:row>
    <x:row r="258">
      <x:c r="A258" s="16" t="n">
        <x:v>257</x:v>
      </x:c>
      <x:c r="B258" s="16" t="str">
        <x:v>EXPERIMENT</x:v>
      </x:c>
      <x:c r="C258" s="16" t="str">
        <x:f>Coder_A!C258</x:f>
        <x:v>PILOT_01_E02</x:v>
      </x:c>
      <x:c r="D258" s="16" t="str">
        <x:v>strict_zero_train_verified</x:v>
      </x:c>
      <x:c r="E258" s="16" t="str"/>
      <x:c r="F258" s="16" t="str"/>
      <x:c r="G258" s="16" t="str"/>
      <x:c r="H258" s="16" t="str">
        <x:v>Y</x:v>
      </x:c>
      <x:c r="I258" s="16" t="str"/>
    </x:row>
    <x:row r="259">
      <x:c r="A259" s="16" t="n">
        <x:v>258</x:v>
      </x:c>
      <x:c r="B259" s="16" t="str">
        <x:v>EXPERIMENT</x:v>
      </x:c>
      <x:c r="C259" s="16" t="str">
        <x:f>Coder_A!C259</x:f>
        <x:v>PILOT_01_E02</x:v>
      </x:c>
      <x:c r="D259" s="16" t="str">
        <x:v>external_info_for_unseen_kc</x:v>
      </x:c>
      <x:c r="E259" s="16" t="str"/>
      <x:c r="F259" s="16" t="str"/>
      <x:c r="G259" s="16" t="str"/>
      <x:c r="H259" s="16" t="str">
        <x:v>Y</x:v>
      </x:c>
      <x:c r="I259" s="16" t="str"/>
    </x:row>
    <x:row r="260">
      <x:c r="A260" s="16" t="n">
        <x:v>259</x:v>
      </x:c>
      <x:c r="B260" s="16" t="str">
        <x:v>EXPERIMENT</x:v>
      </x:c>
      <x:c r="C260" s="16" t="str">
        <x:f>Coder_A!C260</x:f>
        <x:v>PILOT_01_E02</x:v>
      </x:c>
      <x:c r="D260" s="16" t="str">
        <x:v>support_kcs</x:v>
      </x:c>
      <x:c r="E260" s="16" t="str"/>
      <x:c r="F260" s="16" t="str"/>
      <x:c r="G260" s="16" t="str"/>
      <x:c r="H260" s="16" t="str">
        <x:v>N</x:v>
      </x:c>
      <x:c r="I260" s="16" t="str"/>
    </x:row>
    <x:row r="261">
      <x:c r="A261" s="16" t="n">
        <x:v>260</x:v>
      </x:c>
      <x:c r="B261" s="16" t="str">
        <x:v>EXPERIMENT</x:v>
      </x:c>
      <x:c r="C261" s="16" t="str">
        <x:f>Coder_A!C261</x:f>
        <x:v>PILOT_01_E02</x:v>
      </x:c>
      <x:c r="D261" s="16" t="str">
        <x:v>support_learners</x:v>
      </x:c>
      <x:c r="E261" s="16" t="str"/>
      <x:c r="F261" s="16" t="str"/>
      <x:c r="G261" s="16" t="str"/>
      <x:c r="H261" s="16" t="str">
        <x:v>N</x:v>
      </x:c>
      <x:c r="I261" s="16" t="str"/>
    </x:row>
    <x:row r="262">
      <x:c r="A262" s="16" t="n">
        <x:v>261</x:v>
      </x:c>
      <x:c r="B262" s="16" t="str">
        <x:v>EXPERIMENT</x:v>
      </x:c>
      <x:c r="C262" s="16" t="str">
        <x:f>Coder_A!C262</x:f>
        <x:v>PILOT_01_E02</x:v>
      </x:c>
      <x:c r="D262" s="16" t="str">
        <x:v>support_items</x:v>
      </x:c>
      <x:c r="E262" s="16" t="str"/>
      <x:c r="F262" s="16" t="str"/>
      <x:c r="G262" s="16" t="str"/>
      <x:c r="H262" s="16" t="str">
        <x:v>N</x:v>
      </x:c>
      <x:c r="I262" s="16" t="str"/>
    </x:row>
    <x:row r="263">
      <x:c r="A263" s="16" t="n">
        <x:v>262</x:v>
      </x:c>
      <x:c r="B263" s="16" t="str">
        <x:v>EXPERIMENT</x:v>
      </x:c>
      <x:c r="C263" s="16" t="str">
        <x:f>Coder_A!C263</x:f>
        <x:v>PILOT_01_E02</x:v>
      </x:c>
      <x:c r="D263" s="16" t="str">
        <x:v>support_test_interactions</x:v>
      </x:c>
      <x:c r="E263" s="16" t="str"/>
      <x:c r="F263" s="16" t="str"/>
      <x:c r="G263" s="16" t="str"/>
      <x:c r="H263" s="16" t="str">
        <x:v>N</x:v>
      </x:c>
      <x:c r="I263" s="16" t="str"/>
    </x:row>
    <x:row r="264">
      <x:c r="A264" s="16" t="n">
        <x:v>263</x:v>
      </x:c>
      <x:c r="B264" s="16" t="str">
        <x:v>EXPERIMENT</x:v>
      </x:c>
      <x:c r="C264" s="16" t="str">
        <x:f>Coder_A!C264</x:f>
        <x:v>PILOT_01_E02</x:v>
      </x:c>
      <x:c r="D264" s="16" t="str">
        <x:v>positive_count</x:v>
      </x:c>
      <x:c r="E264" s="16" t="str"/>
      <x:c r="F264" s="16" t="str"/>
      <x:c r="G264" s="16" t="str"/>
      <x:c r="H264" s="16" t="str">
        <x:v>N</x:v>
      </x:c>
      <x:c r="I264" s="16" t="str"/>
    </x:row>
    <x:row r="265">
      <x:c r="A265" s="16" t="n">
        <x:v>264</x:v>
      </x:c>
      <x:c r="B265" s="16" t="str">
        <x:v>EXPERIMENT</x:v>
      </x:c>
      <x:c r="C265" s="16" t="str">
        <x:f>Coder_A!C265</x:f>
        <x:v>PILOT_01_E02</x:v>
      </x:c>
      <x:c r="D265" s="16" t="str">
        <x:v>negative_count</x:v>
      </x:c>
      <x:c r="E265" s="16" t="str"/>
      <x:c r="F265" s="16" t="str"/>
      <x:c r="G265" s="16" t="str"/>
      <x:c r="H265" s="16" t="str">
        <x:v>N</x:v>
      </x:c>
      <x:c r="I265" s="16" t="str"/>
    </x:row>
    <x:row r="266">
      <x:c r="A266" s="16" t="n">
        <x:v>265</x:v>
      </x:c>
      <x:c r="B266" s="16" t="str">
        <x:v>EXPERIMENT</x:v>
      </x:c>
      <x:c r="C266" s="16" t="str">
        <x:f>Coder_A!C266</x:f>
        <x:v>PILOT_01_E02</x:v>
      </x:c>
      <x:c r="D266" s="16" t="str">
        <x:v>metric_name_original</x:v>
      </x:c>
      <x:c r="E266" s="16" t="str"/>
      <x:c r="F266" s="16" t="str"/>
      <x:c r="G266" s="16" t="str"/>
      <x:c r="H266" s="16" t="str">
        <x:v>N</x:v>
      </x:c>
      <x:c r="I266" s="16" t="str"/>
    </x:row>
    <x:row r="267">
      <x:c r="A267" s="16" t="n">
        <x:v>266</x:v>
      </x:c>
      <x:c r="B267" s="16" t="str">
        <x:v>EXPERIMENT</x:v>
      </x:c>
      <x:c r="C267" s="16" t="str">
        <x:f>Coder_A!C267</x:f>
        <x:v>PILOT_01_E02</x:v>
      </x:c>
      <x:c r="D267" s="16" t="str">
        <x:v>metric_value_original</x:v>
      </x:c>
      <x:c r="E267" s="16" t="str"/>
      <x:c r="F267" s="16" t="str"/>
      <x:c r="G267" s="16" t="str"/>
      <x:c r="H267" s="16" t="str">
        <x:v>N</x:v>
      </x:c>
      <x:c r="I267" s="16" t="str"/>
    </x:row>
    <x:row r="268">
      <x:c r="A268" s="16" t="n">
        <x:v>267</x:v>
      </x:c>
      <x:c r="B268" s="16" t="str">
        <x:v>EXPERIMENT</x:v>
      </x:c>
      <x:c r="C268" s="16" t="str">
        <x:f>Coder_A!C268</x:f>
        <x:v>PILOT_01_E02</x:v>
      </x:c>
      <x:c r="D268" s="16" t="str">
        <x:v>metric_scope</x:v>
      </x:c>
      <x:c r="E268" s="16" t="str"/>
      <x:c r="F268" s="16" t="str"/>
      <x:c r="G268" s="16" t="str"/>
      <x:c r="H268" s="16" t="str">
        <x:v>Y</x:v>
      </x:c>
      <x:c r="I268" s="16" t="str"/>
    </x:row>
    <x:row r="269">
      <x:c r="A269" s="16" t="n">
        <x:v>268</x:v>
      </x:c>
      <x:c r="B269" s="16" t="str">
        <x:v>EXPERIMENT</x:v>
      </x:c>
      <x:c r="C269" s="16" t="str">
        <x:f>Coder_A!C269</x:f>
        <x:v>PILOT_01_E02</x:v>
      </x:c>
      <x:c r="D269" s="16" t="str">
        <x:v>n_seeds</x:v>
      </x:c>
      <x:c r="E269" s="16" t="str"/>
      <x:c r="F269" s="16" t="str"/>
      <x:c r="G269" s="16" t="str"/>
      <x:c r="H269" s="16" t="str">
        <x:v>N</x:v>
      </x:c>
      <x:c r="I269" s="16" t="str"/>
    </x:row>
    <x:row r="270">
      <x:c r="A270" s="16" t="n">
        <x:v>269</x:v>
      </x:c>
      <x:c r="B270" s="16" t="str">
        <x:v>EXPERIMENT</x:v>
      </x:c>
      <x:c r="C270" s="16" t="str">
        <x:f>Coder_A!C270</x:f>
        <x:v>PILOT_01_E02</x:v>
      </x:c>
      <x:c r="D270" s="16" t="str">
        <x:v>seed_values_reported</x:v>
      </x:c>
      <x:c r="E270" s="16" t="str"/>
      <x:c r="F270" s="16" t="str"/>
      <x:c r="G270" s="16" t="str"/>
      <x:c r="H270" s="16" t="str">
        <x:v>N</x:v>
      </x:c>
      <x:c r="I270" s="16" t="str"/>
    </x:row>
    <x:row r="271">
      <x:c r="A271" s="16" t="n">
        <x:v>270</x:v>
      </x:c>
      <x:c r="B271" s="16" t="str">
        <x:v>EXPERIMENT</x:v>
      </x:c>
      <x:c r="C271" s="16" t="str">
        <x:f>Coder_A!C271</x:f>
        <x:v>PILOT_01_E02</x:v>
      </x:c>
      <x:c r="D271" s="16" t="str">
        <x:v>mean_std_reported</x:v>
      </x:c>
      <x:c r="E271" s="16" t="str"/>
      <x:c r="F271" s="16" t="str"/>
      <x:c r="G271" s="16" t="str"/>
      <x:c r="H271" s="16" t="str">
        <x:v>Y</x:v>
      </x:c>
      <x:c r="I271" s="16" t="str"/>
    </x:row>
    <x:row r="272">
      <x:c r="A272" s="16" t="n">
        <x:v>271</x:v>
      </x:c>
      <x:c r="B272" s="16" t="str">
        <x:v>EXPERIMENT</x:v>
      </x:c>
      <x:c r="C272" s="16" t="str">
        <x:f>Coder_A!C272</x:f>
        <x:v>PILOT_01_E02</x:v>
      </x:c>
      <x:c r="D272" s="16" t="str">
        <x:v>confidence_interval</x:v>
      </x:c>
      <x:c r="E272" s="16" t="str"/>
      <x:c r="F272" s="16" t="str"/>
      <x:c r="G272" s="16" t="str"/>
      <x:c r="H272" s="16" t="str">
        <x:v>N</x:v>
      </x:c>
      <x:c r="I272" s="16" t="str"/>
    </x:row>
    <x:row r="273">
      <x:c r="A273" s="16" t="n">
        <x:v>272</x:v>
      </x:c>
      <x:c r="B273" s="16" t="str">
        <x:v>EXPERIMENT</x:v>
      </x:c>
      <x:c r="C273" s="16" t="str">
        <x:f>Coder_A!C273</x:f>
        <x:v>PILOT_01_E02</x:v>
      </x:c>
      <x:c r="D273" s="16" t="str">
        <x:v>bootstrap_unit</x:v>
      </x:c>
      <x:c r="E273" s="16" t="str"/>
      <x:c r="F273" s="16" t="str"/>
      <x:c r="G273" s="16" t="str"/>
      <x:c r="H273" s="16" t="str">
        <x:v>Y</x:v>
      </x:c>
      <x:c r="I273" s="16" t="str"/>
    </x:row>
    <x:row r="274">
      <x:c r="A274" s="16" t="n">
        <x:v>273</x:v>
      </x:c>
      <x:c r="B274" s="16" t="str">
        <x:v>EXPERIMENT</x:v>
      </x:c>
      <x:c r="C274" s="16" t="str">
        <x:f>Coder_A!C274</x:f>
        <x:v>PILOT_01_E02</x:v>
      </x:c>
      <x:c r="D274" s="16" t="str">
        <x:v>statistical_test</x:v>
      </x:c>
      <x:c r="E274" s="16" t="str"/>
      <x:c r="F274" s="16" t="str"/>
      <x:c r="G274" s="16" t="str"/>
      <x:c r="H274" s="16" t="str">
        <x:v>N</x:v>
      </x:c>
      <x:c r="I274" s="16" t="str"/>
    </x:row>
    <x:row r="275">
      <x:c r="A275" s="16" t="n">
        <x:v>274</x:v>
      </x:c>
      <x:c r="B275" s="16" t="str">
        <x:v>EXPERIMENT</x:v>
      </x:c>
      <x:c r="C275" s="16" t="str">
        <x:f>Coder_A!C275</x:f>
        <x:v>PILOT_01_E02</x:v>
      </x:c>
      <x:c r="D275" s="16" t="str">
        <x:v>multiple_comparison_correction</x:v>
      </x:c>
      <x:c r="E275" s="16" t="str"/>
      <x:c r="F275" s="16" t="str"/>
      <x:c r="G275" s="16" t="str"/>
      <x:c r="H275" s="16" t="str">
        <x:v>N</x:v>
      </x:c>
      <x:c r="I275" s="16" t="str"/>
    </x:row>
    <x:row r="276">
      <x:c r="A276" s="16" t="n">
        <x:v>275</x:v>
      </x:c>
      <x:c r="B276" s="16" t="str">
        <x:v>EXPERIMENT</x:v>
      </x:c>
      <x:c r="C276" s="16" t="str">
        <x:f>Coder_A!C276</x:f>
        <x:v>PILOT_01_E02</x:v>
      </x:c>
      <x:c r="D276" s="16" t="str">
        <x:v>effect_size</x:v>
      </x:c>
      <x:c r="E276" s="16" t="str"/>
      <x:c r="F276" s="16" t="str"/>
      <x:c r="G276" s="16" t="str"/>
      <x:c r="H276" s="16" t="str">
        <x:v>N</x:v>
      </x:c>
      <x:c r="I276" s="16" t="str"/>
    </x:row>
    <x:row r="277">
      <x:c r="A277" s="16" t="n">
        <x:v>276</x:v>
      </x:c>
      <x:c r="B277" s="16" t="str">
        <x:v>EXPERIMENT</x:v>
      </x:c>
      <x:c r="C277" s="16" t="str">
        <x:f>Coder_A!C277</x:f>
        <x:v>PILOT_01_E02</x:v>
      </x:c>
      <x:c r="D277" s="16" t="str">
        <x:v>paired_design</x:v>
      </x:c>
      <x:c r="E277" s="16" t="str"/>
      <x:c r="F277" s="16" t="str"/>
      <x:c r="G277" s="16" t="str"/>
      <x:c r="H277" s="16" t="str">
        <x:v>Y</x:v>
      </x:c>
      <x:c r="I277" s="16" t="str"/>
    </x:row>
    <x:row r="278">
      <x:c r="A278" s="16" t="n">
        <x:v>277</x:v>
      </x:c>
      <x:c r="B278" s="16" t="str">
        <x:v>EXPERIMENT</x:v>
      </x:c>
      <x:c r="C278" s="16" t="str">
        <x:f>Coder_A!C278</x:f>
        <x:v>PILOT_01_E02</x:v>
      </x:c>
      <x:c r="D278" s="16" t="str">
        <x:v>significance_threshold</x:v>
      </x:c>
      <x:c r="E278" s="16" t="str"/>
      <x:c r="F278" s="16" t="str"/>
      <x:c r="G278" s="16" t="str"/>
      <x:c r="H278" s="16" t="str">
        <x:v>N</x:v>
      </x:c>
      <x:c r="I278" s="16" t="str"/>
    </x:row>
    <x:row r="279">
      <x:c r="A279" s="16" t="n">
        <x:v>278</x:v>
      </x:c>
      <x:c r="B279" s="16" t="str">
        <x:v>EXPERIMENT</x:v>
      </x:c>
      <x:c r="C279" s="16" t="str">
        <x:f>Coder_A!C279</x:f>
        <x:v>PILOT_01_E02</x:v>
      </x:c>
      <x:c r="D279" s="16" t="str">
        <x:v>parameter_count</x:v>
      </x:c>
      <x:c r="E279" s="16" t="str"/>
      <x:c r="F279" s="16" t="str"/>
      <x:c r="G279" s="16" t="str"/>
      <x:c r="H279" s="16" t="str">
        <x:v>N</x:v>
      </x:c>
      <x:c r="I279" s="16" t="str"/>
    </x:row>
    <x:row r="280">
      <x:c r="A280" s="16" t="n">
        <x:v>279</x:v>
      </x:c>
      <x:c r="B280" s="16" t="str">
        <x:v>EXPERIMENT</x:v>
      </x:c>
      <x:c r="C280" s="16" t="str">
        <x:f>Coder_A!C280</x:f>
        <x:v>PILOT_01_E02</x:v>
      </x:c>
      <x:c r="D280" s="16" t="str">
        <x:v>train_time</x:v>
      </x:c>
      <x:c r="E280" s="16" t="str"/>
      <x:c r="F280" s="16" t="str"/>
      <x:c r="G280" s="16" t="str"/>
      <x:c r="H280" s="16" t="str">
        <x:v>N</x:v>
      </x:c>
      <x:c r="I280" s="16" t="str"/>
    </x:row>
    <x:row r="281">
      <x:c r="A281" s="16" t="n">
        <x:v>280</x:v>
      </x:c>
      <x:c r="B281" s="16" t="str">
        <x:v>EXPERIMENT</x:v>
      </x:c>
      <x:c r="C281" s="16" t="str">
        <x:f>Coder_A!C281</x:f>
        <x:v>PILOT_01_E02</x:v>
      </x:c>
      <x:c r="D281" s="16" t="str">
        <x:v>time_per_epoch</x:v>
      </x:c>
      <x:c r="E281" s="16" t="str"/>
      <x:c r="F281" s="16" t="str"/>
      <x:c r="G281" s="16" t="str"/>
      <x:c r="H281" s="16" t="str">
        <x:v>N</x:v>
      </x:c>
      <x:c r="I281" s="16" t="str"/>
    </x:row>
    <x:row r="282">
      <x:c r="A282" s="16" t="n">
        <x:v>281</x:v>
      </x:c>
      <x:c r="B282" s="16" t="str">
        <x:v>EXPERIMENT</x:v>
      </x:c>
      <x:c r="C282" s="16" t="str">
        <x:f>Coder_A!C282</x:f>
        <x:v>PILOT_01_E02</x:v>
      </x:c>
      <x:c r="D282" s="16" t="str">
        <x:v>inference_latency</x:v>
      </x:c>
      <x:c r="E282" s="16" t="str"/>
      <x:c r="F282" s="16" t="str"/>
      <x:c r="G282" s="16" t="str"/>
      <x:c r="H282" s="16" t="str">
        <x:v>N</x:v>
      </x:c>
      <x:c r="I282" s="16" t="str"/>
    </x:row>
    <x:row r="283">
      <x:c r="A283" s="16" t="n">
        <x:v>282</x:v>
      </x:c>
      <x:c r="B283" s="16" t="str">
        <x:v>EXPERIMENT</x:v>
      </x:c>
      <x:c r="C283" s="16" t="str">
        <x:f>Coder_A!C283</x:f>
        <x:v>PILOT_01_E02</x:v>
      </x:c>
      <x:c r="D283" s="16" t="str">
        <x:v>throughput</x:v>
      </x:c>
      <x:c r="E283" s="16" t="str"/>
      <x:c r="F283" s="16" t="str"/>
      <x:c r="G283" s="16" t="str"/>
      <x:c r="H283" s="16" t="str">
        <x:v>N</x:v>
      </x:c>
      <x:c r="I283" s="16" t="str"/>
    </x:row>
    <x:row r="284">
      <x:c r="A284" s="16" t="n">
        <x:v>283</x:v>
      </x:c>
      <x:c r="B284" s="16" t="str">
        <x:v>EXPERIMENT</x:v>
      </x:c>
      <x:c r="C284" s="16" t="str">
        <x:f>Coder_A!C284</x:f>
        <x:v>PILOT_01_E02</x:v>
      </x:c>
      <x:c r="D284" s="16" t="str">
        <x:v>cpu_ram</x:v>
      </x:c>
      <x:c r="E284" s="16" t="str"/>
      <x:c r="F284" s="16" t="str"/>
      <x:c r="G284" s="16" t="str"/>
      <x:c r="H284" s="16" t="str">
        <x:v>N</x:v>
      </x:c>
      <x:c r="I284" s="16" t="str"/>
    </x:row>
    <x:row r="285">
      <x:c r="A285" s="16" t="n">
        <x:v>284</x:v>
      </x:c>
      <x:c r="B285" s="16" t="str">
        <x:v>EXPERIMENT</x:v>
      </x:c>
      <x:c r="C285" s="16" t="str">
        <x:f>Coder_A!C285</x:f>
        <x:v>PILOT_01_E02</x:v>
      </x:c>
      <x:c r="D285" s="16" t="str">
        <x:v>gpu_vram</x:v>
      </x:c>
      <x:c r="E285" s="16" t="str"/>
      <x:c r="F285" s="16" t="str"/>
      <x:c r="G285" s="16" t="str"/>
      <x:c r="H285" s="16" t="str">
        <x:v>N</x:v>
      </x:c>
      <x:c r="I285" s="16" t="str"/>
    </x:row>
    <x:row r="286">
      <x:c r="A286" s="16" t="n">
        <x:v>285</x:v>
      </x:c>
      <x:c r="B286" s="16" t="str">
        <x:v>EXPERIMENT</x:v>
      </x:c>
      <x:c r="C286" s="16" t="str">
        <x:f>Coder_A!C286</x:f>
        <x:v>PILOT_01_E02</x:v>
      </x:c>
      <x:c r="D286" s="16" t="str">
        <x:v>hardware</x:v>
      </x:c>
      <x:c r="E286" s="16" t="str"/>
      <x:c r="F286" s="16" t="str"/>
      <x:c r="G286" s="16" t="str"/>
      <x:c r="H286" s="16" t="str">
        <x:v>N</x:v>
      </x:c>
      <x:c r="I286" s="16" t="str"/>
    </x:row>
    <x:row r="287">
      <x:c r="A287" s="16" t="n">
        <x:v>286</x:v>
      </x:c>
      <x:c r="B287" s="16" t="str">
        <x:v>EXPERIMENT</x:v>
      </x:c>
      <x:c r="C287" s="16" t="str">
        <x:f>Coder_A!C287</x:f>
        <x:v>PILOT_01_E02</x:v>
      </x:c>
      <x:c r="D287" s="16" t="str">
        <x:v>graph_construction_time</x:v>
      </x:c>
      <x:c r="E287" s="16" t="str"/>
      <x:c r="F287" s="16" t="str"/>
      <x:c r="G287" s="16" t="str"/>
      <x:c r="H287" s="16" t="str">
        <x:v>N</x:v>
      </x:c>
      <x:c r="I287" s="16" t="str"/>
    </x:row>
    <x:row r="288">
      <x:c r="A288" s="16" t="n">
        <x:v>287</x:v>
      </x:c>
      <x:c r="B288" s="16" t="str">
        <x:v>EXPERIMENT</x:v>
      </x:c>
      <x:c r="C288" s="16" t="str">
        <x:f>Coder_A!C288</x:f>
        <x:v>PILOT_01_E02</x:v>
      </x:c>
      <x:c r="D288" s="16" t="str">
        <x:v>complexity_formula</x:v>
      </x:c>
      <x:c r="E288" s="16" t="str"/>
      <x:c r="F288" s="16" t="str"/>
      <x:c r="G288" s="16" t="str"/>
      <x:c r="H288" s="16" t="str">
        <x:v>N</x:v>
      </x:c>
      <x:c r="I288" s="16" t="str"/>
    </x:row>
    <x:row r="289">
      <x:c r="A289" s="16" t="n">
        <x:v>288</x:v>
      </x:c>
      <x:c r="B289" s="16" t="str">
        <x:v>EXPERIMENT</x:v>
      </x:c>
      <x:c r="C289" s="16" t="str">
        <x:f>Coder_A!C289</x:f>
        <x:v>PILOT_01_E02</x:v>
      </x:c>
      <x:c r="D289" s="16" t="str">
        <x:v>scale_up_experiment</x:v>
      </x:c>
      <x:c r="E289" s="16" t="str"/>
      <x:c r="F289" s="16" t="str"/>
      <x:c r="G289" s="16" t="str"/>
      <x:c r="H289" s="16" t="str">
        <x:v>Y</x:v>
      </x:c>
      <x:c r="I289" s="16" t="str"/>
    </x:row>
    <x:row r="290">
      <x:c r="A290" s="16" t="n">
        <x:v>289</x:v>
      </x:c>
      <x:c r="B290" s="16" t="str">
        <x:v>EXPERIMENT</x:v>
      </x:c>
      <x:c r="C290" s="16" t="str">
        <x:f>Coder_A!C290</x:f>
        <x:v>PILOT_01_E02</x:v>
      </x:c>
      <x:c r="D290" s="16" t="str">
        <x:v>oom_timeout_reported</x:v>
      </x:c>
      <x:c r="E290" s="16" t="str"/>
      <x:c r="F290" s="16" t="str"/>
      <x:c r="G290" s="16" t="str"/>
      <x:c r="H290" s="16" t="str">
        <x:v>Y</x:v>
      </x:c>
      <x:c r="I290" s="16" t="str"/>
    </x:row>
    <x:row r="291">
      <x:c r="A291" s="16" t="n">
        <x:v>290</x:v>
      </x:c>
      <x:c r="B291" s="16" t="str">
        <x:v>EXPERIMENT</x:v>
      </x:c>
      <x:c r="C291" s="16" t="str">
        <x:f>Coder_A!C291</x:f>
        <x:v>PILOT_01_E03</x:v>
      </x:c>
      <x:c r="D291" s="16" t="str">
        <x:v>dataset_name</x:v>
      </x:c>
      <x:c r="E291" s="16" t="str"/>
      <x:c r="F291" s="16" t="str"/>
      <x:c r="G291" s="16" t="str"/>
      <x:c r="H291" s="16" t="str">
        <x:v>N</x:v>
      </x:c>
      <x:c r="I291" s="16" t="str"/>
    </x:row>
    <x:row r="292">
      <x:c r="A292" s="16" t="n">
        <x:v>291</x:v>
      </x:c>
      <x:c r="B292" s="16" t="str">
        <x:v>EXPERIMENT</x:v>
      </x:c>
      <x:c r="C292" s="16" t="str">
        <x:f>Coder_A!C292</x:f>
        <x:v>PILOT_01_E03</x:v>
      </x:c>
      <x:c r="D292" s="16" t="str">
        <x:v>dataset_version</x:v>
      </x:c>
      <x:c r="E292" s="16" t="str"/>
      <x:c r="F292" s="16" t="str"/>
      <x:c r="G292" s="16" t="str"/>
      <x:c r="H292" s="16" t="str">
        <x:v>N</x:v>
      </x:c>
      <x:c r="I292" s="16" t="str"/>
    </x:row>
    <x:row r="293">
      <x:c r="A293" s="16" t="n">
        <x:v>292</x:v>
      </x:c>
      <x:c r="B293" s="16" t="str">
        <x:v>EXPERIMENT</x:v>
      </x:c>
      <x:c r="C293" s="16" t="str">
        <x:f>Coder_A!C293</x:f>
        <x:v>PILOT_01_E03</x:v>
      </x:c>
      <x:c r="D293" s="16" t="str">
        <x:v>n_learners_reported</x:v>
      </x:c>
      <x:c r="E293" s="16" t="str"/>
      <x:c r="F293" s="16" t="str"/>
      <x:c r="G293" s="16" t="str"/>
      <x:c r="H293" s="16" t="str">
        <x:v>N</x:v>
      </x:c>
      <x:c r="I293" s="16" t="str"/>
    </x:row>
    <x:row r="294">
      <x:c r="A294" s="16" t="n">
        <x:v>293</x:v>
      </x:c>
      <x:c r="B294" s="16" t="str">
        <x:v>EXPERIMENT</x:v>
      </x:c>
      <x:c r="C294" s="16" t="str">
        <x:f>Coder_A!C294</x:f>
        <x:v>PILOT_01_E03</x:v>
      </x:c>
      <x:c r="D294" s="16" t="str">
        <x:v>n_items_reported</x:v>
      </x:c>
      <x:c r="E294" s="16" t="str"/>
      <x:c r="F294" s="16" t="str"/>
      <x:c r="G294" s="16" t="str"/>
      <x:c r="H294" s="16" t="str">
        <x:v>N</x:v>
      </x:c>
      <x:c r="I294" s="16" t="str"/>
    </x:row>
    <x:row r="295">
      <x:c r="A295" s="16" t="n">
        <x:v>294</x:v>
      </x:c>
      <x:c r="B295" s="16" t="str">
        <x:v>EXPERIMENT</x:v>
      </x:c>
      <x:c r="C295" s="16" t="str">
        <x:f>Coder_A!C295</x:f>
        <x:v>PILOT_01_E03</x:v>
      </x:c>
      <x:c r="D295" s="16" t="str">
        <x:v>n_kcs_reported</x:v>
      </x:c>
      <x:c r="E295" s="16" t="str"/>
      <x:c r="F295" s="16" t="str"/>
      <x:c r="G295" s="16" t="str"/>
      <x:c r="H295" s="16" t="str">
        <x:v>N</x:v>
      </x:c>
      <x:c r="I295" s="16" t="str"/>
    </x:row>
    <x:row r="296">
      <x:c r="A296" s="16" t="n">
        <x:v>295</x:v>
      </x:c>
      <x:c r="B296" s="16" t="str">
        <x:v>EXPERIMENT</x:v>
      </x:c>
      <x:c r="C296" s="16" t="str">
        <x:f>Coder_A!C296</x:f>
        <x:v>PILOT_01_E03</x:v>
      </x:c>
      <x:c r="D296" s="16" t="str">
        <x:v>n_interactions_reported</x:v>
      </x:c>
      <x:c r="E296" s="16" t="str"/>
      <x:c r="F296" s="16" t="str"/>
      <x:c r="G296" s="16" t="str"/>
      <x:c r="H296" s="16" t="str">
        <x:v>N</x:v>
      </x:c>
      <x:c r="I296" s="16" t="str"/>
    </x:row>
    <x:row r="297">
      <x:c r="A297" s="16" t="n">
        <x:v>296</x:v>
      </x:c>
      <x:c r="B297" s="16" t="str">
        <x:v>EXPERIMENT</x:v>
      </x:c>
      <x:c r="C297" s="16" t="str">
        <x:f>Coder_A!C297</x:f>
        <x:v>PILOT_01_E03</x:v>
      </x:c>
      <x:c r="D297" s="16" t="str">
        <x:v>multi_skill_present</x:v>
      </x:c>
      <x:c r="E297" s="16" t="str"/>
      <x:c r="F297" s="16" t="str"/>
      <x:c r="G297" s="16" t="str"/>
      <x:c r="H297" s="16" t="str">
        <x:v>Y</x:v>
      </x:c>
      <x:c r="I297" s="16" t="str"/>
    </x:row>
    <x:row r="298">
      <x:c r="A298" s="16" t="n">
        <x:v>297</x:v>
      </x:c>
      <x:c r="B298" s="16" t="str">
        <x:v>EXPERIMENT</x:v>
      </x:c>
      <x:c r="C298" s="16" t="str">
        <x:f>Coder_A!C298</x:f>
        <x:v>PILOT_01_E03</x:v>
      </x:c>
      <x:c r="D298" s="16" t="str">
        <x:v>multi_skill_handling</x:v>
      </x:c>
      <x:c r="E298" s="16" t="str"/>
      <x:c r="F298" s="16" t="str"/>
      <x:c r="G298" s="16" t="str"/>
      <x:c r="H298" s="16" t="str">
        <x:v>N</x:v>
      </x:c>
      <x:c r="I298" s="16" t="str"/>
    </x:row>
    <x:row r="299">
      <x:c r="A299" s="16" t="n">
        <x:v>298</x:v>
      </x:c>
      <x:c r="B299" s="16" t="str">
        <x:v>EXPERIMENT</x:v>
      </x:c>
      <x:c r="C299" s="16" t="str">
        <x:f>Coder_A!C299</x:f>
        <x:v>PILOT_01_E03</x:v>
      </x:c>
      <x:c r="D299" s="16" t="str">
        <x:v>sequence_truncation</x:v>
      </x:c>
      <x:c r="E299" s="16" t="str"/>
      <x:c r="F299" s="16" t="str"/>
      <x:c r="G299" s="16" t="str"/>
      <x:c r="H299" s="16" t="str">
        <x:v>N</x:v>
      </x:c>
      <x:c r="I299" s="16" t="str"/>
    </x:row>
    <x:row r="300">
      <x:c r="A300" s="16" t="n">
        <x:v>299</x:v>
      </x:c>
      <x:c r="B300" s="16" t="str">
        <x:v>EXPERIMENT</x:v>
      </x:c>
      <x:c r="C300" s="16" t="str">
        <x:f>Coder_A!C300</x:f>
        <x:v>PILOT_01_E03</x:v>
      </x:c>
      <x:c r="D300" s="16" t="str">
        <x:v>min_sequence_filter</x:v>
      </x:c>
      <x:c r="E300" s="16" t="str"/>
      <x:c r="F300" s="16" t="str"/>
      <x:c r="G300" s="16" t="str"/>
      <x:c r="H300" s="16" t="str">
        <x:v>N</x:v>
      </x:c>
      <x:c r="I300" s="16" t="str"/>
    </x:row>
    <x:row r="301">
      <x:c r="A301" s="16" t="n">
        <x:v>300</x:v>
      </x:c>
      <x:c r="B301" s="16" t="str">
        <x:v>EXPERIMENT</x:v>
      </x:c>
      <x:c r="C301" s="16" t="str">
        <x:f>Coder_A!C301</x:f>
        <x:v>PILOT_01_E03</x:v>
      </x:c>
      <x:c r="D301" s="16" t="str">
        <x:v>timestamp_used</x:v>
      </x:c>
      <x:c r="E301" s="16" t="str"/>
      <x:c r="F301" s="16" t="str"/>
      <x:c r="G301" s="16" t="str"/>
      <x:c r="H301" s="16" t="str">
        <x:v>Y</x:v>
      </x:c>
      <x:c r="I301" s="16" t="str"/>
    </x:row>
    <x:row r="302">
      <x:c r="A302" s="16" t="n">
        <x:v>301</x:v>
      </x:c>
      <x:c r="B302" s="16" t="str">
        <x:v>EXPERIMENT</x:v>
      </x:c>
      <x:c r="C302" s="16" t="str">
        <x:f>Coder_A!C302</x:f>
        <x:v>PILOT_01_E03</x:v>
      </x:c>
      <x:c r="D302" s="16" t="str">
        <x:v>preprocessing_code_available</x:v>
      </x:c>
      <x:c r="E302" s="16" t="str"/>
      <x:c r="F302" s="16" t="str"/>
      <x:c r="G302" s="16" t="str"/>
      <x:c r="H302" s="16" t="str">
        <x:v>Y</x:v>
      </x:c>
      <x:c r="I302" s="16" t="str"/>
    </x:row>
    <x:row r="303">
      <x:c r="A303" s="16" t="n">
        <x:v>302</x:v>
      </x:c>
      <x:c r="B303" s="16" t="str">
        <x:v>EXPERIMENT</x:v>
      </x:c>
      <x:c r="C303" s="16" t="str">
        <x:f>Coder_A!C303</x:f>
        <x:v>PILOT_01_E03</x:v>
      </x:c>
      <x:c r="D303" s="16" t="str">
        <x:v>split_type</x:v>
      </x:c>
      <x:c r="E303" s="16" t="str"/>
      <x:c r="F303" s="16" t="str"/>
      <x:c r="G303" s="16" t="str"/>
      <x:c r="H303" s="16" t="str">
        <x:v>Y</x:v>
      </x:c>
      <x:c r="I303" s="16" t="str"/>
    </x:row>
    <x:row r="304">
      <x:c r="A304" s="16" t="n">
        <x:v>303</x:v>
      </x:c>
      <x:c r="B304" s="16" t="str">
        <x:v>EXPERIMENT</x:v>
      </x:c>
      <x:c r="C304" s="16" t="str">
        <x:f>Coder_A!C304</x:f>
        <x:v>PILOT_01_E03</x:v>
      </x:c>
      <x:c r="D304" s="16" t="str">
        <x:v>split_unit_original</x:v>
      </x:c>
      <x:c r="E304" s="16" t="str"/>
      <x:c r="F304" s="16" t="str"/>
      <x:c r="G304" s="16" t="str"/>
      <x:c r="H304" s="16" t="str">
        <x:v>N</x:v>
      </x:c>
      <x:c r="I304" s="16" t="str"/>
    </x:row>
    <x:row r="305">
      <x:c r="A305" s="16" t="n">
        <x:v>304</x:v>
      </x:c>
      <x:c r="B305" s="16" t="str">
        <x:v>EXPERIMENT</x:v>
      </x:c>
      <x:c r="C305" s="16" t="str">
        <x:f>Coder_A!C305</x:f>
        <x:v>PILOT_01_E03</x:v>
      </x:c>
      <x:c r="D305" s="16" t="str">
        <x:v>train_fraction</x:v>
      </x:c>
      <x:c r="E305" s="16" t="str"/>
      <x:c r="F305" s="16" t="str"/>
      <x:c r="G305" s="16" t="str"/>
      <x:c r="H305" s="16" t="str">
        <x:v>N</x:v>
      </x:c>
      <x:c r="I305" s="16" t="str"/>
    </x:row>
    <x:row r="306">
      <x:c r="A306" s="16" t="n">
        <x:v>305</x:v>
      </x:c>
      <x:c r="B306" s="16" t="str">
        <x:v>EXPERIMENT</x:v>
      </x:c>
      <x:c r="C306" s="16" t="str">
        <x:f>Coder_A!C306</x:f>
        <x:v>PILOT_01_E03</x:v>
      </x:c>
      <x:c r="D306" s="16" t="str">
        <x:v>validation_fraction</x:v>
      </x:c>
      <x:c r="E306" s="16" t="str"/>
      <x:c r="F306" s="16" t="str"/>
      <x:c r="G306" s="16" t="str"/>
      <x:c r="H306" s="16" t="str">
        <x:v>N</x:v>
      </x:c>
      <x:c r="I306" s="16" t="str"/>
    </x:row>
    <x:row r="307">
      <x:c r="A307" s="16" t="n">
        <x:v>306</x:v>
      </x:c>
      <x:c r="B307" s="16" t="str">
        <x:v>EXPERIMENT</x:v>
      </x:c>
      <x:c r="C307" s="16" t="str">
        <x:f>Coder_A!C307</x:f>
        <x:v>PILOT_01_E03</x:v>
      </x:c>
      <x:c r="D307" s="16" t="str">
        <x:v>test_fraction</x:v>
      </x:c>
      <x:c r="E307" s="16" t="str"/>
      <x:c r="F307" s="16" t="str"/>
      <x:c r="G307" s="16" t="str"/>
      <x:c r="H307" s="16" t="str">
        <x:v>N</x:v>
      </x:c>
      <x:c r="I307" s="16" t="str"/>
    </x:row>
    <x:row r="308">
      <x:c r="A308" s="16" t="n">
        <x:v>307</x:v>
      </x:c>
      <x:c r="B308" s="16" t="str">
        <x:v>EXPERIMENT</x:v>
      </x:c>
      <x:c r="C308" s="16" t="str">
        <x:f>Coder_A!C308</x:f>
        <x:v>PILOT_01_E03</x:v>
      </x:c>
      <x:c r="D308" s="16" t="str">
        <x:v>validation_set_separate</x:v>
      </x:c>
      <x:c r="E308" s="16" t="str"/>
      <x:c r="F308" s="16" t="str"/>
      <x:c r="G308" s="16" t="str"/>
      <x:c r="H308" s="16" t="str">
        <x:v>Y</x:v>
      </x:c>
      <x:c r="I308" s="16" t="str"/>
    </x:row>
    <x:row r="309">
      <x:c r="A309" s="16" t="n">
        <x:v>308</x:v>
      </x:c>
      <x:c r="B309" s="16" t="str">
        <x:v>EXPERIMENT</x:v>
      </x:c>
      <x:c r="C309" s="16" t="str">
        <x:f>Coder_A!C309</x:f>
        <x:v>PILOT_01_E03</x:v>
      </x:c>
      <x:c r="D309" s="16" t="str">
        <x:v>early_stopping_validation_only</x:v>
      </x:c>
      <x:c r="E309" s="16" t="str"/>
      <x:c r="F309" s="16" t="str"/>
      <x:c r="G309" s="16" t="str"/>
      <x:c r="H309" s="16" t="str">
        <x:v>Y</x:v>
      </x:c>
      <x:c r="I309" s="16" t="str"/>
    </x:row>
    <x:row r="310">
      <x:c r="A310" s="16" t="n">
        <x:v>309</x:v>
      </x:c>
      <x:c r="B310" s="16" t="str">
        <x:v>EXPERIMENT</x:v>
      </x:c>
      <x:c r="C310" s="16" t="str">
        <x:f>Coder_A!C310</x:f>
        <x:v>PILOT_01_E03</x:v>
      </x:c>
      <x:c r="D310" s="16" t="str">
        <x:v>graph_train_only</x:v>
      </x:c>
      <x:c r="E310" s="16" t="str"/>
      <x:c r="F310" s="16" t="str"/>
      <x:c r="G310" s="16" t="str"/>
      <x:c r="H310" s="16" t="str">
        <x:v>Y</x:v>
      </x:c>
      <x:c r="I310" s="16" t="str"/>
    </x:row>
    <x:row r="311">
      <x:c r="A311" s="16" t="n">
        <x:v>310</x:v>
      </x:c>
      <x:c r="B311" s="16" t="str">
        <x:v>EXPERIMENT</x:v>
      </x:c>
      <x:c r="C311" s="16" t="str">
        <x:f>Coder_A!C311</x:f>
        <x:v>PILOT_01_E03</x:v>
      </x:c>
      <x:c r="D311" s="16" t="str">
        <x:v>normalization_train_only</x:v>
      </x:c>
      <x:c r="E311" s="16" t="str"/>
      <x:c r="F311" s="16" t="str"/>
      <x:c r="G311" s="16" t="str"/>
      <x:c r="H311" s="16" t="str">
        <x:v>Y</x:v>
      </x:c>
      <x:c r="I311" s="16" t="str"/>
    </x:row>
    <x:row r="312">
      <x:c r="A312" s="16" t="n">
        <x:v>311</x:v>
      </x:c>
      <x:c r="B312" s="16" t="str">
        <x:v>EXPERIMENT</x:v>
      </x:c>
      <x:c r="C312" s="16" t="str">
        <x:f>Coder_A!C312</x:f>
        <x:v>PILOT_01_E03</x:v>
      </x:c>
      <x:c r="D312" s="16" t="str">
        <x:v>sparse_strata_train_only</x:v>
      </x:c>
      <x:c r="E312" s="16" t="str"/>
      <x:c r="F312" s="16" t="str"/>
      <x:c r="G312" s="16" t="str"/>
      <x:c r="H312" s="16" t="str">
        <x:v>Y</x:v>
      </x:c>
      <x:c r="I312" s="16" t="str"/>
    </x:row>
    <x:row r="313">
      <x:c r="A313" s="16" t="n">
        <x:v>312</x:v>
      </x:c>
      <x:c r="B313" s="16" t="str">
        <x:v>EXPERIMENT</x:v>
      </x:c>
      <x:c r="C313" s="16" t="str">
        <x:f>Coder_A!C313</x:f>
        <x:v>PILOT_01_E03</x:v>
      </x:c>
      <x:c r="D313" s="16" t="str">
        <x:v>temporal_alignment_audited</x:v>
      </x:c>
      <x:c r="E313" s="16" t="str"/>
      <x:c r="F313" s="16" t="str"/>
      <x:c r="G313" s="16" t="str"/>
      <x:c r="H313" s="16" t="str">
        <x:v>Y</x:v>
      </x:c>
      <x:c r="I313" s="16" t="str"/>
    </x:row>
    <x:row r="314">
      <x:c r="A314" s="16" t="n">
        <x:v>313</x:v>
      </x:c>
      <x:c r="B314" s="16" t="str">
        <x:v>EXPERIMENT</x:v>
      </x:c>
      <x:c r="C314" s="16" t="str">
        <x:f>Coder_A!C314</x:f>
        <x:v>PILOT_01_E03</x:v>
      </x:c>
      <x:c r="D314" s="16" t="str">
        <x:v>duplicate_entity_leakage_checked</x:v>
      </x:c>
      <x:c r="E314" s="16" t="str"/>
      <x:c r="F314" s="16" t="str"/>
      <x:c r="G314" s="16" t="str"/>
      <x:c r="H314" s="16" t="str">
        <x:v>Y</x:v>
      </x:c>
      <x:c r="I314" s="16" t="str"/>
    </x:row>
    <x:row r="315">
      <x:c r="A315" s="16" t="n">
        <x:v>314</x:v>
      </x:c>
      <x:c r="B315" s="16" t="str">
        <x:v>EXPERIMENT</x:v>
      </x:c>
      <x:c r="C315" s="16" t="str">
        <x:f>Coder_A!C315</x:f>
        <x:v>PILOT_01_E03</x:v>
      </x:c>
      <x:c r="D315" s="16" t="str">
        <x:v>sparsity_construct</x:v>
      </x:c>
      <x:c r="E315" s="16" t="str"/>
      <x:c r="F315" s="16" t="str"/>
      <x:c r="G315" s="16" t="str"/>
      <x:c r="H315" s="16" t="str">
        <x:v>Y</x:v>
      </x:c>
      <x:c r="I315" s="16" t="str"/>
    </x:row>
    <x:row r="316">
      <x:c r="A316" s="16" t="n">
        <x:v>315</x:v>
      </x:c>
      <x:c r="B316" s="16" t="str">
        <x:v>EXPERIMENT</x:v>
      </x:c>
      <x:c r="C316" s="16" t="str">
        <x:f>Coder_A!C316</x:f>
        <x:v>PILOT_01_E03</x:v>
      </x:c>
      <x:c r="D316" s="16" t="str">
        <x:v>sparse_definition_original</x:v>
      </x:c>
      <x:c r="E316" s="16" t="str"/>
      <x:c r="F316" s="16" t="str"/>
      <x:c r="G316" s="16" t="str"/>
      <x:c r="H316" s="16" t="str">
        <x:v>N</x:v>
      </x:c>
      <x:c r="I316" s="16" t="str"/>
    </x:row>
    <x:row r="317">
      <x:c r="A317" s="16" t="n">
        <x:v>316</x:v>
      </x:c>
      <x:c r="B317" s="16" t="str">
        <x:v>EXPERIMENT</x:v>
      </x:c>
      <x:c r="C317" s="16" t="str">
        <x:f>Coder_A!C317</x:f>
        <x:v>PILOT_01_E03</x:v>
      </x:c>
      <x:c r="D317" s="16" t="str">
        <x:v>sparse_threshold_original</x:v>
      </x:c>
      <x:c r="E317" s="16" t="str"/>
      <x:c r="F317" s="16" t="str"/>
      <x:c r="G317" s="16" t="str"/>
      <x:c r="H317" s="16" t="str">
        <x:v>N</x:v>
      </x:c>
      <x:c r="I317" s="16" t="str"/>
    </x:row>
    <x:row r="318">
      <x:c r="A318" s="16" t="n">
        <x:v>317</x:v>
      </x:c>
      <x:c r="B318" s="16" t="str">
        <x:v>EXPERIMENT</x:v>
      </x:c>
      <x:c r="C318" s="16" t="str">
        <x:f>Coder_A!C318</x:f>
        <x:v>PILOT_01_E03</x:v>
      </x:c>
      <x:c r="D318" s="16" t="str">
        <x:v>threshold_source</x:v>
      </x:c>
      <x:c r="E318" s="16" t="str"/>
      <x:c r="F318" s="16" t="str"/>
      <x:c r="G318" s="16" t="str"/>
      <x:c r="H318" s="16" t="str">
        <x:v>Y</x:v>
      </x:c>
      <x:c r="I318" s="16" t="str"/>
    </x:row>
    <x:row r="319">
      <x:c r="A319" s="16" t="n">
        <x:v>318</x:v>
      </x:c>
      <x:c r="B319" s="16" t="str">
        <x:v>EXPERIMENT</x:v>
      </x:c>
      <x:c r="C319" s="16" t="str">
        <x:f>Coder_A!C319</x:f>
        <x:v>PILOT_01_E03</x:v>
      </x:c>
      <x:c r="D319" s="16" t="str">
        <x:v>frequency_computed_on</x:v>
      </x:c>
      <x:c r="E319" s="16" t="str"/>
      <x:c r="F319" s="16" t="str"/>
      <x:c r="G319" s="16" t="str"/>
      <x:c r="H319" s="16" t="str">
        <x:v>Y</x:v>
      </x:c>
      <x:c r="I319" s="16" t="str"/>
    </x:row>
    <x:row r="320">
      <x:c r="A320" s="16" t="n">
        <x:v>319</x:v>
      </x:c>
      <x:c r="B320" s="16" t="str">
        <x:v>EXPERIMENT</x:v>
      </x:c>
      <x:c r="C320" s="16" t="str">
        <x:f>Coder_A!C320</x:f>
        <x:v>PILOT_01_E03</x:v>
      </x:c>
      <x:c r="D320" s="16" t="str">
        <x:v>strict_zero_train_verified</x:v>
      </x:c>
      <x:c r="E320" s="16" t="str"/>
      <x:c r="F320" s="16" t="str"/>
      <x:c r="G320" s="16" t="str"/>
      <x:c r="H320" s="16" t="str">
        <x:v>Y</x:v>
      </x:c>
      <x:c r="I320" s="16" t="str"/>
    </x:row>
    <x:row r="321">
      <x:c r="A321" s="16" t="n">
        <x:v>320</x:v>
      </x:c>
      <x:c r="B321" s="16" t="str">
        <x:v>EXPERIMENT</x:v>
      </x:c>
      <x:c r="C321" s="16" t="str">
        <x:f>Coder_A!C321</x:f>
        <x:v>PILOT_01_E03</x:v>
      </x:c>
      <x:c r="D321" s="16" t="str">
        <x:v>external_info_for_unseen_kc</x:v>
      </x:c>
      <x:c r="E321" s="16" t="str"/>
      <x:c r="F321" s="16" t="str"/>
      <x:c r="G321" s="16" t="str"/>
      <x:c r="H321" s="16" t="str">
        <x:v>Y</x:v>
      </x:c>
      <x:c r="I321" s="16" t="str"/>
    </x:row>
    <x:row r="322">
      <x:c r="A322" s="16" t="n">
        <x:v>321</x:v>
      </x:c>
      <x:c r="B322" s="16" t="str">
        <x:v>EXPERIMENT</x:v>
      </x:c>
      <x:c r="C322" s="16" t="str">
        <x:f>Coder_A!C322</x:f>
        <x:v>PILOT_01_E03</x:v>
      </x:c>
      <x:c r="D322" s="16" t="str">
        <x:v>support_kcs</x:v>
      </x:c>
      <x:c r="E322" s="16" t="str"/>
      <x:c r="F322" s="16" t="str"/>
      <x:c r="G322" s="16" t="str"/>
      <x:c r="H322" s="16" t="str">
        <x:v>N</x:v>
      </x:c>
      <x:c r="I322" s="16" t="str"/>
    </x:row>
    <x:row r="323">
      <x:c r="A323" s="16" t="n">
        <x:v>322</x:v>
      </x:c>
      <x:c r="B323" s="16" t="str">
        <x:v>EXPERIMENT</x:v>
      </x:c>
      <x:c r="C323" s="16" t="str">
        <x:f>Coder_A!C323</x:f>
        <x:v>PILOT_01_E03</x:v>
      </x:c>
      <x:c r="D323" s="16" t="str">
        <x:v>support_learners</x:v>
      </x:c>
      <x:c r="E323" s="16" t="str"/>
      <x:c r="F323" s="16" t="str"/>
      <x:c r="G323" s="16" t="str"/>
      <x:c r="H323" s="16" t="str">
        <x:v>N</x:v>
      </x:c>
      <x:c r="I323" s="16" t="str"/>
    </x:row>
    <x:row r="324">
      <x:c r="A324" s="16" t="n">
        <x:v>323</x:v>
      </x:c>
      <x:c r="B324" s="16" t="str">
        <x:v>EXPERIMENT</x:v>
      </x:c>
      <x:c r="C324" s="16" t="str">
        <x:f>Coder_A!C324</x:f>
        <x:v>PILOT_01_E03</x:v>
      </x:c>
      <x:c r="D324" s="16" t="str">
        <x:v>support_items</x:v>
      </x:c>
      <x:c r="E324" s="16" t="str"/>
      <x:c r="F324" s="16" t="str"/>
      <x:c r="G324" s="16" t="str"/>
      <x:c r="H324" s="16" t="str">
        <x:v>N</x:v>
      </x:c>
      <x:c r="I324" s="16" t="str"/>
    </x:row>
    <x:row r="325">
      <x:c r="A325" s="16" t="n">
        <x:v>324</x:v>
      </x:c>
      <x:c r="B325" s="16" t="str">
        <x:v>EXPERIMENT</x:v>
      </x:c>
      <x:c r="C325" s="16" t="str">
        <x:f>Coder_A!C325</x:f>
        <x:v>PILOT_01_E03</x:v>
      </x:c>
      <x:c r="D325" s="16" t="str">
        <x:v>support_test_interactions</x:v>
      </x:c>
      <x:c r="E325" s="16" t="str"/>
      <x:c r="F325" s="16" t="str"/>
      <x:c r="G325" s="16" t="str"/>
      <x:c r="H325" s="16" t="str">
        <x:v>N</x:v>
      </x:c>
      <x:c r="I325" s="16" t="str"/>
    </x:row>
    <x:row r="326">
      <x:c r="A326" s="16" t="n">
        <x:v>325</x:v>
      </x:c>
      <x:c r="B326" s="16" t="str">
        <x:v>EXPERIMENT</x:v>
      </x:c>
      <x:c r="C326" s="16" t="str">
        <x:f>Coder_A!C326</x:f>
        <x:v>PILOT_01_E03</x:v>
      </x:c>
      <x:c r="D326" s="16" t="str">
        <x:v>positive_count</x:v>
      </x:c>
      <x:c r="E326" s="16" t="str"/>
      <x:c r="F326" s="16" t="str"/>
      <x:c r="G326" s="16" t="str"/>
      <x:c r="H326" s="16" t="str">
        <x:v>N</x:v>
      </x:c>
      <x:c r="I326" s="16" t="str"/>
    </x:row>
    <x:row r="327">
      <x:c r="A327" s="16" t="n">
        <x:v>326</x:v>
      </x:c>
      <x:c r="B327" s="16" t="str">
        <x:v>EXPERIMENT</x:v>
      </x:c>
      <x:c r="C327" s="16" t="str">
        <x:f>Coder_A!C327</x:f>
        <x:v>PILOT_01_E03</x:v>
      </x:c>
      <x:c r="D327" s="16" t="str">
        <x:v>negative_count</x:v>
      </x:c>
      <x:c r="E327" s="16" t="str"/>
      <x:c r="F327" s="16" t="str"/>
      <x:c r="G327" s="16" t="str"/>
      <x:c r="H327" s="16" t="str">
        <x:v>N</x:v>
      </x:c>
      <x:c r="I327" s="16" t="str"/>
    </x:row>
    <x:row r="328">
      <x:c r="A328" s="16" t="n">
        <x:v>327</x:v>
      </x:c>
      <x:c r="B328" s="16" t="str">
        <x:v>EXPERIMENT</x:v>
      </x:c>
      <x:c r="C328" s="16" t="str">
        <x:f>Coder_A!C328</x:f>
        <x:v>PILOT_01_E03</x:v>
      </x:c>
      <x:c r="D328" s="16" t="str">
        <x:v>metric_name_original</x:v>
      </x:c>
      <x:c r="E328" s="16" t="str"/>
      <x:c r="F328" s="16" t="str"/>
      <x:c r="G328" s="16" t="str"/>
      <x:c r="H328" s="16" t="str">
        <x:v>N</x:v>
      </x:c>
      <x:c r="I328" s="16" t="str"/>
    </x:row>
    <x:row r="329">
      <x:c r="A329" s="16" t="n">
        <x:v>328</x:v>
      </x:c>
      <x:c r="B329" s="16" t="str">
        <x:v>EXPERIMENT</x:v>
      </x:c>
      <x:c r="C329" s="16" t="str">
        <x:f>Coder_A!C329</x:f>
        <x:v>PILOT_01_E03</x:v>
      </x:c>
      <x:c r="D329" s="16" t="str">
        <x:v>metric_value_original</x:v>
      </x:c>
      <x:c r="E329" s="16" t="str"/>
      <x:c r="F329" s="16" t="str"/>
      <x:c r="G329" s="16" t="str"/>
      <x:c r="H329" s="16" t="str">
        <x:v>N</x:v>
      </x:c>
      <x:c r="I329" s="16" t="str"/>
    </x:row>
    <x:row r="330">
      <x:c r="A330" s="16" t="n">
        <x:v>329</x:v>
      </x:c>
      <x:c r="B330" s="16" t="str">
        <x:v>EXPERIMENT</x:v>
      </x:c>
      <x:c r="C330" s="16" t="str">
        <x:f>Coder_A!C330</x:f>
        <x:v>PILOT_01_E03</x:v>
      </x:c>
      <x:c r="D330" s="16" t="str">
        <x:v>metric_scope</x:v>
      </x:c>
      <x:c r="E330" s="16" t="str"/>
      <x:c r="F330" s="16" t="str"/>
      <x:c r="G330" s="16" t="str"/>
      <x:c r="H330" s="16" t="str">
        <x:v>Y</x:v>
      </x:c>
      <x:c r="I330" s="16" t="str"/>
    </x:row>
    <x:row r="331">
      <x:c r="A331" s="16" t="n">
        <x:v>330</x:v>
      </x:c>
      <x:c r="B331" s="16" t="str">
        <x:v>EXPERIMENT</x:v>
      </x:c>
      <x:c r="C331" s="16" t="str">
        <x:f>Coder_A!C331</x:f>
        <x:v>PILOT_01_E03</x:v>
      </x:c>
      <x:c r="D331" s="16" t="str">
        <x:v>n_seeds</x:v>
      </x:c>
      <x:c r="E331" s="16" t="str"/>
      <x:c r="F331" s="16" t="str"/>
      <x:c r="G331" s="16" t="str"/>
      <x:c r="H331" s="16" t="str">
        <x:v>N</x:v>
      </x:c>
      <x:c r="I331" s="16" t="str"/>
    </x:row>
    <x:row r="332">
      <x:c r="A332" s="16" t="n">
        <x:v>331</x:v>
      </x:c>
      <x:c r="B332" s="16" t="str">
        <x:v>EXPERIMENT</x:v>
      </x:c>
      <x:c r="C332" s="16" t="str">
        <x:f>Coder_A!C332</x:f>
        <x:v>PILOT_01_E03</x:v>
      </x:c>
      <x:c r="D332" s="16" t="str">
        <x:v>seed_values_reported</x:v>
      </x:c>
      <x:c r="E332" s="16" t="str"/>
      <x:c r="F332" s="16" t="str"/>
      <x:c r="G332" s="16" t="str"/>
      <x:c r="H332" s="16" t="str">
        <x:v>N</x:v>
      </x:c>
      <x:c r="I332" s="16" t="str"/>
    </x:row>
    <x:row r="333">
      <x:c r="A333" s="16" t="n">
        <x:v>332</x:v>
      </x:c>
      <x:c r="B333" s="16" t="str">
        <x:v>EXPERIMENT</x:v>
      </x:c>
      <x:c r="C333" s="16" t="str">
        <x:f>Coder_A!C333</x:f>
        <x:v>PILOT_01_E03</x:v>
      </x:c>
      <x:c r="D333" s="16" t="str">
        <x:v>mean_std_reported</x:v>
      </x:c>
      <x:c r="E333" s="16" t="str"/>
      <x:c r="F333" s="16" t="str"/>
      <x:c r="G333" s="16" t="str"/>
      <x:c r="H333" s="16" t="str">
        <x:v>Y</x:v>
      </x:c>
      <x:c r="I333" s="16" t="str"/>
    </x:row>
    <x:row r="334">
      <x:c r="A334" s="16" t="n">
        <x:v>333</x:v>
      </x:c>
      <x:c r="B334" s="16" t="str">
        <x:v>EXPERIMENT</x:v>
      </x:c>
      <x:c r="C334" s="16" t="str">
        <x:f>Coder_A!C334</x:f>
        <x:v>PILOT_01_E03</x:v>
      </x:c>
      <x:c r="D334" s="16" t="str">
        <x:v>confidence_interval</x:v>
      </x:c>
      <x:c r="E334" s="16" t="str"/>
      <x:c r="F334" s="16" t="str"/>
      <x:c r="G334" s="16" t="str"/>
      <x:c r="H334" s="16" t="str">
        <x:v>N</x:v>
      </x:c>
      <x:c r="I334" s="16" t="str"/>
    </x:row>
    <x:row r="335">
      <x:c r="A335" s="16" t="n">
        <x:v>334</x:v>
      </x:c>
      <x:c r="B335" s="16" t="str">
        <x:v>EXPERIMENT</x:v>
      </x:c>
      <x:c r="C335" s="16" t="str">
        <x:f>Coder_A!C335</x:f>
        <x:v>PILOT_01_E03</x:v>
      </x:c>
      <x:c r="D335" s="16" t="str">
        <x:v>bootstrap_unit</x:v>
      </x:c>
      <x:c r="E335" s="16" t="str"/>
      <x:c r="F335" s="16" t="str"/>
      <x:c r="G335" s="16" t="str"/>
      <x:c r="H335" s="16" t="str">
        <x:v>Y</x:v>
      </x:c>
      <x:c r="I335" s="16" t="str"/>
    </x:row>
    <x:row r="336">
      <x:c r="A336" s="16" t="n">
        <x:v>335</x:v>
      </x:c>
      <x:c r="B336" s="16" t="str">
        <x:v>EXPERIMENT</x:v>
      </x:c>
      <x:c r="C336" s="16" t="str">
        <x:f>Coder_A!C336</x:f>
        <x:v>PILOT_01_E03</x:v>
      </x:c>
      <x:c r="D336" s="16" t="str">
        <x:v>statistical_test</x:v>
      </x:c>
      <x:c r="E336" s="16" t="str"/>
      <x:c r="F336" s="16" t="str"/>
      <x:c r="G336" s="16" t="str"/>
      <x:c r="H336" s="16" t="str">
        <x:v>N</x:v>
      </x:c>
      <x:c r="I336" s="16" t="str"/>
    </x:row>
    <x:row r="337">
      <x:c r="A337" s="16" t="n">
        <x:v>336</x:v>
      </x:c>
      <x:c r="B337" s="16" t="str">
        <x:v>EXPERIMENT</x:v>
      </x:c>
      <x:c r="C337" s="16" t="str">
        <x:f>Coder_A!C337</x:f>
        <x:v>PILOT_01_E03</x:v>
      </x:c>
      <x:c r="D337" s="16" t="str">
        <x:v>multiple_comparison_correction</x:v>
      </x:c>
      <x:c r="E337" s="16" t="str"/>
      <x:c r="F337" s="16" t="str"/>
      <x:c r="G337" s="16" t="str"/>
      <x:c r="H337" s="16" t="str">
        <x:v>N</x:v>
      </x:c>
      <x:c r="I337" s="16" t="str"/>
    </x:row>
    <x:row r="338">
      <x:c r="A338" s="16" t="n">
        <x:v>337</x:v>
      </x:c>
      <x:c r="B338" s="16" t="str">
        <x:v>EXPERIMENT</x:v>
      </x:c>
      <x:c r="C338" s="16" t="str">
        <x:f>Coder_A!C338</x:f>
        <x:v>PILOT_01_E03</x:v>
      </x:c>
      <x:c r="D338" s="16" t="str">
        <x:v>effect_size</x:v>
      </x:c>
      <x:c r="E338" s="16" t="str"/>
      <x:c r="F338" s="16" t="str"/>
      <x:c r="G338" s="16" t="str"/>
      <x:c r="H338" s="16" t="str">
        <x:v>N</x:v>
      </x:c>
      <x:c r="I338" s="16" t="str"/>
    </x:row>
    <x:row r="339">
      <x:c r="A339" s="16" t="n">
        <x:v>338</x:v>
      </x:c>
      <x:c r="B339" s="16" t="str">
        <x:v>EXPERIMENT</x:v>
      </x:c>
      <x:c r="C339" s="16" t="str">
        <x:f>Coder_A!C339</x:f>
        <x:v>PILOT_01_E03</x:v>
      </x:c>
      <x:c r="D339" s="16" t="str">
        <x:v>paired_design</x:v>
      </x:c>
      <x:c r="E339" s="16" t="str"/>
      <x:c r="F339" s="16" t="str"/>
      <x:c r="G339" s="16" t="str"/>
      <x:c r="H339" s="16" t="str">
        <x:v>Y</x:v>
      </x:c>
      <x:c r="I339" s="16" t="str"/>
    </x:row>
    <x:row r="340">
      <x:c r="A340" s="16" t="n">
        <x:v>339</x:v>
      </x:c>
      <x:c r="B340" s="16" t="str">
        <x:v>EXPERIMENT</x:v>
      </x:c>
      <x:c r="C340" s="16" t="str">
        <x:f>Coder_A!C340</x:f>
        <x:v>PILOT_01_E03</x:v>
      </x:c>
      <x:c r="D340" s="16" t="str">
        <x:v>significance_threshold</x:v>
      </x:c>
      <x:c r="E340" s="16" t="str"/>
      <x:c r="F340" s="16" t="str"/>
      <x:c r="G340" s="16" t="str"/>
      <x:c r="H340" s="16" t="str">
        <x:v>N</x:v>
      </x:c>
      <x:c r="I340" s="16" t="str"/>
    </x:row>
    <x:row r="341">
      <x:c r="A341" s="16" t="n">
        <x:v>340</x:v>
      </x:c>
      <x:c r="B341" s="16" t="str">
        <x:v>EXPERIMENT</x:v>
      </x:c>
      <x:c r="C341" s="16" t="str">
        <x:f>Coder_A!C341</x:f>
        <x:v>PILOT_01_E03</x:v>
      </x:c>
      <x:c r="D341" s="16" t="str">
        <x:v>parameter_count</x:v>
      </x:c>
      <x:c r="E341" s="16" t="str"/>
      <x:c r="F341" s="16" t="str"/>
      <x:c r="G341" s="16" t="str"/>
      <x:c r="H341" s="16" t="str">
        <x:v>N</x:v>
      </x:c>
      <x:c r="I341" s="16" t="str"/>
    </x:row>
    <x:row r="342">
      <x:c r="A342" s="16" t="n">
        <x:v>341</x:v>
      </x:c>
      <x:c r="B342" s="16" t="str">
        <x:v>EXPERIMENT</x:v>
      </x:c>
      <x:c r="C342" s="16" t="str">
        <x:f>Coder_A!C342</x:f>
        <x:v>PILOT_01_E03</x:v>
      </x:c>
      <x:c r="D342" s="16" t="str">
        <x:v>train_time</x:v>
      </x:c>
      <x:c r="E342" s="16" t="str"/>
      <x:c r="F342" s="16" t="str"/>
      <x:c r="G342" s="16" t="str"/>
      <x:c r="H342" s="16" t="str">
        <x:v>N</x:v>
      </x:c>
      <x:c r="I342" s="16" t="str"/>
    </x:row>
    <x:row r="343">
      <x:c r="A343" s="16" t="n">
        <x:v>342</x:v>
      </x:c>
      <x:c r="B343" s="16" t="str">
        <x:v>EXPERIMENT</x:v>
      </x:c>
      <x:c r="C343" s="16" t="str">
        <x:f>Coder_A!C343</x:f>
        <x:v>PILOT_01_E03</x:v>
      </x:c>
      <x:c r="D343" s="16" t="str">
        <x:v>time_per_epoch</x:v>
      </x:c>
      <x:c r="E343" s="16" t="str"/>
      <x:c r="F343" s="16" t="str"/>
      <x:c r="G343" s="16" t="str"/>
      <x:c r="H343" s="16" t="str">
        <x:v>N</x:v>
      </x:c>
      <x:c r="I343" s="16" t="str"/>
    </x:row>
    <x:row r="344">
      <x:c r="A344" s="16" t="n">
        <x:v>343</x:v>
      </x:c>
      <x:c r="B344" s="16" t="str">
        <x:v>EXPERIMENT</x:v>
      </x:c>
      <x:c r="C344" s="16" t="str">
        <x:f>Coder_A!C344</x:f>
        <x:v>PILOT_01_E03</x:v>
      </x:c>
      <x:c r="D344" s="16" t="str">
        <x:v>inference_latency</x:v>
      </x:c>
      <x:c r="E344" s="16" t="str"/>
      <x:c r="F344" s="16" t="str"/>
      <x:c r="G344" s="16" t="str"/>
      <x:c r="H344" s="16" t="str">
        <x:v>N</x:v>
      </x:c>
      <x:c r="I344" s="16" t="str"/>
    </x:row>
    <x:row r="345">
      <x:c r="A345" s="16" t="n">
        <x:v>344</x:v>
      </x:c>
      <x:c r="B345" s="16" t="str">
        <x:v>EXPERIMENT</x:v>
      </x:c>
      <x:c r="C345" s="16" t="str">
        <x:f>Coder_A!C345</x:f>
        <x:v>PILOT_01_E03</x:v>
      </x:c>
      <x:c r="D345" s="16" t="str">
        <x:v>throughput</x:v>
      </x:c>
      <x:c r="E345" s="16" t="str"/>
      <x:c r="F345" s="16" t="str"/>
      <x:c r="G345" s="16" t="str"/>
      <x:c r="H345" s="16" t="str">
        <x:v>N</x:v>
      </x:c>
      <x:c r="I345" s="16" t="str"/>
    </x:row>
    <x:row r="346">
      <x:c r="A346" s="16" t="n">
        <x:v>345</x:v>
      </x:c>
      <x:c r="B346" s="16" t="str">
        <x:v>EXPERIMENT</x:v>
      </x:c>
      <x:c r="C346" s="16" t="str">
        <x:f>Coder_A!C346</x:f>
        <x:v>PILOT_01_E03</x:v>
      </x:c>
      <x:c r="D346" s="16" t="str">
        <x:v>cpu_ram</x:v>
      </x:c>
      <x:c r="E346" s="16" t="str"/>
      <x:c r="F346" s="16" t="str"/>
      <x:c r="G346" s="16" t="str"/>
      <x:c r="H346" s="16" t="str">
        <x:v>N</x:v>
      </x:c>
      <x:c r="I346" s="16" t="str"/>
    </x:row>
    <x:row r="347">
      <x:c r="A347" s="16" t="n">
        <x:v>346</x:v>
      </x:c>
      <x:c r="B347" s="16" t="str">
        <x:v>EXPERIMENT</x:v>
      </x:c>
      <x:c r="C347" s="16" t="str">
        <x:f>Coder_A!C347</x:f>
        <x:v>PILOT_01_E03</x:v>
      </x:c>
      <x:c r="D347" s="16" t="str">
        <x:v>gpu_vram</x:v>
      </x:c>
      <x:c r="E347" s="16" t="str"/>
      <x:c r="F347" s="16" t="str"/>
      <x:c r="G347" s="16" t="str"/>
      <x:c r="H347" s="16" t="str">
        <x:v>N</x:v>
      </x:c>
      <x:c r="I347" s="16" t="str"/>
    </x:row>
    <x:row r="348">
      <x:c r="A348" s="16" t="n">
        <x:v>347</x:v>
      </x:c>
      <x:c r="B348" s="16" t="str">
        <x:v>EXPERIMENT</x:v>
      </x:c>
      <x:c r="C348" s="16" t="str">
        <x:f>Coder_A!C348</x:f>
        <x:v>PILOT_01_E03</x:v>
      </x:c>
      <x:c r="D348" s="16" t="str">
        <x:v>hardware</x:v>
      </x:c>
      <x:c r="E348" s="16" t="str"/>
      <x:c r="F348" s="16" t="str"/>
      <x:c r="G348" s="16" t="str"/>
      <x:c r="H348" s="16" t="str">
        <x:v>N</x:v>
      </x:c>
      <x:c r="I348" s="16" t="str"/>
    </x:row>
    <x:row r="349">
      <x:c r="A349" s="16" t="n">
        <x:v>348</x:v>
      </x:c>
      <x:c r="B349" s="16" t="str">
        <x:v>EXPERIMENT</x:v>
      </x:c>
      <x:c r="C349" s="16" t="str">
        <x:f>Coder_A!C349</x:f>
        <x:v>PILOT_01_E03</x:v>
      </x:c>
      <x:c r="D349" s="16" t="str">
        <x:v>graph_construction_time</x:v>
      </x:c>
      <x:c r="E349" s="16" t="str"/>
      <x:c r="F349" s="16" t="str"/>
      <x:c r="G349" s="16" t="str"/>
      <x:c r="H349" s="16" t="str">
        <x:v>N</x:v>
      </x:c>
      <x:c r="I349" s="16" t="str"/>
    </x:row>
    <x:row r="350">
      <x:c r="A350" s="16" t="n">
        <x:v>349</x:v>
      </x:c>
      <x:c r="B350" s="16" t="str">
        <x:v>EXPERIMENT</x:v>
      </x:c>
      <x:c r="C350" s="16" t="str">
        <x:f>Coder_A!C350</x:f>
        <x:v>PILOT_01_E03</x:v>
      </x:c>
      <x:c r="D350" s="16" t="str">
        <x:v>complexity_formula</x:v>
      </x:c>
      <x:c r="E350" s="16" t="str"/>
      <x:c r="F350" s="16" t="str"/>
      <x:c r="G350" s="16" t="str"/>
      <x:c r="H350" s="16" t="str">
        <x:v>N</x:v>
      </x:c>
      <x:c r="I350" s="16" t="str"/>
    </x:row>
    <x:row r="351">
      <x:c r="A351" s="16" t="n">
        <x:v>350</x:v>
      </x:c>
      <x:c r="B351" s="16" t="str">
        <x:v>EXPERIMENT</x:v>
      </x:c>
      <x:c r="C351" s="16" t="str">
        <x:f>Coder_A!C351</x:f>
        <x:v>PILOT_01_E03</x:v>
      </x:c>
      <x:c r="D351" s="16" t="str">
        <x:v>scale_up_experiment</x:v>
      </x:c>
      <x:c r="E351" s="16" t="str"/>
      <x:c r="F351" s="16" t="str"/>
      <x:c r="G351" s="16" t="str"/>
      <x:c r="H351" s="16" t="str">
        <x:v>Y</x:v>
      </x:c>
      <x:c r="I351" s="16" t="str"/>
    </x:row>
    <x:row r="352">
      <x:c r="A352" s="16" t="n">
        <x:v>351</x:v>
      </x:c>
      <x:c r="B352" s="16" t="str">
        <x:v>EXPERIMENT</x:v>
      </x:c>
      <x:c r="C352" s="16" t="str">
        <x:f>Coder_A!C352</x:f>
        <x:v>PILOT_01_E03</x:v>
      </x:c>
      <x:c r="D352" s="16" t="str">
        <x:v>oom_timeout_reported</x:v>
      </x:c>
      <x:c r="E352" s="16" t="str"/>
      <x:c r="F352" s="16" t="str"/>
      <x:c r="G352" s="16" t="str"/>
      <x:c r="H352" s="16" t="str">
        <x:v>Y</x:v>
      </x:c>
      <x:c r="I352" s="16" t="str"/>
    </x:row>
    <x:row r="353">
      <x:c r="A353" s="16" t="n">
        <x:v>352</x:v>
      </x:c>
      <x:c r="B353" s="16" t="str">
        <x:v>EXPERIMENT</x:v>
      </x:c>
      <x:c r="C353" s="16" t="str">
        <x:f>Coder_A!C353</x:f>
        <x:v>PILOT_01_E04</x:v>
      </x:c>
      <x:c r="D353" s="16" t="str">
        <x:v>dataset_name</x:v>
      </x:c>
      <x:c r="E353" s="16" t="str"/>
      <x:c r="F353" s="16" t="str"/>
      <x:c r="G353" s="16" t="str"/>
      <x:c r="H353" s="16" t="str">
        <x:v>N</x:v>
      </x:c>
      <x:c r="I353" s="16" t="str"/>
    </x:row>
    <x:row r="354">
      <x:c r="A354" s="16" t="n">
        <x:v>353</x:v>
      </x:c>
      <x:c r="B354" s="16" t="str">
        <x:v>EXPERIMENT</x:v>
      </x:c>
      <x:c r="C354" s="16" t="str">
        <x:f>Coder_A!C354</x:f>
        <x:v>PILOT_01_E04</x:v>
      </x:c>
      <x:c r="D354" s="16" t="str">
        <x:v>dataset_version</x:v>
      </x:c>
      <x:c r="E354" s="16" t="str"/>
      <x:c r="F354" s="16" t="str"/>
      <x:c r="G354" s="16" t="str"/>
      <x:c r="H354" s="16" t="str">
        <x:v>N</x:v>
      </x:c>
      <x:c r="I354" s="16" t="str"/>
    </x:row>
    <x:row r="355">
      <x:c r="A355" s="16" t="n">
        <x:v>354</x:v>
      </x:c>
      <x:c r="B355" s="16" t="str">
        <x:v>EXPERIMENT</x:v>
      </x:c>
      <x:c r="C355" s="16" t="str">
        <x:f>Coder_A!C355</x:f>
        <x:v>PILOT_01_E04</x:v>
      </x:c>
      <x:c r="D355" s="16" t="str">
        <x:v>n_learners_reported</x:v>
      </x:c>
      <x:c r="E355" s="16" t="str"/>
      <x:c r="F355" s="16" t="str"/>
      <x:c r="G355" s="16" t="str"/>
      <x:c r="H355" s="16" t="str">
        <x:v>N</x:v>
      </x:c>
      <x:c r="I355" s="16" t="str"/>
    </x:row>
    <x:row r="356">
      <x:c r="A356" s="16" t="n">
        <x:v>355</x:v>
      </x:c>
      <x:c r="B356" s="16" t="str">
        <x:v>EXPERIMENT</x:v>
      </x:c>
      <x:c r="C356" s="16" t="str">
        <x:f>Coder_A!C356</x:f>
        <x:v>PILOT_01_E04</x:v>
      </x:c>
      <x:c r="D356" s="16" t="str">
        <x:v>n_items_reported</x:v>
      </x:c>
      <x:c r="E356" s="16" t="str"/>
      <x:c r="F356" s="16" t="str"/>
      <x:c r="G356" s="16" t="str"/>
      <x:c r="H356" s="16" t="str">
        <x:v>N</x:v>
      </x:c>
      <x:c r="I356" s="16" t="str"/>
    </x:row>
    <x:row r="357">
      <x:c r="A357" s="16" t="n">
        <x:v>356</x:v>
      </x:c>
      <x:c r="B357" s="16" t="str">
        <x:v>EXPERIMENT</x:v>
      </x:c>
      <x:c r="C357" s="16" t="str">
        <x:f>Coder_A!C357</x:f>
        <x:v>PILOT_01_E04</x:v>
      </x:c>
      <x:c r="D357" s="16" t="str">
        <x:v>n_kcs_reported</x:v>
      </x:c>
      <x:c r="E357" s="16" t="str"/>
      <x:c r="F357" s="16" t="str"/>
      <x:c r="G357" s="16" t="str"/>
      <x:c r="H357" s="16" t="str">
        <x:v>N</x:v>
      </x:c>
      <x:c r="I357" s="16" t="str"/>
    </x:row>
    <x:row r="358">
      <x:c r="A358" s="16" t="n">
        <x:v>357</x:v>
      </x:c>
      <x:c r="B358" s="16" t="str">
        <x:v>EXPERIMENT</x:v>
      </x:c>
      <x:c r="C358" s="16" t="str">
        <x:f>Coder_A!C358</x:f>
        <x:v>PILOT_01_E04</x:v>
      </x:c>
      <x:c r="D358" s="16" t="str">
        <x:v>n_interactions_reported</x:v>
      </x:c>
      <x:c r="E358" s="16" t="str"/>
      <x:c r="F358" s="16" t="str"/>
      <x:c r="G358" s="16" t="str"/>
      <x:c r="H358" s="16" t="str">
        <x:v>N</x:v>
      </x:c>
      <x:c r="I358" s="16" t="str"/>
    </x:row>
    <x:row r="359">
      <x:c r="A359" s="16" t="n">
        <x:v>358</x:v>
      </x:c>
      <x:c r="B359" s="16" t="str">
        <x:v>EXPERIMENT</x:v>
      </x:c>
      <x:c r="C359" s="16" t="str">
        <x:f>Coder_A!C359</x:f>
        <x:v>PILOT_01_E04</x:v>
      </x:c>
      <x:c r="D359" s="16" t="str">
        <x:v>multi_skill_present</x:v>
      </x:c>
      <x:c r="E359" s="16" t="str"/>
      <x:c r="F359" s="16" t="str"/>
      <x:c r="G359" s="16" t="str"/>
      <x:c r="H359" s="16" t="str">
        <x:v>Y</x:v>
      </x:c>
      <x:c r="I359" s="16" t="str"/>
    </x:row>
    <x:row r="360">
      <x:c r="A360" s="16" t="n">
        <x:v>359</x:v>
      </x:c>
      <x:c r="B360" s="16" t="str">
        <x:v>EXPERIMENT</x:v>
      </x:c>
      <x:c r="C360" s="16" t="str">
        <x:f>Coder_A!C360</x:f>
        <x:v>PILOT_01_E04</x:v>
      </x:c>
      <x:c r="D360" s="16" t="str">
        <x:v>multi_skill_handling</x:v>
      </x:c>
      <x:c r="E360" s="16" t="str"/>
      <x:c r="F360" s="16" t="str"/>
      <x:c r="G360" s="16" t="str"/>
      <x:c r="H360" s="16" t="str">
        <x:v>N</x:v>
      </x:c>
      <x:c r="I360" s="16" t="str"/>
    </x:row>
    <x:row r="361">
      <x:c r="A361" s="16" t="n">
        <x:v>360</x:v>
      </x:c>
      <x:c r="B361" s="16" t="str">
        <x:v>EXPERIMENT</x:v>
      </x:c>
      <x:c r="C361" s="16" t="str">
        <x:f>Coder_A!C361</x:f>
        <x:v>PILOT_01_E04</x:v>
      </x:c>
      <x:c r="D361" s="16" t="str">
        <x:v>sequence_truncation</x:v>
      </x:c>
      <x:c r="E361" s="16" t="str"/>
      <x:c r="F361" s="16" t="str"/>
      <x:c r="G361" s="16" t="str"/>
      <x:c r="H361" s="16" t="str">
        <x:v>N</x:v>
      </x:c>
      <x:c r="I361" s="16" t="str"/>
    </x:row>
    <x:row r="362">
      <x:c r="A362" s="16" t="n">
        <x:v>361</x:v>
      </x:c>
      <x:c r="B362" s="16" t="str">
        <x:v>EXPERIMENT</x:v>
      </x:c>
      <x:c r="C362" s="16" t="str">
        <x:f>Coder_A!C362</x:f>
        <x:v>PILOT_01_E04</x:v>
      </x:c>
      <x:c r="D362" s="16" t="str">
        <x:v>min_sequence_filter</x:v>
      </x:c>
      <x:c r="E362" s="16" t="str"/>
      <x:c r="F362" s="16" t="str"/>
      <x:c r="G362" s="16" t="str"/>
      <x:c r="H362" s="16" t="str">
        <x:v>N</x:v>
      </x:c>
      <x:c r="I362" s="16" t="str"/>
    </x:row>
    <x:row r="363">
      <x:c r="A363" s="16" t="n">
        <x:v>362</x:v>
      </x:c>
      <x:c r="B363" s="16" t="str">
        <x:v>EXPERIMENT</x:v>
      </x:c>
      <x:c r="C363" s="16" t="str">
        <x:f>Coder_A!C363</x:f>
        <x:v>PILOT_01_E04</x:v>
      </x:c>
      <x:c r="D363" s="16" t="str">
        <x:v>timestamp_used</x:v>
      </x:c>
      <x:c r="E363" s="16" t="str"/>
      <x:c r="F363" s="16" t="str"/>
      <x:c r="G363" s="16" t="str"/>
      <x:c r="H363" s="16" t="str">
        <x:v>Y</x:v>
      </x:c>
      <x:c r="I363" s="16" t="str"/>
    </x:row>
    <x:row r="364">
      <x:c r="A364" s="16" t="n">
        <x:v>363</x:v>
      </x:c>
      <x:c r="B364" s="16" t="str">
        <x:v>EXPERIMENT</x:v>
      </x:c>
      <x:c r="C364" s="16" t="str">
        <x:f>Coder_A!C364</x:f>
        <x:v>PILOT_01_E04</x:v>
      </x:c>
      <x:c r="D364" s="16" t="str">
        <x:v>preprocessing_code_available</x:v>
      </x:c>
      <x:c r="E364" s="16" t="str"/>
      <x:c r="F364" s="16" t="str"/>
      <x:c r="G364" s="16" t="str"/>
      <x:c r="H364" s="16" t="str">
        <x:v>Y</x:v>
      </x:c>
      <x:c r="I364" s="16" t="str"/>
    </x:row>
    <x:row r="365">
      <x:c r="A365" s="16" t="n">
        <x:v>364</x:v>
      </x:c>
      <x:c r="B365" s="16" t="str">
        <x:v>EXPERIMENT</x:v>
      </x:c>
      <x:c r="C365" s="16" t="str">
        <x:f>Coder_A!C365</x:f>
        <x:v>PILOT_01_E04</x:v>
      </x:c>
      <x:c r="D365" s="16" t="str">
        <x:v>split_type</x:v>
      </x:c>
      <x:c r="E365" s="16" t="str"/>
      <x:c r="F365" s="16" t="str"/>
      <x:c r="G365" s="16" t="str"/>
      <x:c r="H365" s="16" t="str">
        <x:v>Y</x:v>
      </x:c>
      <x:c r="I365" s="16" t="str"/>
    </x:row>
    <x:row r="366">
      <x:c r="A366" s="16" t="n">
        <x:v>365</x:v>
      </x:c>
      <x:c r="B366" s="16" t="str">
        <x:v>EXPERIMENT</x:v>
      </x:c>
      <x:c r="C366" s="16" t="str">
        <x:f>Coder_A!C366</x:f>
        <x:v>PILOT_01_E04</x:v>
      </x:c>
      <x:c r="D366" s="16" t="str">
        <x:v>split_unit_original</x:v>
      </x:c>
      <x:c r="E366" s="16" t="str"/>
      <x:c r="F366" s="16" t="str"/>
      <x:c r="G366" s="16" t="str"/>
      <x:c r="H366" s="16" t="str">
        <x:v>N</x:v>
      </x:c>
      <x:c r="I366" s="16" t="str"/>
    </x:row>
    <x:row r="367">
      <x:c r="A367" s="16" t="n">
        <x:v>366</x:v>
      </x:c>
      <x:c r="B367" s="16" t="str">
        <x:v>EXPERIMENT</x:v>
      </x:c>
      <x:c r="C367" s="16" t="str">
        <x:f>Coder_A!C367</x:f>
        <x:v>PILOT_01_E04</x:v>
      </x:c>
      <x:c r="D367" s="16" t="str">
        <x:v>train_fraction</x:v>
      </x:c>
      <x:c r="E367" s="16" t="str"/>
      <x:c r="F367" s="16" t="str"/>
      <x:c r="G367" s="16" t="str"/>
      <x:c r="H367" s="16" t="str">
        <x:v>N</x:v>
      </x:c>
      <x:c r="I367" s="16" t="str"/>
    </x:row>
    <x:row r="368">
      <x:c r="A368" s="16" t="n">
        <x:v>367</x:v>
      </x:c>
      <x:c r="B368" s="16" t="str">
        <x:v>EXPERIMENT</x:v>
      </x:c>
      <x:c r="C368" s="16" t="str">
        <x:f>Coder_A!C368</x:f>
        <x:v>PILOT_01_E04</x:v>
      </x:c>
      <x:c r="D368" s="16" t="str">
        <x:v>validation_fraction</x:v>
      </x:c>
      <x:c r="E368" s="16" t="str"/>
      <x:c r="F368" s="16" t="str"/>
      <x:c r="G368" s="16" t="str"/>
      <x:c r="H368" s="16" t="str">
        <x:v>N</x:v>
      </x:c>
      <x:c r="I368" s="16" t="str"/>
    </x:row>
    <x:row r="369">
      <x:c r="A369" s="16" t="n">
        <x:v>368</x:v>
      </x:c>
      <x:c r="B369" s="16" t="str">
        <x:v>EXPERIMENT</x:v>
      </x:c>
      <x:c r="C369" s="16" t="str">
        <x:f>Coder_A!C369</x:f>
        <x:v>PILOT_01_E04</x:v>
      </x:c>
      <x:c r="D369" s="16" t="str">
        <x:v>test_fraction</x:v>
      </x:c>
      <x:c r="E369" s="16" t="str"/>
      <x:c r="F369" s="16" t="str"/>
      <x:c r="G369" s="16" t="str"/>
      <x:c r="H369" s="16" t="str">
        <x:v>N</x:v>
      </x:c>
      <x:c r="I369" s="16" t="str"/>
    </x:row>
    <x:row r="370">
      <x:c r="A370" s="16" t="n">
        <x:v>369</x:v>
      </x:c>
      <x:c r="B370" s="16" t="str">
        <x:v>EXPERIMENT</x:v>
      </x:c>
      <x:c r="C370" s="16" t="str">
        <x:f>Coder_A!C370</x:f>
        <x:v>PILOT_01_E04</x:v>
      </x:c>
      <x:c r="D370" s="16" t="str">
        <x:v>validation_set_separate</x:v>
      </x:c>
      <x:c r="E370" s="16" t="str"/>
      <x:c r="F370" s="16" t="str"/>
      <x:c r="G370" s="16" t="str"/>
      <x:c r="H370" s="16" t="str">
        <x:v>Y</x:v>
      </x:c>
      <x:c r="I370" s="16" t="str"/>
    </x:row>
    <x:row r="371">
      <x:c r="A371" s="16" t="n">
        <x:v>370</x:v>
      </x:c>
      <x:c r="B371" s="16" t="str">
        <x:v>EXPERIMENT</x:v>
      </x:c>
      <x:c r="C371" s="16" t="str">
        <x:f>Coder_A!C371</x:f>
        <x:v>PILOT_01_E04</x:v>
      </x:c>
      <x:c r="D371" s="16" t="str">
        <x:v>early_stopping_validation_only</x:v>
      </x:c>
      <x:c r="E371" s="16" t="str"/>
      <x:c r="F371" s="16" t="str"/>
      <x:c r="G371" s="16" t="str"/>
      <x:c r="H371" s="16" t="str">
        <x:v>Y</x:v>
      </x:c>
      <x:c r="I371" s="16" t="str"/>
    </x:row>
    <x:row r="372">
      <x:c r="A372" s="16" t="n">
        <x:v>371</x:v>
      </x:c>
      <x:c r="B372" s="16" t="str">
        <x:v>EXPERIMENT</x:v>
      </x:c>
      <x:c r="C372" s="16" t="str">
        <x:f>Coder_A!C372</x:f>
        <x:v>PILOT_01_E04</x:v>
      </x:c>
      <x:c r="D372" s="16" t="str">
        <x:v>graph_train_only</x:v>
      </x:c>
      <x:c r="E372" s="16" t="str"/>
      <x:c r="F372" s="16" t="str"/>
      <x:c r="G372" s="16" t="str"/>
      <x:c r="H372" s="16" t="str">
        <x:v>Y</x:v>
      </x:c>
      <x:c r="I372" s="16" t="str"/>
    </x:row>
    <x:row r="373">
      <x:c r="A373" s="16" t="n">
        <x:v>372</x:v>
      </x:c>
      <x:c r="B373" s="16" t="str">
        <x:v>EXPERIMENT</x:v>
      </x:c>
      <x:c r="C373" s="16" t="str">
        <x:f>Coder_A!C373</x:f>
        <x:v>PILOT_01_E04</x:v>
      </x:c>
      <x:c r="D373" s="16" t="str">
        <x:v>normalization_train_only</x:v>
      </x:c>
      <x:c r="E373" s="16" t="str"/>
      <x:c r="F373" s="16" t="str"/>
      <x:c r="G373" s="16" t="str"/>
      <x:c r="H373" s="16" t="str">
        <x:v>Y</x:v>
      </x:c>
      <x:c r="I373" s="16" t="str"/>
    </x:row>
    <x:row r="374">
      <x:c r="A374" s="16" t="n">
        <x:v>373</x:v>
      </x:c>
      <x:c r="B374" s="16" t="str">
        <x:v>EXPERIMENT</x:v>
      </x:c>
      <x:c r="C374" s="16" t="str">
        <x:f>Coder_A!C374</x:f>
        <x:v>PILOT_01_E04</x:v>
      </x:c>
      <x:c r="D374" s="16" t="str">
        <x:v>sparse_strata_train_only</x:v>
      </x:c>
      <x:c r="E374" s="16" t="str"/>
      <x:c r="F374" s="16" t="str"/>
      <x:c r="G374" s="16" t="str"/>
      <x:c r="H374" s="16" t="str">
        <x:v>Y</x:v>
      </x:c>
      <x:c r="I374" s="16" t="str"/>
    </x:row>
    <x:row r="375">
      <x:c r="A375" s="16" t="n">
        <x:v>374</x:v>
      </x:c>
      <x:c r="B375" s="16" t="str">
        <x:v>EXPERIMENT</x:v>
      </x:c>
      <x:c r="C375" s="16" t="str">
        <x:f>Coder_A!C375</x:f>
        <x:v>PILOT_01_E04</x:v>
      </x:c>
      <x:c r="D375" s="16" t="str">
        <x:v>temporal_alignment_audited</x:v>
      </x:c>
      <x:c r="E375" s="16" t="str"/>
      <x:c r="F375" s="16" t="str"/>
      <x:c r="G375" s="16" t="str"/>
      <x:c r="H375" s="16" t="str">
        <x:v>Y</x:v>
      </x:c>
      <x:c r="I375" s="16" t="str"/>
    </x:row>
    <x:row r="376">
      <x:c r="A376" s="16" t="n">
        <x:v>375</x:v>
      </x:c>
      <x:c r="B376" s="16" t="str">
        <x:v>EXPERIMENT</x:v>
      </x:c>
      <x:c r="C376" s="16" t="str">
        <x:f>Coder_A!C376</x:f>
        <x:v>PILOT_01_E04</x:v>
      </x:c>
      <x:c r="D376" s="16" t="str">
        <x:v>duplicate_entity_leakage_checked</x:v>
      </x:c>
      <x:c r="E376" s="16" t="str"/>
      <x:c r="F376" s="16" t="str"/>
      <x:c r="G376" s="16" t="str"/>
      <x:c r="H376" s="16" t="str">
        <x:v>Y</x:v>
      </x:c>
      <x:c r="I376" s="16" t="str"/>
    </x:row>
    <x:row r="377">
      <x:c r="A377" s="16" t="n">
        <x:v>376</x:v>
      </x:c>
      <x:c r="B377" s="16" t="str">
        <x:v>EXPERIMENT</x:v>
      </x:c>
      <x:c r="C377" s="16" t="str">
        <x:f>Coder_A!C377</x:f>
        <x:v>PILOT_01_E04</x:v>
      </x:c>
      <x:c r="D377" s="16" t="str">
        <x:v>sparsity_construct</x:v>
      </x:c>
      <x:c r="E377" s="16" t="str"/>
      <x:c r="F377" s="16" t="str"/>
      <x:c r="G377" s="16" t="str"/>
      <x:c r="H377" s="16" t="str">
        <x:v>Y</x:v>
      </x:c>
      <x:c r="I377" s="16" t="str"/>
    </x:row>
    <x:row r="378">
      <x:c r="A378" s="16" t="n">
        <x:v>377</x:v>
      </x:c>
      <x:c r="B378" s="16" t="str">
        <x:v>EXPERIMENT</x:v>
      </x:c>
      <x:c r="C378" s="16" t="str">
        <x:f>Coder_A!C378</x:f>
        <x:v>PILOT_01_E04</x:v>
      </x:c>
      <x:c r="D378" s="16" t="str">
        <x:v>sparse_definition_original</x:v>
      </x:c>
      <x:c r="E378" s="16" t="str"/>
      <x:c r="F378" s="16" t="str"/>
      <x:c r="G378" s="16" t="str"/>
      <x:c r="H378" s="16" t="str">
        <x:v>N</x:v>
      </x:c>
      <x:c r="I378" s="16" t="str"/>
    </x:row>
    <x:row r="379">
      <x:c r="A379" s="16" t="n">
        <x:v>378</x:v>
      </x:c>
      <x:c r="B379" s="16" t="str">
        <x:v>EXPERIMENT</x:v>
      </x:c>
      <x:c r="C379" s="16" t="str">
        <x:f>Coder_A!C379</x:f>
        <x:v>PILOT_01_E04</x:v>
      </x:c>
      <x:c r="D379" s="16" t="str">
        <x:v>sparse_threshold_original</x:v>
      </x:c>
      <x:c r="E379" s="16" t="str"/>
      <x:c r="F379" s="16" t="str"/>
      <x:c r="G379" s="16" t="str"/>
      <x:c r="H379" s="16" t="str">
        <x:v>N</x:v>
      </x:c>
      <x:c r="I379" s="16" t="str"/>
    </x:row>
    <x:row r="380">
      <x:c r="A380" s="16" t="n">
        <x:v>379</x:v>
      </x:c>
      <x:c r="B380" s="16" t="str">
        <x:v>EXPERIMENT</x:v>
      </x:c>
      <x:c r="C380" s="16" t="str">
        <x:f>Coder_A!C380</x:f>
        <x:v>PILOT_01_E04</x:v>
      </x:c>
      <x:c r="D380" s="16" t="str">
        <x:v>threshold_source</x:v>
      </x:c>
      <x:c r="E380" s="16" t="str"/>
      <x:c r="F380" s="16" t="str"/>
      <x:c r="G380" s="16" t="str"/>
      <x:c r="H380" s="16" t="str">
        <x:v>Y</x:v>
      </x:c>
      <x:c r="I380" s="16" t="str"/>
    </x:row>
    <x:row r="381">
      <x:c r="A381" s="16" t="n">
        <x:v>380</x:v>
      </x:c>
      <x:c r="B381" s="16" t="str">
        <x:v>EXPERIMENT</x:v>
      </x:c>
      <x:c r="C381" s="16" t="str">
        <x:f>Coder_A!C381</x:f>
        <x:v>PILOT_01_E04</x:v>
      </x:c>
      <x:c r="D381" s="16" t="str">
        <x:v>frequency_computed_on</x:v>
      </x:c>
      <x:c r="E381" s="16" t="str"/>
      <x:c r="F381" s="16" t="str"/>
      <x:c r="G381" s="16" t="str"/>
      <x:c r="H381" s="16" t="str">
        <x:v>Y</x:v>
      </x:c>
      <x:c r="I381" s="16" t="str"/>
    </x:row>
    <x:row r="382">
      <x:c r="A382" s="16" t="n">
        <x:v>381</x:v>
      </x:c>
      <x:c r="B382" s="16" t="str">
        <x:v>EXPERIMENT</x:v>
      </x:c>
      <x:c r="C382" s="16" t="str">
        <x:f>Coder_A!C382</x:f>
        <x:v>PILOT_01_E04</x:v>
      </x:c>
      <x:c r="D382" s="16" t="str">
        <x:v>strict_zero_train_verified</x:v>
      </x:c>
      <x:c r="E382" s="16" t="str"/>
      <x:c r="F382" s="16" t="str"/>
      <x:c r="G382" s="16" t="str"/>
      <x:c r="H382" s="16" t="str">
        <x:v>Y</x:v>
      </x:c>
      <x:c r="I382" s="16" t="str"/>
    </x:row>
    <x:row r="383">
      <x:c r="A383" s="16" t="n">
        <x:v>382</x:v>
      </x:c>
      <x:c r="B383" s="16" t="str">
        <x:v>EXPERIMENT</x:v>
      </x:c>
      <x:c r="C383" s="16" t="str">
        <x:f>Coder_A!C383</x:f>
        <x:v>PILOT_01_E04</x:v>
      </x:c>
      <x:c r="D383" s="16" t="str">
        <x:v>external_info_for_unseen_kc</x:v>
      </x:c>
      <x:c r="E383" s="16" t="str"/>
      <x:c r="F383" s="16" t="str"/>
      <x:c r="G383" s="16" t="str"/>
      <x:c r="H383" s="16" t="str">
        <x:v>Y</x:v>
      </x:c>
      <x:c r="I383" s="16" t="str"/>
    </x:row>
    <x:row r="384">
      <x:c r="A384" s="16" t="n">
        <x:v>383</x:v>
      </x:c>
      <x:c r="B384" s="16" t="str">
        <x:v>EXPERIMENT</x:v>
      </x:c>
      <x:c r="C384" s="16" t="str">
        <x:f>Coder_A!C384</x:f>
        <x:v>PILOT_01_E04</x:v>
      </x:c>
      <x:c r="D384" s="16" t="str">
        <x:v>support_kcs</x:v>
      </x:c>
      <x:c r="E384" s="16" t="str"/>
      <x:c r="F384" s="16" t="str"/>
      <x:c r="G384" s="16" t="str"/>
      <x:c r="H384" s="16" t="str">
        <x:v>N</x:v>
      </x:c>
      <x:c r="I384" s="16" t="str"/>
    </x:row>
    <x:row r="385">
      <x:c r="A385" s="16" t="n">
        <x:v>384</x:v>
      </x:c>
      <x:c r="B385" s="16" t="str">
        <x:v>EXPERIMENT</x:v>
      </x:c>
      <x:c r="C385" s="16" t="str">
        <x:f>Coder_A!C385</x:f>
        <x:v>PILOT_01_E04</x:v>
      </x:c>
      <x:c r="D385" s="16" t="str">
        <x:v>support_learners</x:v>
      </x:c>
      <x:c r="E385" s="16" t="str"/>
      <x:c r="F385" s="16" t="str"/>
      <x:c r="G385" s="16" t="str"/>
      <x:c r="H385" s="16" t="str">
        <x:v>N</x:v>
      </x:c>
      <x:c r="I385" s="16" t="str"/>
    </x:row>
    <x:row r="386">
      <x:c r="A386" s="16" t="n">
        <x:v>385</x:v>
      </x:c>
      <x:c r="B386" s="16" t="str">
        <x:v>EXPERIMENT</x:v>
      </x:c>
      <x:c r="C386" s="16" t="str">
        <x:f>Coder_A!C386</x:f>
        <x:v>PILOT_01_E04</x:v>
      </x:c>
      <x:c r="D386" s="16" t="str">
        <x:v>support_items</x:v>
      </x:c>
      <x:c r="E386" s="16" t="str"/>
      <x:c r="F386" s="16" t="str"/>
      <x:c r="G386" s="16" t="str"/>
      <x:c r="H386" s="16" t="str">
        <x:v>N</x:v>
      </x:c>
      <x:c r="I386" s="16" t="str"/>
    </x:row>
    <x:row r="387">
      <x:c r="A387" s="16" t="n">
        <x:v>386</x:v>
      </x:c>
      <x:c r="B387" s="16" t="str">
        <x:v>EXPERIMENT</x:v>
      </x:c>
      <x:c r="C387" s="16" t="str">
        <x:f>Coder_A!C387</x:f>
        <x:v>PILOT_01_E04</x:v>
      </x:c>
      <x:c r="D387" s="16" t="str">
        <x:v>support_test_interactions</x:v>
      </x:c>
      <x:c r="E387" s="16" t="str"/>
      <x:c r="F387" s="16" t="str"/>
      <x:c r="G387" s="16" t="str"/>
      <x:c r="H387" s="16" t="str">
        <x:v>N</x:v>
      </x:c>
      <x:c r="I387" s="16" t="str"/>
    </x:row>
    <x:row r="388">
      <x:c r="A388" s="16" t="n">
        <x:v>387</x:v>
      </x:c>
      <x:c r="B388" s="16" t="str">
        <x:v>EXPERIMENT</x:v>
      </x:c>
      <x:c r="C388" s="16" t="str">
        <x:f>Coder_A!C388</x:f>
        <x:v>PILOT_01_E04</x:v>
      </x:c>
      <x:c r="D388" s="16" t="str">
        <x:v>positive_count</x:v>
      </x:c>
      <x:c r="E388" s="16" t="str"/>
      <x:c r="F388" s="16" t="str"/>
      <x:c r="G388" s="16" t="str"/>
      <x:c r="H388" s="16" t="str">
        <x:v>N</x:v>
      </x:c>
      <x:c r="I388" s="16" t="str"/>
    </x:row>
    <x:row r="389">
      <x:c r="A389" s="16" t="n">
        <x:v>388</x:v>
      </x:c>
      <x:c r="B389" s="16" t="str">
        <x:v>EXPERIMENT</x:v>
      </x:c>
      <x:c r="C389" s="16" t="str">
        <x:f>Coder_A!C389</x:f>
        <x:v>PILOT_01_E04</x:v>
      </x:c>
      <x:c r="D389" s="16" t="str">
        <x:v>negative_count</x:v>
      </x:c>
      <x:c r="E389" s="16" t="str"/>
      <x:c r="F389" s="16" t="str"/>
      <x:c r="G389" s="16" t="str"/>
      <x:c r="H389" s="16" t="str">
        <x:v>N</x:v>
      </x:c>
      <x:c r="I389" s="16" t="str"/>
    </x:row>
    <x:row r="390">
      <x:c r="A390" s="16" t="n">
        <x:v>389</x:v>
      </x:c>
      <x:c r="B390" s="16" t="str">
        <x:v>EXPERIMENT</x:v>
      </x:c>
      <x:c r="C390" s="16" t="str">
        <x:f>Coder_A!C390</x:f>
        <x:v>PILOT_01_E04</x:v>
      </x:c>
      <x:c r="D390" s="16" t="str">
        <x:v>metric_name_original</x:v>
      </x:c>
      <x:c r="E390" s="16" t="str"/>
      <x:c r="F390" s="16" t="str"/>
      <x:c r="G390" s="16" t="str"/>
      <x:c r="H390" s="16" t="str">
        <x:v>N</x:v>
      </x:c>
      <x:c r="I390" s="16" t="str"/>
    </x:row>
    <x:row r="391">
      <x:c r="A391" s="16" t="n">
        <x:v>390</x:v>
      </x:c>
      <x:c r="B391" s="16" t="str">
        <x:v>EXPERIMENT</x:v>
      </x:c>
      <x:c r="C391" s="16" t="str">
        <x:f>Coder_A!C391</x:f>
        <x:v>PILOT_01_E04</x:v>
      </x:c>
      <x:c r="D391" s="16" t="str">
        <x:v>metric_value_original</x:v>
      </x:c>
      <x:c r="E391" s="16" t="str"/>
      <x:c r="F391" s="16" t="str"/>
      <x:c r="G391" s="16" t="str"/>
      <x:c r="H391" s="16" t="str">
        <x:v>N</x:v>
      </x:c>
      <x:c r="I391" s="16" t="str"/>
    </x:row>
    <x:row r="392">
      <x:c r="A392" s="16" t="n">
        <x:v>391</x:v>
      </x:c>
      <x:c r="B392" s="16" t="str">
        <x:v>EXPERIMENT</x:v>
      </x:c>
      <x:c r="C392" s="16" t="str">
        <x:f>Coder_A!C392</x:f>
        <x:v>PILOT_01_E04</x:v>
      </x:c>
      <x:c r="D392" s="16" t="str">
        <x:v>metric_scope</x:v>
      </x:c>
      <x:c r="E392" s="16" t="str"/>
      <x:c r="F392" s="16" t="str"/>
      <x:c r="G392" s="16" t="str"/>
      <x:c r="H392" s="16" t="str">
        <x:v>Y</x:v>
      </x:c>
      <x:c r="I392" s="16" t="str"/>
    </x:row>
    <x:row r="393">
      <x:c r="A393" s="16" t="n">
        <x:v>392</x:v>
      </x:c>
      <x:c r="B393" s="16" t="str">
        <x:v>EXPERIMENT</x:v>
      </x:c>
      <x:c r="C393" s="16" t="str">
        <x:f>Coder_A!C393</x:f>
        <x:v>PILOT_01_E04</x:v>
      </x:c>
      <x:c r="D393" s="16" t="str">
        <x:v>n_seeds</x:v>
      </x:c>
      <x:c r="E393" s="16" t="str"/>
      <x:c r="F393" s="16" t="str"/>
      <x:c r="G393" s="16" t="str"/>
      <x:c r="H393" s="16" t="str">
        <x:v>N</x:v>
      </x:c>
      <x:c r="I393" s="16" t="str"/>
    </x:row>
    <x:row r="394">
      <x:c r="A394" s="16" t="n">
        <x:v>393</x:v>
      </x:c>
      <x:c r="B394" s="16" t="str">
        <x:v>EXPERIMENT</x:v>
      </x:c>
      <x:c r="C394" s="16" t="str">
        <x:f>Coder_A!C394</x:f>
        <x:v>PILOT_01_E04</x:v>
      </x:c>
      <x:c r="D394" s="16" t="str">
        <x:v>seed_values_reported</x:v>
      </x:c>
      <x:c r="E394" s="16" t="str"/>
      <x:c r="F394" s="16" t="str"/>
      <x:c r="G394" s="16" t="str"/>
      <x:c r="H394" s="16" t="str">
        <x:v>N</x:v>
      </x:c>
      <x:c r="I394" s="16" t="str"/>
    </x:row>
    <x:row r="395">
      <x:c r="A395" s="16" t="n">
        <x:v>394</x:v>
      </x:c>
      <x:c r="B395" s="16" t="str">
        <x:v>EXPERIMENT</x:v>
      </x:c>
      <x:c r="C395" s="16" t="str">
        <x:f>Coder_A!C395</x:f>
        <x:v>PILOT_01_E04</x:v>
      </x:c>
      <x:c r="D395" s="16" t="str">
        <x:v>mean_std_reported</x:v>
      </x:c>
      <x:c r="E395" s="16" t="str"/>
      <x:c r="F395" s="16" t="str"/>
      <x:c r="G395" s="16" t="str"/>
      <x:c r="H395" s="16" t="str">
        <x:v>Y</x:v>
      </x:c>
      <x:c r="I395" s="16" t="str"/>
    </x:row>
    <x:row r="396">
      <x:c r="A396" s="16" t="n">
        <x:v>395</x:v>
      </x:c>
      <x:c r="B396" s="16" t="str">
        <x:v>EXPERIMENT</x:v>
      </x:c>
      <x:c r="C396" s="16" t="str">
        <x:f>Coder_A!C396</x:f>
        <x:v>PILOT_01_E04</x:v>
      </x:c>
      <x:c r="D396" s="16" t="str">
        <x:v>confidence_interval</x:v>
      </x:c>
      <x:c r="E396" s="16" t="str"/>
      <x:c r="F396" s="16" t="str"/>
      <x:c r="G396" s="16" t="str"/>
      <x:c r="H396" s="16" t="str">
        <x:v>N</x:v>
      </x:c>
      <x:c r="I396" s="16" t="str"/>
    </x:row>
    <x:row r="397">
      <x:c r="A397" s="16" t="n">
        <x:v>396</x:v>
      </x:c>
      <x:c r="B397" s="16" t="str">
        <x:v>EXPERIMENT</x:v>
      </x:c>
      <x:c r="C397" s="16" t="str">
        <x:f>Coder_A!C397</x:f>
        <x:v>PILOT_01_E04</x:v>
      </x:c>
      <x:c r="D397" s="16" t="str">
        <x:v>bootstrap_unit</x:v>
      </x:c>
      <x:c r="E397" s="16" t="str"/>
      <x:c r="F397" s="16" t="str"/>
      <x:c r="G397" s="16" t="str"/>
      <x:c r="H397" s="16" t="str">
        <x:v>Y</x:v>
      </x:c>
      <x:c r="I397" s="16" t="str"/>
    </x:row>
    <x:row r="398">
      <x:c r="A398" s="16" t="n">
        <x:v>397</x:v>
      </x:c>
      <x:c r="B398" s="16" t="str">
        <x:v>EXPERIMENT</x:v>
      </x:c>
      <x:c r="C398" s="16" t="str">
        <x:f>Coder_A!C398</x:f>
        <x:v>PILOT_01_E04</x:v>
      </x:c>
      <x:c r="D398" s="16" t="str">
        <x:v>statistical_test</x:v>
      </x:c>
      <x:c r="E398" s="16" t="str"/>
      <x:c r="F398" s="16" t="str"/>
      <x:c r="G398" s="16" t="str"/>
      <x:c r="H398" s="16" t="str">
        <x:v>N</x:v>
      </x:c>
      <x:c r="I398" s="16" t="str"/>
    </x:row>
    <x:row r="399">
      <x:c r="A399" s="16" t="n">
        <x:v>398</x:v>
      </x:c>
      <x:c r="B399" s="16" t="str">
        <x:v>EXPERIMENT</x:v>
      </x:c>
      <x:c r="C399" s="16" t="str">
        <x:f>Coder_A!C399</x:f>
        <x:v>PILOT_01_E04</x:v>
      </x:c>
      <x:c r="D399" s="16" t="str">
        <x:v>multiple_comparison_correction</x:v>
      </x:c>
      <x:c r="E399" s="16" t="str"/>
      <x:c r="F399" s="16" t="str"/>
      <x:c r="G399" s="16" t="str"/>
      <x:c r="H399" s="16" t="str">
        <x:v>N</x:v>
      </x:c>
      <x:c r="I399" s="16" t="str"/>
    </x:row>
    <x:row r="400">
      <x:c r="A400" s="16" t="n">
        <x:v>399</x:v>
      </x:c>
      <x:c r="B400" s="16" t="str">
        <x:v>EXPERIMENT</x:v>
      </x:c>
      <x:c r="C400" s="16" t="str">
        <x:f>Coder_A!C400</x:f>
        <x:v>PILOT_01_E04</x:v>
      </x:c>
      <x:c r="D400" s="16" t="str">
        <x:v>effect_size</x:v>
      </x:c>
      <x:c r="E400" s="16" t="str"/>
      <x:c r="F400" s="16" t="str"/>
      <x:c r="G400" s="16" t="str"/>
      <x:c r="H400" s="16" t="str">
        <x:v>N</x:v>
      </x:c>
      <x:c r="I400" s="16" t="str"/>
    </x:row>
    <x:row r="401">
      <x:c r="A401" s="16" t="n">
        <x:v>400</x:v>
      </x:c>
      <x:c r="B401" s="16" t="str">
        <x:v>EXPERIMENT</x:v>
      </x:c>
      <x:c r="C401" s="16" t="str">
        <x:f>Coder_A!C401</x:f>
        <x:v>PILOT_01_E04</x:v>
      </x:c>
      <x:c r="D401" s="16" t="str">
        <x:v>paired_design</x:v>
      </x:c>
      <x:c r="E401" s="16" t="str"/>
      <x:c r="F401" s="16" t="str"/>
      <x:c r="G401" s="16" t="str"/>
      <x:c r="H401" s="16" t="str">
        <x:v>Y</x:v>
      </x:c>
      <x:c r="I401" s="16" t="str"/>
    </x:row>
    <x:row r="402">
      <x:c r="A402" s="16" t="n">
        <x:v>401</x:v>
      </x:c>
      <x:c r="B402" s="16" t="str">
        <x:v>EXPERIMENT</x:v>
      </x:c>
      <x:c r="C402" s="16" t="str">
        <x:f>Coder_A!C402</x:f>
        <x:v>PILOT_01_E04</x:v>
      </x:c>
      <x:c r="D402" s="16" t="str">
        <x:v>significance_threshold</x:v>
      </x:c>
      <x:c r="E402" s="16" t="str"/>
      <x:c r="F402" s="16" t="str"/>
      <x:c r="G402" s="16" t="str"/>
      <x:c r="H402" s="16" t="str">
        <x:v>N</x:v>
      </x:c>
      <x:c r="I402" s="16" t="str"/>
    </x:row>
    <x:row r="403">
      <x:c r="A403" s="16" t="n">
        <x:v>402</x:v>
      </x:c>
      <x:c r="B403" s="16" t="str">
        <x:v>EXPERIMENT</x:v>
      </x:c>
      <x:c r="C403" s="16" t="str">
        <x:f>Coder_A!C403</x:f>
        <x:v>PILOT_01_E04</x:v>
      </x:c>
      <x:c r="D403" s="16" t="str">
        <x:v>parameter_count</x:v>
      </x:c>
      <x:c r="E403" s="16" t="str"/>
      <x:c r="F403" s="16" t="str"/>
      <x:c r="G403" s="16" t="str"/>
      <x:c r="H403" s="16" t="str">
        <x:v>N</x:v>
      </x:c>
      <x:c r="I403" s="16" t="str"/>
    </x:row>
    <x:row r="404">
      <x:c r="A404" s="16" t="n">
        <x:v>403</x:v>
      </x:c>
      <x:c r="B404" s="16" t="str">
        <x:v>EXPERIMENT</x:v>
      </x:c>
      <x:c r="C404" s="16" t="str">
        <x:f>Coder_A!C404</x:f>
        <x:v>PILOT_01_E04</x:v>
      </x:c>
      <x:c r="D404" s="16" t="str">
        <x:v>train_time</x:v>
      </x:c>
      <x:c r="E404" s="16" t="str"/>
      <x:c r="F404" s="16" t="str"/>
      <x:c r="G404" s="16" t="str"/>
      <x:c r="H404" s="16" t="str">
        <x:v>N</x:v>
      </x:c>
      <x:c r="I404" s="16" t="str"/>
    </x:row>
    <x:row r="405">
      <x:c r="A405" s="16" t="n">
        <x:v>404</x:v>
      </x:c>
      <x:c r="B405" s="16" t="str">
        <x:v>EXPERIMENT</x:v>
      </x:c>
      <x:c r="C405" s="16" t="str">
        <x:f>Coder_A!C405</x:f>
        <x:v>PILOT_01_E04</x:v>
      </x:c>
      <x:c r="D405" s="16" t="str">
        <x:v>time_per_epoch</x:v>
      </x:c>
      <x:c r="E405" s="16" t="str"/>
      <x:c r="F405" s="16" t="str"/>
      <x:c r="G405" s="16" t="str"/>
      <x:c r="H405" s="16" t="str">
        <x:v>N</x:v>
      </x:c>
      <x:c r="I405" s="16" t="str"/>
    </x:row>
    <x:row r="406">
      <x:c r="A406" s="16" t="n">
        <x:v>405</x:v>
      </x:c>
      <x:c r="B406" s="16" t="str">
        <x:v>EXPERIMENT</x:v>
      </x:c>
      <x:c r="C406" s="16" t="str">
        <x:f>Coder_A!C406</x:f>
        <x:v>PILOT_01_E04</x:v>
      </x:c>
      <x:c r="D406" s="16" t="str">
        <x:v>inference_latency</x:v>
      </x:c>
      <x:c r="E406" s="16" t="str"/>
      <x:c r="F406" s="16" t="str"/>
      <x:c r="G406" s="16" t="str"/>
      <x:c r="H406" s="16" t="str">
        <x:v>N</x:v>
      </x:c>
      <x:c r="I406" s="16" t="str"/>
    </x:row>
    <x:row r="407">
      <x:c r="A407" s="16" t="n">
        <x:v>406</x:v>
      </x:c>
      <x:c r="B407" s="16" t="str">
        <x:v>EXPERIMENT</x:v>
      </x:c>
      <x:c r="C407" s="16" t="str">
        <x:f>Coder_A!C407</x:f>
        <x:v>PILOT_01_E04</x:v>
      </x:c>
      <x:c r="D407" s="16" t="str">
        <x:v>throughput</x:v>
      </x:c>
      <x:c r="E407" s="16" t="str"/>
      <x:c r="F407" s="16" t="str"/>
      <x:c r="G407" s="16" t="str"/>
      <x:c r="H407" s="16" t="str">
        <x:v>N</x:v>
      </x:c>
      <x:c r="I407" s="16" t="str"/>
    </x:row>
    <x:row r="408">
      <x:c r="A408" s="16" t="n">
        <x:v>407</x:v>
      </x:c>
      <x:c r="B408" s="16" t="str">
        <x:v>EXPERIMENT</x:v>
      </x:c>
      <x:c r="C408" s="16" t="str">
        <x:f>Coder_A!C408</x:f>
        <x:v>PILOT_01_E04</x:v>
      </x:c>
      <x:c r="D408" s="16" t="str">
        <x:v>cpu_ram</x:v>
      </x:c>
      <x:c r="E408" s="16" t="str"/>
      <x:c r="F408" s="16" t="str"/>
      <x:c r="G408" s="16" t="str"/>
      <x:c r="H408" s="16" t="str">
        <x:v>N</x:v>
      </x:c>
      <x:c r="I408" s="16" t="str"/>
    </x:row>
    <x:row r="409">
      <x:c r="A409" s="16" t="n">
        <x:v>408</x:v>
      </x:c>
      <x:c r="B409" s="16" t="str">
        <x:v>EXPERIMENT</x:v>
      </x:c>
      <x:c r="C409" s="16" t="str">
        <x:f>Coder_A!C409</x:f>
        <x:v>PILOT_01_E04</x:v>
      </x:c>
      <x:c r="D409" s="16" t="str">
        <x:v>gpu_vram</x:v>
      </x:c>
      <x:c r="E409" s="16" t="str"/>
      <x:c r="F409" s="16" t="str"/>
      <x:c r="G409" s="16" t="str"/>
      <x:c r="H409" s="16" t="str">
        <x:v>N</x:v>
      </x:c>
      <x:c r="I409" s="16" t="str"/>
    </x:row>
    <x:row r="410">
      <x:c r="A410" s="16" t="n">
        <x:v>409</x:v>
      </x:c>
      <x:c r="B410" s="16" t="str">
        <x:v>EXPERIMENT</x:v>
      </x:c>
      <x:c r="C410" s="16" t="str">
        <x:f>Coder_A!C410</x:f>
        <x:v>PILOT_01_E04</x:v>
      </x:c>
      <x:c r="D410" s="16" t="str">
        <x:v>hardware</x:v>
      </x:c>
      <x:c r="E410" s="16" t="str"/>
      <x:c r="F410" s="16" t="str"/>
      <x:c r="G410" s="16" t="str"/>
      <x:c r="H410" s="16" t="str">
        <x:v>N</x:v>
      </x:c>
      <x:c r="I410" s="16" t="str"/>
    </x:row>
    <x:row r="411">
      <x:c r="A411" s="16" t="n">
        <x:v>410</x:v>
      </x:c>
      <x:c r="B411" s="16" t="str">
        <x:v>EXPERIMENT</x:v>
      </x:c>
      <x:c r="C411" s="16" t="str">
        <x:f>Coder_A!C411</x:f>
        <x:v>PILOT_01_E04</x:v>
      </x:c>
      <x:c r="D411" s="16" t="str">
        <x:v>graph_construction_time</x:v>
      </x:c>
      <x:c r="E411" s="16" t="str"/>
      <x:c r="F411" s="16" t="str"/>
      <x:c r="G411" s="16" t="str"/>
      <x:c r="H411" s="16" t="str">
        <x:v>N</x:v>
      </x:c>
      <x:c r="I411" s="16" t="str"/>
    </x:row>
    <x:row r="412">
      <x:c r="A412" s="16" t="n">
        <x:v>411</x:v>
      </x:c>
      <x:c r="B412" s="16" t="str">
        <x:v>EXPERIMENT</x:v>
      </x:c>
      <x:c r="C412" s="16" t="str">
        <x:f>Coder_A!C412</x:f>
        <x:v>PILOT_01_E04</x:v>
      </x:c>
      <x:c r="D412" s="16" t="str">
        <x:v>complexity_formula</x:v>
      </x:c>
      <x:c r="E412" s="16" t="str"/>
      <x:c r="F412" s="16" t="str"/>
      <x:c r="G412" s="16" t="str"/>
      <x:c r="H412" s="16" t="str">
        <x:v>N</x:v>
      </x:c>
      <x:c r="I412" s="16" t="str"/>
    </x:row>
    <x:row r="413">
      <x:c r="A413" s="16" t="n">
        <x:v>412</x:v>
      </x:c>
      <x:c r="B413" s="16" t="str">
        <x:v>EXPERIMENT</x:v>
      </x:c>
      <x:c r="C413" s="16" t="str">
        <x:f>Coder_A!C413</x:f>
        <x:v>PILOT_01_E04</x:v>
      </x:c>
      <x:c r="D413" s="16" t="str">
        <x:v>scale_up_experiment</x:v>
      </x:c>
      <x:c r="E413" s="16" t="str"/>
      <x:c r="F413" s="16" t="str"/>
      <x:c r="G413" s="16" t="str"/>
      <x:c r="H413" s="16" t="str">
        <x:v>Y</x:v>
      </x:c>
      <x:c r="I413" s="16" t="str"/>
    </x:row>
    <x:row r="414">
      <x:c r="A414" s="16" t="n">
        <x:v>413</x:v>
      </x:c>
      <x:c r="B414" s="16" t="str">
        <x:v>EXPERIMENT</x:v>
      </x:c>
      <x:c r="C414" s="16" t="str">
        <x:f>Coder_A!C414</x:f>
        <x:v>PILOT_01_E04</x:v>
      </x:c>
      <x:c r="D414" s="16" t="str">
        <x:v>oom_timeout_reported</x:v>
      </x:c>
      <x:c r="E414" s="16" t="str"/>
      <x:c r="F414" s="16" t="str"/>
      <x:c r="G414" s="16" t="str"/>
      <x:c r="H414" s="16" t="str">
        <x:v>Y</x:v>
      </x:c>
      <x:c r="I414" s="16" t="str"/>
    </x:row>
    <x:row r="415">
      <x:c r="A415" s="16" t="n">
        <x:v>414</x:v>
      </x:c>
      <x:c r="B415" s="16" t="str">
        <x:v>EXPERIMENT</x:v>
      </x:c>
      <x:c r="C415" s="16" t="str">
        <x:f>Coder_A!C415</x:f>
        <x:v>PILOT_01_E05</x:v>
      </x:c>
      <x:c r="D415" s="16" t="str">
        <x:v>dataset_name</x:v>
      </x:c>
      <x:c r="E415" s="16" t="str"/>
      <x:c r="F415" s="16" t="str"/>
      <x:c r="G415" s="16" t="str"/>
      <x:c r="H415" s="16" t="str">
        <x:v>N</x:v>
      </x:c>
      <x:c r="I415" s="16" t="str"/>
    </x:row>
    <x:row r="416">
      <x:c r="A416" s="16" t="n">
        <x:v>415</x:v>
      </x:c>
      <x:c r="B416" s="16" t="str">
        <x:v>EXPERIMENT</x:v>
      </x:c>
      <x:c r="C416" s="16" t="str">
        <x:f>Coder_A!C416</x:f>
        <x:v>PILOT_01_E05</x:v>
      </x:c>
      <x:c r="D416" s="16" t="str">
        <x:v>dataset_version</x:v>
      </x:c>
      <x:c r="E416" s="16" t="str"/>
      <x:c r="F416" s="16" t="str"/>
      <x:c r="G416" s="16" t="str"/>
      <x:c r="H416" s="16" t="str">
        <x:v>N</x:v>
      </x:c>
      <x:c r="I416" s="16" t="str"/>
    </x:row>
    <x:row r="417">
      <x:c r="A417" s="16" t="n">
        <x:v>416</x:v>
      </x:c>
      <x:c r="B417" s="16" t="str">
        <x:v>EXPERIMENT</x:v>
      </x:c>
      <x:c r="C417" s="16" t="str">
        <x:f>Coder_A!C417</x:f>
        <x:v>PILOT_01_E05</x:v>
      </x:c>
      <x:c r="D417" s="16" t="str">
        <x:v>n_learners_reported</x:v>
      </x:c>
      <x:c r="E417" s="16" t="str"/>
      <x:c r="F417" s="16" t="str"/>
      <x:c r="G417" s="16" t="str"/>
      <x:c r="H417" s="16" t="str">
        <x:v>N</x:v>
      </x:c>
      <x:c r="I417" s="16" t="str"/>
    </x:row>
    <x:row r="418">
      <x:c r="A418" s="16" t="n">
        <x:v>417</x:v>
      </x:c>
      <x:c r="B418" s="16" t="str">
        <x:v>EXPERIMENT</x:v>
      </x:c>
      <x:c r="C418" s="16" t="str">
        <x:f>Coder_A!C418</x:f>
        <x:v>PILOT_01_E05</x:v>
      </x:c>
      <x:c r="D418" s="16" t="str">
        <x:v>n_items_reported</x:v>
      </x:c>
      <x:c r="E418" s="16" t="str"/>
      <x:c r="F418" s="16" t="str"/>
      <x:c r="G418" s="16" t="str"/>
      <x:c r="H418" s="16" t="str">
        <x:v>N</x:v>
      </x:c>
      <x:c r="I418" s="16" t="str"/>
    </x:row>
    <x:row r="419">
      <x:c r="A419" s="16" t="n">
        <x:v>418</x:v>
      </x:c>
      <x:c r="B419" s="16" t="str">
        <x:v>EXPERIMENT</x:v>
      </x:c>
      <x:c r="C419" s="16" t="str">
        <x:f>Coder_A!C419</x:f>
        <x:v>PILOT_01_E05</x:v>
      </x:c>
      <x:c r="D419" s="16" t="str">
        <x:v>n_kcs_reported</x:v>
      </x:c>
      <x:c r="E419" s="16" t="str"/>
      <x:c r="F419" s="16" t="str"/>
      <x:c r="G419" s="16" t="str"/>
      <x:c r="H419" s="16" t="str">
        <x:v>N</x:v>
      </x:c>
      <x:c r="I419" s="16" t="str"/>
    </x:row>
    <x:row r="420">
      <x:c r="A420" s="16" t="n">
        <x:v>419</x:v>
      </x:c>
      <x:c r="B420" s="16" t="str">
        <x:v>EXPERIMENT</x:v>
      </x:c>
      <x:c r="C420" s="16" t="str">
        <x:f>Coder_A!C420</x:f>
        <x:v>PILOT_01_E05</x:v>
      </x:c>
      <x:c r="D420" s="16" t="str">
        <x:v>n_interactions_reported</x:v>
      </x:c>
      <x:c r="E420" s="16" t="str"/>
      <x:c r="F420" s="16" t="str"/>
      <x:c r="G420" s="16" t="str"/>
      <x:c r="H420" s="16" t="str">
        <x:v>N</x:v>
      </x:c>
      <x:c r="I420" s="16" t="str"/>
    </x:row>
    <x:row r="421">
      <x:c r="A421" s="16" t="n">
        <x:v>420</x:v>
      </x:c>
      <x:c r="B421" s="16" t="str">
        <x:v>EXPERIMENT</x:v>
      </x:c>
      <x:c r="C421" s="16" t="str">
        <x:f>Coder_A!C421</x:f>
        <x:v>PILOT_01_E05</x:v>
      </x:c>
      <x:c r="D421" s="16" t="str">
        <x:v>multi_skill_present</x:v>
      </x:c>
      <x:c r="E421" s="16" t="str"/>
      <x:c r="F421" s="16" t="str"/>
      <x:c r="G421" s="16" t="str"/>
      <x:c r="H421" s="16" t="str">
        <x:v>Y</x:v>
      </x:c>
      <x:c r="I421" s="16" t="str"/>
    </x:row>
    <x:row r="422">
      <x:c r="A422" s="16" t="n">
        <x:v>421</x:v>
      </x:c>
      <x:c r="B422" s="16" t="str">
        <x:v>EXPERIMENT</x:v>
      </x:c>
      <x:c r="C422" s="16" t="str">
        <x:f>Coder_A!C422</x:f>
        <x:v>PILOT_01_E05</x:v>
      </x:c>
      <x:c r="D422" s="16" t="str">
        <x:v>multi_skill_handling</x:v>
      </x:c>
      <x:c r="E422" s="16" t="str"/>
      <x:c r="F422" s="16" t="str"/>
      <x:c r="G422" s="16" t="str"/>
      <x:c r="H422" s="16" t="str">
        <x:v>N</x:v>
      </x:c>
      <x:c r="I422" s="16" t="str"/>
    </x:row>
    <x:row r="423">
      <x:c r="A423" s="16" t="n">
        <x:v>422</x:v>
      </x:c>
      <x:c r="B423" s="16" t="str">
        <x:v>EXPERIMENT</x:v>
      </x:c>
      <x:c r="C423" s="16" t="str">
        <x:f>Coder_A!C423</x:f>
        <x:v>PILOT_01_E05</x:v>
      </x:c>
      <x:c r="D423" s="16" t="str">
        <x:v>sequence_truncation</x:v>
      </x:c>
      <x:c r="E423" s="16" t="str"/>
      <x:c r="F423" s="16" t="str"/>
      <x:c r="G423" s="16" t="str"/>
      <x:c r="H423" s="16" t="str">
        <x:v>N</x:v>
      </x:c>
      <x:c r="I423" s="16" t="str"/>
    </x:row>
    <x:row r="424">
      <x:c r="A424" s="16" t="n">
        <x:v>423</x:v>
      </x:c>
      <x:c r="B424" s="16" t="str">
        <x:v>EXPERIMENT</x:v>
      </x:c>
      <x:c r="C424" s="16" t="str">
        <x:f>Coder_A!C424</x:f>
        <x:v>PILOT_01_E05</x:v>
      </x:c>
      <x:c r="D424" s="16" t="str">
        <x:v>min_sequence_filter</x:v>
      </x:c>
      <x:c r="E424" s="16" t="str"/>
      <x:c r="F424" s="16" t="str"/>
      <x:c r="G424" s="16" t="str"/>
      <x:c r="H424" s="16" t="str">
        <x:v>N</x:v>
      </x:c>
      <x:c r="I424" s="16" t="str"/>
    </x:row>
    <x:row r="425">
      <x:c r="A425" s="16" t="n">
        <x:v>424</x:v>
      </x:c>
      <x:c r="B425" s="16" t="str">
        <x:v>EXPERIMENT</x:v>
      </x:c>
      <x:c r="C425" s="16" t="str">
        <x:f>Coder_A!C425</x:f>
        <x:v>PILOT_01_E05</x:v>
      </x:c>
      <x:c r="D425" s="16" t="str">
        <x:v>timestamp_used</x:v>
      </x:c>
      <x:c r="E425" s="16" t="str"/>
      <x:c r="F425" s="16" t="str"/>
      <x:c r="G425" s="16" t="str"/>
      <x:c r="H425" s="16" t="str">
        <x:v>Y</x:v>
      </x:c>
      <x:c r="I425" s="16" t="str"/>
    </x:row>
    <x:row r="426">
      <x:c r="A426" s="16" t="n">
        <x:v>425</x:v>
      </x:c>
      <x:c r="B426" s="16" t="str">
        <x:v>EXPERIMENT</x:v>
      </x:c>
      <x:c r="C426" s="16" t="str">
        <x:f>Coder_A!C426</x:f>
        <x:v>PILOT_01_E05</x:v>
      </x:c>
      <x:c r="D426" s="16" t="str">
        <x:v>preprocessing_code_available</x:v>
      </x:c>
      <x:c r="E426" s="16" t="str"/>
      <x:c r="F426" s="16" t="str"/>
      <x:c r="G426" s="16" t="str"/>
      <x:c r="H426" s="16" t="str">
        <x:v>Y</x:v>
      </x:c>
      <x:c r="I426" s="16" t="str"/>
    </x:row>
    <x:row r="427">
      <x:c r="A427" s="16" t="n">
        <x:v>426</x:v>
      </x:c>
      <x:c r="B427" s="16" t="str">
        <x:v>EXPERIMENT</x:v>
      </x:c>
      <x:c r="C427" s="16" t="str">
        <x:f>Coder_A!C427</x:f>
        <x:v>PILOT_01_E05</x:v>
      </x:c>
      <x:c r="D427" s="16" t="str">
        <x:v>split_type</x:v>
      </x:c>
      <x:c r="E427" s="16" t="str"/>
      <x:c r="F427" s="16" t="str"/>
      <x:c r="G427" s="16" t="str"/>
      <x:c r="H427" s="16" t="str">
        <x:v>Y</x:v>
      </x:c>
      <x:c r="I427" s="16" t="str"/>
    </x:row>
    <x:row r="428">
      <x:c r="A428" s="16" t="n">
        <x:v>427</x:v>
      </x:c>
      <x:c r="B428" s="16" t="str">
        <x:v>EXPERIMENT</x:v>
      </x:c>
      <x:c r="C428" s="16" t="str">
        <x:f>Coder_A!C428</x:f>
        <x:v>PILOT_01_E05</x:v>
      </x:c>
      <x:c r="D428" s="16" t="str">
        <x:v>split_unit_original</x:v>
      </x:c>
      <x:c r="E428" s="16" t="str"/>
      <x:c r="F428" s="16" t="str"/>
      <x:c r="G428" s="16" t="str"/>
      <x:c r="H428" s="16" t="str">
        <x:v>N</x:v>
      </x:c>
      <x:c r="I428" s="16" t="str"/>
    </x:row>
    <x:row r="429">
      <x:c r="A429" s="16" t="n">
        <x:v>428</x:v>
      </x:c>
      <x:c r="B429" s="16" t="str">
        <x:v>EXPERIMENT</x:v>
      </x:c>
      <x:c r="C429" s="16" t="str">
        <x:f>Coder_A!C429</x:f>
        <x:v>PILOT_01_E05</x:v>
      </x:c>
      <x:c r="D429" s="16" t="str">
        <x:v>train_fraction</x:v>
      </x:c>
      <x:c r="E429" s="16" t="str"/>
      <x:c r="F429" s="16" t="str"/>
      <x:c r="G429" s="16" t="str"/>
      <x:c r="H429" s="16" t="str">
        <x:v>N</x:v>
      </x:c>
      <x:c r="I429" s="16" t="str"/>
    </x:row>
    <x:row r="430">
      <x:c r="A430" s="16" t="n">
        <x:v>429</x:v>
      </x:c>
      <x:c r="B430" s="16" t="str">
        <x:v>EXPERIMENT</x:v>
      </x:c>
      <x:c r="C430" s="16" t="str">
        <x:f>Coder_A!C430</x:f>
        <x:v>PILOT_01_E05</x:v>
      </x:c>
      <x:c r="D430" s="16" t="str">
        <x:v>validation_fraction</x:v>
      </x:c>
      <x:c r="E430" s="16" t="str"/>
      <x:c r="F430" s="16" t="str"/>
      <x:c r="G430" s="16" t="str"/>
      <x:c r="H430" s="16" t="str">
        <x:v>N</x:v>
      </x:c>
      <x:c r="I430" s="16" t="str"/>
    </x:row>
    <x:row r="431">
      <x:c r="A431" s="16" t="n">
        <x:v>430</x:v>
      </x:c>
      <x:c r="B431" s="16" t="str">
        <x:v>EXPERIMENT</x:v>
      </x:c>
      <x:c r="C431" s="16" t="str">
        <x:f>Coder_A!C431</x:f>
        <x:v>PILOT_01_E05</x:v>
      </x:c>
      <x:c r="D431" s="16" t="str">
        <x:v>test_fraction</x:v>
      </x:c>
      <x:c r="E431" s="16" t="str"/>
      <x:c r="F431" s="16" t="str"/>
      <x:c r="G431" s="16" t="str"/>
      <x:c r="H431" s="16" t="str">
        <x:v>N</x:v>
      </x:c>
      <x:c r="I431" s="16" t="str"/>
    </x:row>
    <x:row r="432">
      <x:c r="A432" s="16" t="n">
        <x:v>431</x:v>
      </x:c>
      <x:c r="B432" s="16" t="str">
        <x:v>EXPERIMENT</x:v>
      </x:c>
      <x:c r="C432" s="16" t="str">
        <x:f>Coder_A!C432</x:f>
        <x:v>PILOT_01_E05</x:v>
      </x:c>
      <x:c r="D432" s="16" t="str">
        <x:v>validation_set_separate</x:v>
      </x:c>
      <x:c r="E432" s="16" t="str"/>
      <x:c r="F432" s="16" t="str"/>
      <x:c r="G432" s="16" t="str"/>
      <x:c r="H432" s="16" t="str">
        <x:v>Y</x:v>
      </x:c>
      <x:c r="I432" s="16" t="str"/>
    </x:row>
    <x:row r="433">
      <x:c r="A433" s="16" t="n">
        <x:v>432</x:v>
      </x:c>
      <x:c r="B433" s="16" t="str">
        <x:v>EXPERIMENT</x:v>
      </x:c>
      <x:c r="C433" s="16" t="str">
        <x:f>Coder_A!C433</x:f>
        <x:v>PILOT_01_E05</x:v>
      </x:c>
      <x:c r="D433" s="16" t="str">
        <x:v>early_stopping_validation_only</x:v>
      </x:c>
      <x:c r="E433" s="16" t="str"/>
      <x:c r="F433" s="16" t="str"/>
      <x:c r="G433" s="16" t="str"/>
      <x:c r="H433" s="16" t="str">
        <x:v>Y</x:v>
      </x:c>
      <x:c r="I433" s="16" t="str"/>
    </x:row>
    <x:row r="434">
      <x:c r="A434" s="16" t="n">
        <x:v>433</x:v>
      </x:c>
      <x:c r="B434" s="16" t="str">
        <x:v>EXPERIMENT</x:v>
      </x:c>
      <x:c r="C434" s="16" t="str">
        <x:f>Coder_A!C434</x:f>
        <x:v>PILOT_01_E05</x:v>
      </x:c>
      <x:c r="D434" s="16" t="str">
        <x:v>graph_train_only</x:v>
      </x:c>
      <x:c r="E434" s="16" t="str"/>
      <x:c r="F434" s="16" t="str"/>
      <x:c r="G434" s="16" t="str"/>
      <x:c r="H434" s="16" t="str">
        <x:v>Y</x:v>
      </x:c>
      <x:c r="I434" s="16" t="str"/>
    </x:row>
    <x:row r="435">
      <x:c r="A435" s="16" t="n">
        <x:v>434</x:v>
      </x:c>
      <x:c r="B435" s="16" t="str">
        <x:v>EXPERIMENT</x:v>
      </x:c>
      <x:c r="C435" s="16" t="str">
        <x:f>Coder_A!C435</x:f>
        <x:v>PILOT_01_E05</x:v>
      </x:c>
      <x:c r="D435" s="16" t="str">
        <x:v>normalization_train_only</x:v>
      </x:c>
      <x:c r="E435" s="16" t="str"/>
      <x:c r="F435" s="16" t="str"/>
      <x:c r="G435" s="16" t="str"/>
      <x:c r="H435" s="16" t="str">
        <x:v>Y</x:v>
      </x:c>
      <x:c r="I435" s="16" t="str"/>
    </x:row>
    <x:row r="436">
      <x:c r="A436" s="16" t="n">
        <x:v>435</x:v>
      </x:c>
      <x:c r="B436" s="16" t="str">
        <x:v>EXPERIMENT</x:v>
      </x:c>
      <x:c r="C436" s="16" t="str">
        <x:f>Coder_A!C436</x:f>
        <x:v>PILOT_01_E05</x:v>
      </x:c>
      <x:c r="D436" s="16" t="str">
        <x:v>sparse_strata_train_only</x:v>
      </x:c>
      <x:c r="E436" s="16" t="str"/>
      <x:c r="F436" s="16" t="str"/>
      <x:c r="G436" s="16" t="str"/>
      <x:c r="H436" s="16" t="str">
        <x:v>Y</x:v>
      </x:c>
      <x:c r="I436" s="16" t="str"/>
    </x:row>
    <x:row r="437">
      <x:c r="A437" s="16" t="n">
        <x:v>436</x:v>
      </x:c>
      <x:c r="B437" s="16" t="str">
        <x:v>EXPERIMENT</x:v>
      </x:c>
      <x:c r="C437" s="16" t="str">
        <x:f>Coder_A!C437</x:f>
        <x:v>PILOT_01_E05</x:v>
      </x:c>
      <x:c r="D437" s="16" t="str">
        <x:v>temporal_alignment_audited</x:v>
      </x:c>
      <x:c r="E437" s="16" t="str"/>
      <x:c r="F437" s="16" t="str"/>
      <x:c r="G437" s="16" t="str"/>
      <x:c r="H437" s="16" t="str">
        <x:v>Y</x:v>
      </x:c>
      <x:c r="I437" s="16" t="str"/>
    </x:row>
    <x:row r="438">
      <x:c r="A438" s="16" t="n">
        <x:v>437</x:v>
      </x:c>
      <x:c r="B438" s="16" t="str">
        <x:v>EXPERIMENT</x:v>
      </x:c>
      <x:c r="C438" s="16" t="str">
        <x:f>Coder_A!C438</x:f>
        <x:v>PILOT_01_E05</x:v>
      </x:c>
      <x:c r="D438" s="16" t="str">
        <x:v>duplicate_entity_leakage_checked</x:v>
      </x:c>
      <x:c r="E438" s="16" t="str"/>
      <x:c r="F438" s="16" t="str"/>
      <x:c r="G438" s="16" t="str"/>
      <x:c r="H438" s="16" t="str">
        <x:v>Y</x:v>
      </x:c>
      <x:c r="I438" s="16" t="str"/>
    </x:row>
    <x:row r="439">
      <x:c r="A439" s="16" t="n">
        <x:v>438</x:v>
      </x:c>
      <x:c r="B439" s="16" t="str">
        <x:v>EXPERIMENT</x:v>
      </x:c>
      <x:c r="C439" s="16" t="str">
        <x:f>Coder_A!C439</x:f>
        <x:v>PILOT_01_E05</x:v>
      </x:c>
      <x:c r="D439" s="16" t="str">
        <x:v>sparsity_construct</x:v>
      </x:c>
      <x:c r="E439" s="16" t="str"/>
      <x:c r="F439" s="16" t="str"/>
      <x:c r="G439" s="16" t="str"/>
      <x:c r="H439" s="16" t="str">
        <x:v>Y</x:v>
      </x:c>
      <x:c r="I439" s="16" t="str"/>
    </x:row>
    <x:row r="440">
      <x:c r="A440" s="16" t="n">
        <x:v>439</x:v>
      </x:c>
      <x:c r="B440" s="16" t="str">
        <x:v>EXPERIMENT</x:v>
      </x:c>
      <x:c r="C440" s="16" t="str">
        <x:f>Coder_A!C440</x:f>
        <x:v>PILOT_01_E05</x:v>
      </x:c>
      <x:c r="D440" s="16" t="str">
        <x:v>sparse_definition_original</x:v>
      </x:c>
      <x:c r="E440" s="16" t="str"/>
      <x:c r="F440" s="16" t="str"/>
      <x:c r="G440" s="16" t="str"/>
      <x:c r="H440" s="16" t="str">
        <x:v>N</x:v>
      </x:c>
      <x:c r="I440" s="16" t="str"/>
    </x:row>
    <x:row r="441">
      <x:c r="A441" s="16" t="n">
        <x:v>440</x:v>
      </x:c>
      <x:c r="B441" s="16" t="str">
        <x:v>EXPERIMENT</x:v>
      </x:c>
      <x:c r="C441" s="16" t="str">
        <x:f>Coder_A!C441</x:f>
        <x:v>PILOT_01_E05</x:v>
      </x:c>
      <x:c r="D441" s="16" t="str">
        <x:v>sparse_threshold_original</x:v>
      </x:c>
      <x:c r="E441" s="16" t="str"/>
      <x:c r="F441" s="16" t="str"/>
      <x:c r="G441" s="16" t="str"/>
      <x:c r="H441" s="16" t="str">
        <x:v>N</x:v>
      </x:c>
      <x:c r="I441" s="16" t="str"/>
    </x:row>
    <x:row r="442">
      <x:c r="A442" s="16" t="n">
        <x:v>441</x:v>
      </x:c>
      <x:c r="B442" s="16" t="str">
        <x:v>EXPERIMENT</x:v>
      </x:c>
      <x:c r="C442" s="16" t="str">
        <x:f>Coder_A!C442</x:f>
        <x:v>PILOT_01_E05</x:v>
      </x:c>
      <x:c r="D442" s="16" t="str">
        <x:v>threshold_source</x:v>
      </x:c>
      <x:c r="E442" s="16" t="str"/>
      <x:c r="F442" s="16" t="str"/>
      <x:c r="G442" s="16" t="str"/>
      <x:c r="H442" s="16" t="str">
        <x:v>Y</x:v>
      </x:c>
      <x:c r="I442" s="16" t="str"/>
    </x:row>
    <x:row r="443">
      <x:c r="A443" s="16" t="n">
        <x:v>442</x:v>
      </x:c>
      <x:c r="B443" s="16" t="str">
        <x:v>EXPERIMENT</x:v>
      </x:c>
      <x:c r="C443" s="16" t="str">
        <x:f>Coder_A!C443</x:f>
        <x:v>PILOT_01_E05</x:v>
      </x:c>
      <x:c r="D443" s="16" t="str">
        <x:v>frequency_computed_on</x:v>
      </x:c>
      <x:c r="E443" s="16" t="str"/>
      <x:c r="F443" s="16" t="str"/>
      <x:c r="G443" s="16" t="str"/>
      <x:c r="H443" s="16" t="str">
        <x:v>Y</x:v>
      </x:c>
      <x:c r="I443" s="16" t="str"/>
    </x:row>
    <x:row r="444">
      <x:c r="A444" s="16" t="n">
        <x:v>443</x:v>
      </x:c>
      <x:c r="B444" s="16" t="str">
        <x:v>EXPERIMENT</x:v>
      </x:c>
      <x:c r="C444" s="16" t="str">
        <x:f>Coder_A!C444</x:f>
        <x:v>PILOT_01_E05</x:v>
      </x:c>
      <x:c r="D444" s="16" t="str">
        <x:v>strict_zero_train_verified</x:v>
      </x:c>
      <x:c r="E444" s="16" t="str"/>
      <x:c r="F444" s="16" t="str"/>
      <x:c r="G444" s="16" t="str"/>
      <x:c r="H444" s="16" t="str">
        <x:v>Y</x:v>
      </x:c>
      <x:c r="I444" s="16" t="str"/>
    </x:row>
    <x:row r="445">
      <x:c r="A445" s="16" t="n">
        <x:v>444</x:v>
      </x:c>
      <x:c r="B445" s="16" t="str">
        <x:v>EXPERIMENT</x:v>
      </x:c>
      <x:c r="C445" s="16" t="str">
        <x:f>Coder_A!C445</x:f>
        <x:v>PILOT_01_E05</x:v>
      </x:c>
      <x:c r="D445" s="16" t="str">
        <x:v>external_info_for_unseen_kc</x:v>
      </x:c>
      <x:c r="E445" s="16" t="str"/>
      <x:c r="F445" s="16" t="str"/>
      <x:c r="G445" s="16" t="str"/>
      <x:c r="H445" s="16" t="str">
        <x:v>Y</x:v>
      </x:c>
      <x:c r="I445" s="16" t="str"/>
    </x:row>
    <x:row r="446">
      <x:c r="A446" s="16" t="n">
        <x:v>445</x:v>
      </x:c>
      <x:c r="B446" s="16" t="str">
        <x:v>EXPERIMENT</x:v>
      </x:c>
      <x:c r="C446" s="16" t="str">
        <x:f>Coder_A!C446</x:f>
        <x:v>PILOT_01_E05</x:v>
      </x:c>
      <x:c r="D446" s="16" t="str">
        <x:v>support_kcs</x:v>
      </x:c>
      <x:c r="E446" s="16" t="str"/>
      <x:c r="F446" s="16" t="str"/>
      <x:c r="G446" s="16" t="str"/>
      <x:c r="H446" s="16" t="str">
        <x:v>N</x:v>
      </x:c>
      <x:c r="I446" s="16" t="str"/>
    </x:row>
    <x:row r="447">
      <x:c r="A447" s="16" t="n">
        <x:v>446</x:v>
      </x:c>
      <x:c r="B447" s="16" t="str">
        <x:v>EXPERIMENT</x:v>
      </x:c>
      <x:c r="C447" s="16" t="str">
        <x:f>Coder_A!C447</x:f>
        <x:v>PILOT_01_E05</x:v>
      </x:c>
      <x:c r="D447" s="16" t="str">
        <x:v>support_learners</x:v>
      </x:c>
      <x:c r="E447" s="16" t="str"/>
      <x:c r="F447" s="16" t="str"/>
      <x:c r="G447" s="16" t="str"/>
      <x:c r="H447" s="16" t="str">
        <x:v>N</x:v>
      </x:c>
      <x:c r="I447" s="16" t="str"/>
    </x:row>
    <x:row r="448">
      <x:c r="A448" s="16" t="n">
        <x:v>447</x:v>
      </x:c>
      <x:c r="B448" s="16" t="str">
        <x:v>EXPERIMENT</x:v>
      </x:c>
      <x:c r="C448" s="16" t="str">
        <x:f>Coder_A!C448</x:f>
        <x:v>PILOT_01_E05</x:v>
      </x:c>
      <x:c r="D448" s="16" t="str">
        <x:v>support_items</x:v>
      </x:c>
      <x:c r="E448" s="16" t="str"/>
      <x:c r="F448" s="16" t="str"/>
      <x:c r="G448" s="16" t="str"/>
      <x:c r="H448" s="16" t="str">
        <x:v>N</x:v>
      </x:c>
      <x:c r="I448" s="16" t="str"/>
    </x:row>
    <x:row r="449">
      <x:c r="A449" s="16" t="n">
        <x:v>448</x:v>
      </x:c>
      <x:c r="B449" s="16" t="str">
        <x:v>EXPERIMENT</x:v>
      </x:c>
      <x:c r="C449" s="16" t="str">
        <x:f>Coder_A!C449</x:f>
        <x:v>PILOT_01_E05</x:v>
      </x:c>
      <x:c r="D449" s="16" t="str">
        <x:v>support_test_interactions</x:v>
      </x:c>
      <x:c r="E449" s="16" t="str"/>
      <x:c r="F449" s="16" t="str"/>
      <x:c r="G449" s="16" t="str"/>
      <x:c r="H449" s="16" t="str">
        <x:v>N</x:v>
      </x:c>
      <x:c r="I449" s="16" t="str"/>
    </x:row>
    <x:row r="450">
      <x:c r="A450" s="16" t="n">
        <x:v>449</x:v>
      </x:c>
      <x:c r="B450" s="16" t="str">
        <x:v>EXPERIMENT</x:v>
      </x:c>
      <x:c r="C450" s="16" t="str">
        <x:f>Coder_A!C450</x:f>
        <x:v>PILOT_01_E05</x:v>
      </x:c>
      <x:c r="D450" s="16" t="str">
        <x:v>positive_count</x:v>
      </x:c>
      <x:c r="E450" s="16" t="str"/>
      <x:c r="F450" s="16" t="str"/>
      <x:c r="G450" s="16" t="str"/>
      <x:c r="H450" s="16" t="str">
        <x:v>N</x:v>
      </x:c>
      <x:c r="I450" s="16" t="str"/>
    </x:row>
    <x:row r="451">
      <x:c r="A451" s="16" t="n">
        <x:v>450</x:v>
      </x:c>
      <x:c r="B451" s="16" t="str">
        <x:v>EXPERIMENT</x:v>
      </x:c>
      <x:c r="C451" s="16" t="str">
        <x:f>Coder_A!C451</x:f>
        <x:v>PILOT_01_E05</x:v>
      </x:c>
      <x:c r="D451" s="16" t="str">
        <x:v>negative_count</x:v>
      </x:c>
      <x:c r="E451" s="16" t="str"/>
      <x:c r="F451" s="16" t="str"/>
      <x:c r="G451" s="16" t="str"/>
      <x:c r="H451" s="16" t="str">
        <x:v>N</x:v>
      </x:c>
      <x:c r="I451" s="16" t="str"/>
    </x:row>
    <x:row r="452">
      <x:c r="A452" s="16" t="n">
        <x:v>451</x:v>
      </x:c>
      <x:c r="B452" s="16" t="str">
        <x:v>EXPERIMENT</x:v>
      </x:c>
      <x:c r="C452" s="16" t="str">
        <x:f>Coder_A!C452</x:f>
        <x:v>PILOT_01_E05</x:v>
      </x:c>
      <x:c r="D452" s="16" t="str">
        <x:v>metric_name_original</x:v>
      </x:c>
      <x:c r="E452" s="16" t="str"/>
      <x:c r="F452" s="16" t="str"/>
      <x:c r="G452" s="16" t="str"/>
      <x:c r="H452" s="16" t="str">
        <x:v>N</x:v>
      </x:c>
      <x:c r="I452" s="16" t="str"/>
    </x:row>
    <x:row r="453">
      <x:c r="A453" s="16" t="n">
        <x:v>452</x:v>
      </x:c>
      <x:c r="B453" s="16" t="str">
        <x:v>EXPERIMENT</x:v>
      </x:c>
      <x:c r="C453" s="16" t="str">
        <x:f>Coder_A!C453</x:f>
        <x:v>PILOT_01_E05</x:v>
      </x:c>
      <x:c r="D453" s="16" t="str">
        <x:v>metric_value_original</x:v>
      </x:c>
      <x:c r="E453" s="16" t="str"/>
      <x:c r="F453" s="16" t="str"/>
      <x:c r="G453" s="16" t="str"/>
      <x:c r="H453" s="16" t="str">
        <x:v>N</x:v>
      </x:c>
      <x:c r="I453" s="16" t="str"/>
    </x:row>
    <x:row r="454">
      <x:c r="A454" s="16" t="n">
        <x:v>453</x:v>
      </x:c>
      <x:c r="B454" s="16" t="str">
        <x:v>EXPERIMENT</x:v>
      </x:c>
      <x:c r="C454" s="16" t="str">
        <x:f>Coder_A!C454</x:f>
        <x:v>PILOT_01_E05</x:v>
      </x:c>
      <x:c r="D454" s="16" t="str">
        <x:v>metric_scope</x:v>
      </x:c>
      <x:c r="E454" s="16" t="str"/>
      <x:c r="F454" s="16" t="str"/>
      <x:c r="G454" s="16" t="str"/>
      <x:c r="H454" s="16" t="str">
        <x:v>Y</x:v>
      </x:c>
      <x:c r="I454" s="16" t="str"/>
    </x:row>
    <x:row r="455">
      <x:c r="A455" s="16" t="n">
        <x:v>454</x:v>
      </x:c>
      <x:c r="B455" s="16" t="str">
        <x:v>EXPERIMENT</x:v>
      </x:c>
      <x:c r="C455" s="16" t="str">
        <x:f>Coder_A!C455</x:f>
        <x:v>PILOT_01_E05</x:v>
      </x:c>
      <x:c r="D455" s="16" t="str">
        <x:v>n_seeds</x:v>
      </x:c>
      <x:c r="E455" s="16" t="str"/>
      <x:c r="F455" s="16" t="str"/>
      <x:c r="G455" s="16" t="str"/>
      <x:c r="H455" s="16" t="str">
        <x:v>N</x:v>
      </x:c>
      <x:c r="I455" s="16" t="str"/>
    </x:row>
    <x:row r="456">
      <x:c r="A456" s="16" t="n">
        <x:v>455</x:v>
      </x:c>
      <x:c r="B456" s="16" t="str">
        <x:v>EXPERIMENT</x:v>
      </x:c>
      <x:c r="C456" s="16" t="str">
        <x:f>Coder_A!C456</x:f>
        <x:v>PILOT_01_E05</x:v>
      </x:c>
      <x:c r="D456" s="16" t="str">
        <x:v>seed_values_reported</x:v>
      </x:c>
      <x:c r="E456" s="16" t="str"/>
      <x:c r="F456" s="16" t="str"/>
      <x:c r="G456" s="16" t="str"/>
      <x:c r="H456" s="16" t="str">
        <x:v>N</x:v>
      </x:c>
      <x:c r="I456" s="16" t="str"/>
    </x:row>
    <x:row r="457">
      <x:c r="A457" s="16" t="n">
        <x:v>456</x:v>
      </x:c>
      <x:c r="B457" s="16" t="str">
        <x:v>EXPERIMENT</x:v>
      </x:c>
      <x:c r="C457" s="16" t="str">
        <x:f>Coder_A!C457</x:f>
        <x:v>PILOT_01_E05</x:v>
      </x:c>
      <x:c r="D457" s="16" t="str">
        <x:v>mean_std_reported</x:v>
      </x:c>
      <x:c r="E457" s="16" t="str"/>
      <x:c r="F457" s="16" t="str"/>
      <x:c r="G457" s="16" t="str"/>
      <x:c r="H457" s="16" t="str">
        <x:v>Y</x:v>
      </x:c>
      <x:c r="I457" s="16" t="str"/>
    </x:row>
    <x:row r="458">
      <x:c r="A458" s="16" t="n">
        <x:v>457</x:v>
      </x:c>
      <x:c r="B458" s="16" t="str">
        <x:v>EXPERIMENT</x:v>
      </x:c>
      <x:c r="C458" s="16" t="str">
        <x:f>Coder_A!C458</x:f>
        <x:v>PILOT_01_E05</x:v>
      </x:c>
      <x:c r="D458" s="16" t="str">
        <x:v>confidence_interval</x:v>
      </x:c>
      <x:c r="E458" s="16" t="str"/>
      <x:c r="F458" s="16" t="str"/>
      <x:c r="G458" s="16" t="str"/>
      <x:c r="H458" s="16" t="str">
        <x:v>N</x:v>
      </x:c>
      <x:c r="I458" s="16" t="str"/>
    </x:row>
    <x:row r="459">
      <x:c r="A459" s="16" t="n">
        <x:v>458</x:v>
      </x:c>
      <x:c r="B459" s="16" t="str">
        <x:v>EXPERIMENT</x:v>
      </x:c>
      <x:c r="C459" s="16" t="str">
        <x:f>Coder_A!C459</x:f>
        <x:v>PILOT_01_E05</x:v>
      </x:c>
      <x:c r="D459" s="16" t="str">
        <x:v>bootstrap_unit</x:v>
      </x:c>
      <x:c r="E459" s="16" t="str"/>
      <x:c r="F459" s="16" t="str"/>
      <x:c r="G459" s="16" t="str"/>
      <x:c r="H459" s="16" t="str">
        <x:v>Y</x:v>
      </x:c>
      <x:c r="I459" s="16" t="str"/>
    </x:row>
    <x:row r="460">
      <x:c r="A460" s="16" t="n">
        <x:v>459</x:v>
      </x:c>
      <x:c r="B460" s="16" t="str">
        <x:v>EXPERIMENT</x:v>
      </x:c>
      <x:c r="C460" s="16" t="str">
        <x:f>Coder_A!C460</x:f>
        <x:v>PILOT_01_E05</x:v>
      </x:c>
      <x:c r="D460" s="16" t="str">
        <x:v>statistical_test</x:v>
      </x:c>
      <x:c r="E460" s="16" t="str"/>
      <x:c r="F460" s="16" t="str"/>
      <x:c r="G460" s="16" t="str"/>
      <x:c r="H460" s="16" t="str">
        <x:v>N</x:v>
      </x:c>
      <x:c r="I460" s="16" t="str"/>
    </x:row>
    <x:row r="461">
      <x:c r="A461" s="16" t="n">
        <x:v>460</x:v>
      </x:c>
      <x:c r="B461" s="16" t="str">
        <x:v>EXPERIMENT</x:v>
      </x:c>
      <x:c r="C461" s="16" t="str">
        <x:f>Coder_A!C461</x:f>
        <x:v>PILOT_01_E05</x:v>
      </x:c>
      <x:c r="D461" s="16" t="str">
        <x:v>multiple_comparison_correction</x:v>
      </x:c>
      <x:c r="E461" s="16" t="str"/>
      <x:c r="F461" s="16" t="str"/>
      <x:c r="G461" s="16" t="str"/>
      <x:c r="H461" s="16" t="str">
        <x:v>N</x:v>
      </x:c>
      <x:c r="I461" s="16" t="str"/>
    </x:row>
    <x:row r="462">
      <x:c r="A462" s="16" t="n">
        <x:v>461</x:v>
      </x:c>
      <x:c r="B462" s="16" t="str">
        <x:v>EXPERIMENT</x:v>
      </x:c>
      <x:c r="C462" s="16" t="str">
        <x:f>Coder_A!C462</x:f>
        <x:v>PILOT_01_E05</x:v>
      </x:c>
      <x:c r="D462" s="16" t="str">
        <x:v>effect_size</x:v>
      </x:c>
      <x:c r="E462" s="16" t="str"/>
      <x:c r="F462" s="16" t="str"/>
      <x:c r="G462" s="16" t="str"/>
      <x:c r="H462" s="16" t="str">
        <x:v>N</x:v>
      </x:c>
      <x:c r="I462" s="16" t="str"/>
    </x:row>
    <x:row r="463">
      <x:c r="A463" s="16" t="n">
        <x:v>462</x:v>
      </x:c>
      <x:c r="B463" s="16" t="str">
        <x:v>EXPERIMENT</x:v>
      </x:c>
      <x:c r="C463" s="16" t="str">
        <x:f>Coder_A!C463</x:f>
        <x:v>PILOT_01_E05</x:v>
      </x:c>
      <x:c r="D463" s="16" t="str">
        <x:v>paired_design</x:v>
      </x:c>
      <x:c r="E463" s="16" t="str"/>
      <x:c r="F463" s="16" t="str"/>
      <x:c r="G463" s="16" t="str"/>
      <x:c r="H463" s="16" t="str">
        <x:v>Y</x:v>
      </x:c>
      <x:c r="I463" s="16" t="str"/>
    </x:row>
    <x:row r="464">
      <x:c r="A464" s="16" t="n">
        <x:v>463</x:v>
      </x:c>
      <x:c r="B464" s="16" t="str">
        <x:v>EXPERIMENT</x:v>
      </x:c>
      <x:c r="C464" s="16" t="str">
        <x:f>Coder_A!C464</x:f>
        <x:v>PILOT_01_E05</x:v>
      </x:c>
      <x:c r="D464" s="16" t="str">
        <x:v>significance_threshold</x:v>
      </x:c>
      <x:c r="E464" s="16" t="str"/>
      <x:c r="F464" s="16" t="str"/>
      <x:c r="G464" s="16" t="str"/>
      <x:c r="H464" s="16" t="str">
        <x:v>N</x:v>
      </x:c>
      <x:c r="I464" s="16" t="str"/>
    </x:row>
    <x:row r="465">
      <x:c r="A465" s="16" t="n">
        <x:v>464</x:v>
      </x:c>
      <x:c r="B465" s="16" t="str">
        <x:v>EXPERIMENT</x:v>
      </x:c>
      <x:c r="C465" s="16" t="str">
        <x:f>Coder_A!C465</x:f>
        <x:v>PILOT_01_E05</x:v>
      </x:c>
      <x:c r="D465" s="16" t="str">
        <x:v>parameter_count</x:v>
      </x:c>
      <x:c r="E465" s="16" t="str"/>
      <x:c r="F465" s="16" t="str"/>
      <x:c r="G465" s="16" t="str"/>
      <x:c r="H465" s="16" t="str">
        <x:v>N</x:v>
      </x:c>
      <x:c r="I465" s="16" t="str"/>
    </x:row>
    <x:row r="466">
      <x:c r="A466" s="16" t="n">
        <x:v>465</x:v>
      </x:c>
      <x:c r="B466" s="16" t="str">
        <x:v>EXPERIMENT</x:v>
      </x:c>
      <x:c r="C466" s="16" t="str">
        <x:f>Coder_A!C466</x:f>
        <x:v>PILOT_01_E05</x:v>
      </x:c>
      <x:c r="D466" s="16" t="str">
        <x:v>train_time</x:v>
      </x:c>
      <x:c r="E466" s="16" t="str"/>
      <x:c r="F466" s="16" t="str"/>
      <x:c r="G466" s="16" t="str"/>
      <x:c r="H466" s="16" t="str">
        <x:v>N</x:v>
      </x:c>
      <x:c r="I466" s="16" t="str"/>
    </x:row>
    <x:row r="467">
      <x:c r="A467" s="16" t="n">
        <x:v>466</x:v>
      </x:c>
      <x:c r="B467" s="16" t="str">
        <x:v>EXPERIMENT</x:v>
      </x:c>
      <x:c r="C467" s="16" t="str">
        <x:f>Coder_A!C467</x:f>
        <x:v>PILOT_01_E05</x:v>
      </x:c>
      <x:c r="D467" s="16" t="str">
        <x:v>time_per_epoch</x:v>
      </x:c>
      <x:c r="E467" s="16" t="str"/>
      <x:c r="F467" s="16" t="str"/>
      <x:c r="G467" s="16" t="str"/>
      <x:c r="H467" s="16" t="str">
        <x:v>N</x:v>
      </x:c>
      <x:c r="I467" s="16" t="str"/>
    </x:row>
    <x:row r="468">
      <x:c r="A468" s="16" t="n">
        <x:v>467</x:v>
      </x:c>
      <x:c r="B468" s="16" t="str">
        <x:v>EXPERIMENT</x:v>
      </x:c>
      <x:c r="C468" s="16" t="str">
        <x:f>Coder_A!C468</x:f>
        <x:v>PILOT_01_E05</x:v>
      </x:c>
      <x:c r="D468" s="16" t="str">
        <x:v>inference_latency</x:v>
      </x:c>
      <x:c r="E468" s="16" t="str"/>
      <x:c r="F468" s="16" t="str"/>
      <x:c r="G468" s="16" t="str"/>
      <x:c r="H468" s="16" t="str">
        <x:v>N</x:v>
      </x:c>
      <x:c r="I468" s="16" t="str"/>
    </x:row>
    <x:row r="469">
      <x:c r="A469" s="16" t="n">
        <x:v>468</x:v>
      </x:c>
      <x:c r="B469" s="16" t="str">
        <x:v>EXPERIMENT</x:v>
      </x:c>
      <x:c r="C469" s="16" t="str">
        <x:f>Coder_A!C469</x:f>
        <x:v>PILOT_01_E05</x:v>
      </x:c>
      <x:c r="D469" s="16" t="str">
        <x:v>throughput</x:v>
      </x:c>
      <x:c r="E469" s="16" t="str"/>
      <x:c r="F469" s="16" t="str"/>
      <x:c r="G469" s="16" t="str"/>
      <x:c r="H469" s="16" t="str">
        <x:v>N</x:v>
      </x:c>
      <x:c r="I469" s="16" t="str"/>
    </x:row>
    <x:row r="470">
      <x:c r="A470" s="16" t="n">
        <x:v>469</x:v>
      </x:c>
      <x:c r="B470" s="16" t="str">
        <x:v>EXPERIMENT</x:v>
      </x:c>
      <x:c r="C470" s="16" t="str">
        <x:f>Coder_A!C470</x:f>
        <x:v>PILOT_01_E05</x:v>
      </x:c>
      <x:c r="D470" s="16" t="str">
        <x:v>cpu_ram</x:v>
      </x:c>
      <x:c r="E470" s="16" t="str"/>
      <x:c r="F470" s="16" t="str"/>
      <x:c r="G470" s="16" t="str"/>
      <x:c r="H470" s="16" t="str">
        <x:v>N</x:v>
      </x:c>
      <x:c r="I470" s="16" t="str"/>
    </x:row>
    <x:row r="471">
      <x:c r="A471" s="16" t="n">
        <x:v>470</x:v>
      </x:c>
      <x:c r="B471" s="16" t="str">
        <x:v>EXPERIMENT</x:v>
      </x:c>
      <x:c r="C471" s="16" t="str">
        <x:f>Coder_A!C471</x:f>
        <x:v>PILOT_01_E05</x:v>
      </x:c>
      <x:c r="D471" s="16" t="str">
        <x:v>gpu_vram</x:v>
      </x:c>
      <x:c r="E471" s="16" t="str"/>
      <x:c r="F471" s="16" t="str"/>
      <x:c r="G471" s="16" t="str"/>
      <x:c r="H471" s="16" t="str">
        <x:v>N</x:v>
      </x:c>
      <x:c r="I471" s="16" t="str"/>
    </x:row>
    <x:row r="472">
      <x:c r="A472" s="16" t="n">
        <x:v>471</x:v>
      </x:c>
      <x:c r="B472" s="16" t="str">
        <x:v>EXPERIMENT</x:v>
      </x:c>
      <x:c r="C472" s="16" t="str">
        <x:f>Coder_A!C472</x:f>
        <x:v>PILOT_01_E05</x:v>
      </x:c>
      <x:c r="D472" s="16" t="str">
        <x:v>hardware</x:v>
      </x:c>
      <x:c r="E472" s="16" t="str"/>
      <x:c r="F472" s="16" t="str"/>
      <x:c r="G472" s="16" t="str"/>
      <x:c r="H472" s="16" t="str">
        <x:v>N</x:v>
      </x:c>
      <x:c r="I472" s="16" t="str"/>
    </x:row>
    <x:row r="473">
      <x:c r="A473" s="16" t="n">
        <x:v>472</x:v>
      </x:c>
      <x:c r="B473" s="16" t="str">
        <x:v>EXPERIMENT</x:v>
      </x:c>
      <x:c r="C473" s="16" t="str">
        <x:f>Coder_A!C473</x:f>
        <x:v>PILOT_01_E05</x:v>
      </x:c>
      <x:c r="D473" s="16" t="str">
        <x:v>graph_construction_time</x:v>
      </x:c>
      <x:c r="E473" s="16" t="str"/>
      <x:c r="F473" s="16" t="str"/>
      <x:c r="G473" s="16" t="str"/>
      <x:c r="H473" s="16" t="str">
        <x:v>N</x:v>
      </x:c>
      <x:c r="I473" s="16" t="str"/>
    </x:row>
    <x:row r="474">
      <x:c r="A474" s="16" t="n">
        <x:v>473</x:v>
      </x:c>
      <x:c r="B474" s="16" t="str">
        <x:v>EXPERIMENT</x:v>
      </x:c>
      <x:c r="C474" s="16" t="str">
        <x:f>Coder_A!C474</x:f>
        <x:v>PILOT_01_E05</x:v>
      </x:c>
      <x:c r="D474" s="16" t="str">
        <x:v>complexity_formula</x:v>
      </x:c>
      <x:c r="E474" s="16" t="str"/>
      <x:c r="F474" s="16" t="str"/>
      <x:c r="G474" s="16" t="str"/>
      <x:c r="H474" s="16" t="str">
        <x:v>N</x:v>
      </x:c>
      <x:c r="I474" s="16" t="str"/>
    </x:row>
    <x:row r="475">
      <x:c r="A475" s="16" t="n">
        <x:v>474</x:v>
      </x:c>
      <x:c r="B475" s="16" t="str">
        <x:v>EXPERIMENT</x:v>
      </x:c>
      <x:c r="C475" s="16" t="str">
        <x:f>Coder_A!C475</x:f>
        <x:v>PILOT_01_E05</x:v>
      </x:c>
      <x:c r="D475" s="16" t="str">
        <x:v>scale_up_experiment</x:v>
      </x:c>
      <x:c r="E475" s="16" t="str"/>
      <x:c r="F475" s="16" t="str"/>
      <x:c r="G475" s="16" t="str"/>
      <x:c r="H475" s="16" t="str">
        <x:v>Y</x:v>
      </x:c>
      <x:c r="I475" s="16" t="str"/>
    </x:row>
    <x:row r="476">
      <x:c r="A476" s="16" t="n">
        <x:v>475</x:v>
      </x:c>
      <x:c r="B476" s="16" t="str">
        <x:v>EXPERIMENT</x:v>
      </x:c>
      <x:c r="C476" s="16" t="str">
        <x:f>Coder_A!C476</x:f>
        <x:v>PILOT_01_E05</x:v>
      </x:c>
      <x:c r="D476" s="16" t="str">
        <x:v>oom_timeout_reported</x:v>
      </x:c>
      <x:c r="E476" s="16" t="str"/>
      <x:c r="F476" s="16" t="str"/>
      <x:c r="G476" s="16" t="str"/>
      <x:c r="H476" s="16" t="str">
        <x:v>Y</x:v>
      </x:c>
      <x:c r="I476" s="16" t="str"/>
    </x:row>
    <x:row r="477">
      <x:c r="A477" s="16" t="n">
        <x:v>476</x:v>
      </x:c>
      <x:c r="B477" s="16" t="str">
        <x:v>EXPERIMENT</x:v>
      </x:c>
      <x:c r="C477" s="16" t="str">
        <x:f>Coder_A!C477</x:f>
        <x:v>PILOT_01_E06</x:v>
      </x:c>
      <x:c r="D477" s="16" t="str">
        <x:v>dataset_name</x:v>
      </x:c>
      <x:c r="E477" s="16" t="str"/>
      <x:c r="F477" s="16" t="str"/>
      <x:c r="G477" s="16" t="str"/>
      <x:c r="H477" s="16" t="str">
        <x:v>N</x:v>
      </x:c>
      <x:c r="I477" s="16" t="str"/>
    </x:row>
    <x:row r="478">
      <x:c r="A478" s="16" t="n">
        <x:v>477</x:v>
      </x:c>
      <x:c r="B478" s="16" t="str">
        <x:v>EXPERIMENT</x:v>
      </x:c>
      <x:c r="C478" s="16" t="str">
        <x:f>Coder_A!C478</x:f>
        <x:v>PILOT_01_E06</x:v>
      </x:c>
      <x:c r="D478" s="16" t="str">
        <x:v>dataset_version</x:v>
      </x:c>
      <x:c r="E478" s="16" t="str"/>
      <x:c r="F478" s="16" t="str"/>
      <x:c r="G478" s="16" t="str"/>
      <x:c r="H478" s="16" t="str">
        <x:v>N</x:v>
      </x:c>
      <x:c r="I478" s="16" t="str"/>
    </x:row>
    <x:row r="479">
      <x:c r="A479" s="16" t="n">
        <x:v>478</x:v>
      </x:c>
      <x:c r="B479" s="16" t="str">
        <x:v>EXPERIMENT</x:v>
      </x:c>
      <x:c r="C479" s="16" t="str">
        <x:f>Coder_A!C479</x:f>
        <x:v>PILOT_01_E06</x:v>
      </x:c>
      <x:c r="D479" s="16" t="str">
        <x:v>n_learners_reported</x:v>
      </x:c>
      <x:c r="E479" s="16" t="str"/>
      <x:c r="F479" s="16" t="str"/>
      <x:c r="G479" s="16" t="str"/>
      <x:c r="H479" s="16" t="str">
        <x:v>N</x:v>
      </x:c>
      <x:c r="I479" s="16" t="str"/>
    </x:row>
    <x:row r="480">
      <x:c r="A480" s="16" t="n">
        <x:v>479</x:v>
      </x:c>
      <x:c r="B480" s="16" t="str">
        <x:v>EXPERIMENT</x:v>
      </x:c>
      <x:c r="C480" s="16" t="str">
        <x:f>Coder_A!C480</x:f>
        <x:v>PILOT_01_E06</x:v>
      </x:c>
      <x:c r="D480" s="16" t="str">
        <x:v>n_items_reported</x:v>
      </x:c>
      <x:c r="E480" s="16" t="str"/>
      <x:c r="F480" s="16" t="str"/>
      <x:c r="G480" s="16" t="str"/>
      <x:c r="H480" s="16" t="str">
        <x:v>N</x:v>
      </x:c>
      <x:c r="I480" s="16" t="str"/>
    </x:row>
    <x:row r="481">
      <x:c r="A481" s="16" t="n">
        <x:v>480</x:v>
      </x:c>
      <x:c r="B481" s="16" t="str">
        <x:v>EXPERIMENT</x:v>
      </x:c>
      <x:c r="C481" s="16" t="str">
        <x:f>Coder_A!C481</x:f>
        <x:v>PILOT_01_E06</x:v>
      </x:c>
      <x:c r="D481" s="16" t="str">
        <x:v>n_kcs_reported</x:v>
      </x:c>
      <x:c r="E481" s="16" t="str"/>
      <x:c r="F481" s="16" t="str"/>
      <x:c r="G481" s="16" t="str"/>
      <x:c r="H481" s="16" t="str">
        <x:v>N</x:v>
      </x:c>
      <x:c r="I481" s="16" t="str"/>
    </x:row>
    <x:row r="482">
      <x:c r="A482" s="16" t="n">
        <x:v>481</x:v>
      </x:c>
      <x:c r="B482" s="16" t="str">
        <x:v>EXPERIMENT</x:v>
      </x:c>
      <x:c r="C482" s="16" t="str">
        <x:f>Coder_A!C482</x:f>
        <x:v>PILOT_01_E06</x:v>
      </x:c>
      <x:c r="D482" s="16" t="str">
        <x:v>n_interactions_reported</x:v>
      </x:c>
      <x:c r="E482" s="16" t="str"/>
      <x:c r="F482" s="16" t="str"/>
      <x:c r="G482" s="16" t="str"/>
      <x:c r="H482" s="16" t="str">
        <x:v>N</x:v>
      </x:c>
      <x:c r="I482" s="16" t="str"/>
    </x:row>
    <x:row r="483">
      <x:c r="A483" s="16" t="n">
        <x:v>482</x:v>
      </x:c>
      <x:c r="B483" s="16" t="str">
        <x:v>EXPERIMENT</x:v>
      </x:c>
      <x:c r="C483" s="16" t="str">
        <x:f>Coder_A!C483</x:f>
        <x:v>PILOT_01_E06</x:v>
      </x:c>
      <x:c r="D483" s="16" t="str">
        <x:v>multi_skill_present</x:v>
      </x:c>
      <x:c r="E483" s="16" t="str"/>
      <x:c r="F483" s="16" t="str"/>
      <x:c r="G483" s="16" t="str"/>
      <x:c r="H483" s="16" t="str">
        <x:v>Y</x:v>
      </x:c>
      <x:c r="I483" s="16" t="str"/>
    </x:row>
    <x:row r="484">
      <x:c r="A484" s="16" t="n">
        <x:v>483</x:v>
      </x:c>
      <x:c r="B484" s="16" t="str">
        <x:v>EXPERIMENT</x:v>
      </x:c>
      <x:c r="C484" s="16" t="str">
        <x:f>Coder_A!C484</x:f>
        <x:v>PILOT_01_E06</x:v>
      </x:c>
      <x:c r="D484" s="16" t="str">
        <x:v>multi_skill_handling</x:v>
      </x:c>
      <x:c r="E484" s="16" t="str"/>
      <x:c r="F484" s="16" t="str"/>
      <x:c r="G484" s="16" t="str"/>
      <x:c r="H484" s="16" t="str">
        <x:v>N</x:v>
      </x:c>
      <x:c r="I484" s="16" t="str"/>
    </x:row>
    <x:row r="485">
      <x:c r="A485" s="16" t="n">
        <x:v>484</x:v>
      </x:c>
      <x:c r="B485" s="16" t="str">
        <x:v>EXPERIMENT</x:v>
      </x:c>
      <x:c r="C485" s="16" t="str">
        <x:f>Coder_A!C485</x:f>
        <x:v>PILOT_01_E06</x:v>
      </x:c>
      <x:c r="D485" s="16" t="str">
        <x:v>sequence_truncation</x:v>
      </x:c>
      <x:c r="E485" s="16" t="str"/>
      <x:c r="F485" s="16" t="str"/>
      <x:c r="G485" s="16" t="str"/>
      <x:c r="H485" s="16" t="str">
        <x:v>N</x:v>
      </x:c>
      <x:c r="I485" s="16" t="str"/>
    </x:row>
    <x:row r="486">
      <x:c r="A486" s="16" t="n">
        <x:v>485</x:v>
      </x:c>
      <x:c r="B486" s="16" t="str">
        <x:v>EXPERIMENT</x:v>
      </x:c>
      <x:c r="C486" s="16" t="str">
        <x:f>Coder_A!C486</x:f>
        <x:v>PILOT_01_E06</x:v>
      </x:c>
      <x:c r="D486" s="16" t="str">
        <x:v>min_sequence_filter</x:v>
      </x:c>
      <x:c r="E486" s="16" t="str"/>
      <x:c r="F486" s="16" t="str"/>
      <x:c r="G486" s="16" t="str"/>
      <x:c r="H486" s="16" t="str">
        <x:v>N</x:v>
      </x:c>
      <x:c r="I486" s="16" t="str"/>
    </x:row>
    <x:row r="487">
      <x:c r="A487" s="16" t="n">
        <x:v>486</x:v>
      </x:c>
      <x:c r="B487" s="16" t="str">
        <x:v>EXPERIMENT</x:v>
      </x:c>
      <x:c r="C487" s="16" t="str">
        <x:f>Coder_A!C487</x:f>
        <x:v>PILOT_01_E06</x:v>
      </x:c>
      <x:c r="D487" s="16" t="str">
        <x:v>timestamp_used</x:v>
      </x:c>
      <x:c r="E487" s="16" t="str"/>
      <x:c r="F487" s="16" t="str"/>
      <x:c r="G487" s="16" t="str"/>
      <x:c r="H487" s="16" t="str">
        <x:v>Y</x:v>
      </x:c>
      <x:c r="I487" s="16" t="str"/>
    </x:row>
    <x:row r="488">
      <x:c r="A488" s="16" t="n">
        <x:v>487</x:v>
      </x:c>
      <x:c r="B488" s="16" t="str">
        <x:v>EXPERIMENT</x:v>
      </x:c>
      <x:c r="C488" s="16" t="str">
        <x:f>Coder_A!C488</x:f>
        <x:v>PILOT_01_E06</x:v>
      </x:c>
      <x:c r="D488" s="16" t="str">
        <x:v>preprocessing_code_available</x:v>
      </x:c>
      <x:c r="E488" s="16" t="str"/>
      <x:c r="F488" s="16" t="str"/>
      <x:c r="G488" s="16" t="str"/>
      <x:c r="H488" s="16" t="str">
        <x:v>Y</x:v>
      </x:c>
      <x:c r="I488" s="16" t="str"/>
    </x:row>
    <x:row r="489">
      <x:c r="A489" s="16" t="n">
        <x:v>488</x:v>
      </x:c>
      <x:c r="B489" s="16" t="str">
        <x:v>EXPERIMENT</x:v>
      </x:c>
      <x:c r="C489" s="16" t="str">
        <x:f>Coder_A!C489</x:f>
        <x:v>PILOT_01_E06</x:v>
      </x:c>
      <x:c r="D489" s="16" t="str">
        <x:v>split_type</x:v>
      </x:c>
      <x:c r="E489" s="16" t="str"/>
      <x:c r="F489" s="16" t="str"/>
      <x:c r="G489" s="16" t="str"/>
      <x:c r="H489" s="16" t="str">
        <x:v>Y</x:v>
      </x:c>
      <x:c r="I489" s="16" t="str"/>
    </x:row>
    <x:row r="490">
      <x:c r="A490" s="16" t="n">
        <x:v>489</x:v>
      </x:c>
      <x:c r="B490" s="16" t="str">
        <x:v>EXPERIMENT</x:v>
      </x:c>
      <x:c r="C490" s="16" t="str">
        <x:f>Coder_A!C490</x:f>
        <x:v>PILOT_01_E06</x:v>
      </x:c>
      <x:c r="D490" s="16" t="str">
        <x:v>split_unit_original</x:v>
      </x:c>
      <x:c r="E490" s="16" t="str"/>
      <x:c r="F490" s="16" t="str"/>
      <x:c r="G490" s="16" t="str"/>
      <x:c r="H490" s="16" t="str">
        <x:v>N</x:v>
      </x:c>
      <x:c r="I490" s="16" t="str"/>
    </x:row>
    <x:row r="491">
      <x:c r="A491" s="16" t="n">
        <x:v>490</x:v>
      </x:c>
      <x:c r="B491" s="16" t="str">
        <x:v>EXPERIMENT</x:v>
      </x:c>
      <x:c r="C491" s="16" t="str">
        <x:f>Coder_A!C491</x:f>
        <x:v>PILOT_01_E06</x:v>
      </x:c>
      <x:c r="D491" s="16" t="str">
        <x:v>train_fraction</x:v>
      </x:c>
      <x:c r="E491" s="16" t="str"/>
      <x:c r="F491" s="16" t="str"/>
      <x:c r="G491" s="16" t="str"/>
      <x:c r="H491" s="16" t="str">
        <x:v>N</x:v>
      </x:c>
      <x:c r="I491" s="16" t="str"/>
    </x:row>
    <x:row r="492">
      <x:c r="A492" s="16" t="n">
        <x:v>491</x:v>
      </x:c>
      <x:c r="B492" s="16" t="str">
        <x:v>EXPERIMENT</x:v>
      </x:c>
      <x:c r="C492" s="16" t="str">
        <x:f>Coder_A!C492</x:f>
        <x:v>PILOT_01_E06</x:v>
      </x:c>
      <x:c r="D492" s="16" t="str">
        <x:v>validation_fraction</x:v>
      </x:c>
      <x:c r="E492" s="16" t="str"/>
      <x:c r="F492" s="16" t="str"/>
      <x:c r="G492" s="16" t="str"/>
      <x:c r="H492" s="16" t="str">
        <x:v>N</x:v>
      </x:c>
      <x:c r="I492" s="16" t="str"/>
    </x:row>
    <x:row r="493">
      <x:c r="A493" s="16" t="n">
        <x:v>492</x:v>
      </x:c>
      <x:c r="B493" s="16" t="str">
        <x:v>EXPERIMENT</x:v>
      </x:c>
      <x:c r="C493" s="16" t="str">
        <x:f>Coder_A!C493</x:f>
        <x:v>PILOT_01_E06</x:v>
      </x:c>
      <x:c r="D493" s="16" t="str">
        <x:v>test_fraction</x:v>
      </x:c>
      <x:c r="E493" s="16" t="str"/>
      <x:c r="F493" s="16" t="str"/>
      <x:c r="G493" s="16" t="str"/>
      <x:c r="H493" s="16" t="str">
        <x:v>N</x:v>
      </x:c>
      <x:c r="I493" s="16" t="str"/>
    </x:row>
    <x:row r="494">
      <x:c r="A494" s="16" t="n">
        <x:v>493</x:v>
      </x:c>
      <x:c r="B494" s="16" t="str">
        <x:v>EXPERIMENT</x:v>
      </x:c>
      <x:c r="C494" s="16" t="str">
        <x:f>Coder_A!C494</x:f>
        <x:v>PILOT_01_E06</x:v>
      </x:c>
      <x:c r="D494" s="16" t="str">
        <x:v>validation_set_separate</x:v>
      </x:c>
      <x:c r="E494" s="16" t="str"/>
      <x:c r="F494" s="16" t="str"/>
      <x:c r="G494" s="16" t="str"/>
      <x:c r="H494" s="16" t="str">
        <x:v>Y</x:v>
      </x:c>
      <x:c r="I494" s="16" t="str"/>
    </x:row>
    <x:row r="495">
      <x:c r="A495" s="16" t="n">
        <x:v>494</x:v>
      </x:c>
      <x:c r="B495" s="16" t="str">
        <x:v>EXPERIMENT</x:v>
      </x:c>
      <x:c r="C495" s="16" t="str">
        <x:f>Coder_A!C495</x:f>
        <x:v>PILOT_01_E06</x:v>
      </x:c>
      <x:c r="D495" s="16" t="str">
        <x:v>early_stopping_validation_only</x:v>
      </x:c>
      <x:c r="E495" s="16" t="str"/>
      <x:c r="F495" s="16" t="str"/>
      <x:c r="G495" s="16" t="str"/>
      <x:c r="H495" s="16" t="str">
        <x:v>Y</x:v>
      </x:c>
      <x:c r="I495" s="16" t="str"/>
    </x:row>
    <x:row r="496">
      <x:c r="A496" s="16" t="n">
        <x:v>495</x:v>
      </x:c>
      <x:c r="B496" s="16" t="str">
        <x:v>EXPERIMENT</x:v>
      </x:c>
      <x:c r="C496" s="16" t="str">
        <x:f>Coder_A!C496</x:f>
        <x:v>PILOT_01_E06</x:v>
      </x:c>
      <x:c r="D496" s="16" t="str">
        <x:v>graph_train_only</x:v>
      </x:c>
      <x:c r="E496" s="16" t="str"/>
      <x:c r="F496" s="16" t="str"/>
      <x:c r="G496" s="16" t="str"/>
      <x:c r="H496" s="16" t="str">
        <x:v>Y</x:v>
      </x:c>
      <x:c r="I496" s="16" t="str"/>
    </x:row>
    <x:row r="497">
      <x:c r="A497" s="16" t="n">
        <x:v>496</x:v>
      </x:c>
      <x:c r="B497" s="16" t="str">
        <x:v>EXPERIMENT</x:v>
      </x:c>
      <x:c r="C497" s="16" t="str">
        <x:f>Coder_A!C497</x:f>
        <x:v>PILOT_01_E06</x:v>
      </x:c>
      <x:c r="D497" s="16" t="str">
        <x:v>normalization_train_only</x:v>
      </x:c>
      <x:c r="E497" s="16" t="str"/>
      <x:c r="F497" s="16" t="str"/>
      <x:c r="G497" s="16" t="str"/>
      <x:c r="H497" s="16" t="str">
        <x:v>Y</x:v>
      </x:c>
      <x:c r="I497" s="16" t="str"/>
    </x:row>
    <x:row r="498">
      <x:c r="A498" s="16" t="n">
        <x:v>497</x:v>
      </x:c>
      <x:c r="B498" s="16" t="str">
        <x:v>EXPERIMENT</x:v>
      </x:c>
      <x:c r="C498" s="16" t="str">
        <x:f>Coder_A!C498</x:f>
        <x:v>PILOT_01_E06</x:v>
      </x:c>
      <x:c r="D498" s="16" t="str">
        <x:v>sparse_strata_train_only</x:v>
      </x:c>
      <x:c r="E498" s="16" t="str"/>
      <x:c r="F498" s="16" t="str"/>
      <x:c r="G498" s="16" t="str"/>
      <x:c r="H498" s="16" t="str">
        <x:v>Y</x:v>
      </x:c>
      <x:c r="I498" s="16" t="str"/>
    </x:row>
    <x:row r="499">
      <x:c r="A499" s="16" t="n">
        <x:v>498</x:v>
      </x:c>
      <x:c r="B499" s="16" t="str">
        <x:v>EXPERIMENT</x:v>
      </x:c>
      <x:c r="C499" s="16" t="str">
        <x:f>Coder_A!C499</x:f>
        <x:v>PILOT_01_E06</x:v>
      </x:c>
      <x:c r="D499" s="16" t="str">
        <x:v>temporal_alignment_audited</x:v>
      </x:c>
      <x:c r="E499" s="16" t="str"/>
      <x:c r="F499" s="16" t="str"/>
      <x:c r="G499" s="16" t="str"/>
      <x:c r="H499" s="16" t="str">
        <x:v>Y</x:v>
      </x:c>
      <x:c r="I499" s="16" t="str"/>
    </x:row>
    <x:row r="500">
      <x:c r="A500" s="16" t="n">
        <x:v>499</x:v>
      </x:c>
      <x:c r="B500" s="16" t="str">
        <x:v>EXPERIMENT</x:v>
      </x:c>
      <x:c r="C500" s="16" t="str">
        <x:f>Coder_A!C500</x:f>
        <x:v>PILOT_01_E06</x:v>
      </x:c>
      <x:c r="D500" s="16" t="str">
        <x:v>duplicate_entity_leakage_checked</x:v>
      </x:c>
      <x:c r="E500" s="16" t="str"/>
      <x:c r="F500" s="16" t="str"/>
      <x:c r="G500" s="16" t="str"/>
      <x:c r="H500" s="16" t="str">
        <x:v>Y</x:v>
      </x:c>
      <x:c r="I500" s="16" t="str"/>
    </x:row>
    <x:row r="501">
      <x:c r="A501" s="16" t="n">
        <x:v>500</x:v>
      </x:c>
      <x:c r="B501" s="16" t="str">
        <x:v>EXPERIMENT</x:v>
      </x:c>
      <x:c r="C501" s="16" t="str">
        <x:f>Coder_A!C501</x:f>
        <x:v>PILOT_01_E06</x:v>
      </x:c>
      <x:c r="D501" s="16" t="str">
        <x:v>sparsity_construct</x:v>
      </x:c>
      <x:c r="E501" s="16" t="str"/>
      <x:c r="F501" s="16" t="str"/>
      <x:c r="G501" s="16" t="str"/>
      <x:c r="H501" s="16" t="str">
        <x:v>Y</x:v>
      </x:c>
      <x:c r="I501" s="16" t="str"/>
    </x:row>
    <x:row r="502">
      <x:c r="A502" s="16" t="n">
        <x:v>501</x:v>
      </x:c>
      <x:c r="B502" s="16" t="str">
        <x:v>EXPERIMENT</x:v>
      </x:c>
      <x:c r="C502" s="16" t="str">
        <x:f>Coder_A!C502</x:f>
        <x:v>PILOT_01_E06</x:v>
      </x:c>
      <x:c r="D502" s="16" t="str">
        <x:v>sparse_definition_original</x:v>
      </x:c>
      <x:c r="E502" s="16" t="str"/>
      <x:c r="F502" s="16" t="str"/>
      <x:c r="G502" s="16" t="str"/>
      <x:c r="H502" s="16" t="str">
        <x:v>N</x:v>
      </x:c>
      <x:c r="I502" s="16" t="str"/>
    </x:row>
    <x:row r="503">
      <x:c r="A503" s="16" t="n">
        <x:v>502</x:v>
      </x:c>
      <x:c r="B503" s="16" t="str">
        <x:v>EXPERIMENT</x:v>
      </x:c>
      <x:c r="C503" s="16" t="str">
        <x:f>Coder_A!C503</x:f>
        <x:v>PILOT_01_E06</x:v>
      </x:c>
      <x:c r="D503" s="16" t="str">
        <x:v>sparse_threshold_original</x:v>
      </x:c>
      <x:c r="E503" s="16" t="str"/>
      <x:c r="F503" s="16" t="str"/>
      <x:c r="G503" s="16" t="str"/>
      <x:c r="H503" s="16" t="str">
        <x:v>N</x:v>
      </x:c>
      <x:c r="I503" s="16" t="str"/>
    </x:row>
    <x:row r="504">
      <x:c r="A504" s="16" t="n">
        <x:v>503</x:v>
      </x:c>
      <x:c r="B504" s="16" t="str">
        <x:v>EXPERIMENT</x:v>
      </x:c>
      <x:c r="C504" s="16" t="str">
        <x:f>Coder_A!C504</x:f>
        <x:v>PILOT_01_E06</x:v>
      </x:c>
      <x:c r="D504" s="16" t="str">
        <x:v>threshold_source</x:v>
      </x:c>
      <x:c r="E504" s="16" t="str"/>
      <x:c r="F504" s="16" t="str"/>
      <x:c r="G504" s="16" t="str"/>
      <x:c r="H504" s="16" t="str">
        <x:v>Y</x:v>
      </x:c>
      <x:c r="I504" s="16" t="str"/>
    </x:row>
    <x:row r="505">
      <x:c r="A505" s="16" t="n">
        <x:v>504</x:v>
      </x:c>
      <x:c r="B505" s="16" t="str">
        <x:v>EXPERIMENT</x:v>
      </x:c>
      <x:c r="C505" s="16" t="str">
        <x:f>Coder_A!C505</x:f>
        <x:v>PILOT_01_E06</x:v>
      </x:c>
      <x:c r="D505" s="16" t="str">
        <x:v>frequency_computed_on</x:v>
      </x:c>
      <x:c r="E505" s="16" t="str"/>
      <x:c r="F505" s="16" t="str"/>
      <x:c r="G505" s="16" t="str"/>
      <x:c r="H505" s="16" t="str">
        <x:v>Y</x:v>
      </x:c>
      <x:c r="I505" s="16" t="str"/>
    </x:row>
    <x:row r="506">
      <x:c r="A506" s="16" t="n">
        <x:v>505</x:v>
      </x:c>
      <x:c r="B506" s="16" t="str">
        <x:v>EXPERIMENT</x:v>
      </x:c>
      <x:c r="C506" s="16" t="str">
        <x:f>Coder_A!C506</x:f>
        <x:v>PILOT_01_E06</x:v>
      </x:c>
      <x:c r="D506" s="16" t="str">
        <x:v>strict_zero_train_verified</x:v>
      </x:c>
      <x:c r="E506" s="16" t="str"/>
      <x:c r="F506" s="16" t="str"/>
      <x:c r="G506" s="16" t="str"/>
      <x:c r="H506" s="16" t="str">
        <x:v>Y</x:v>
      </x:c>
      <x:c r="I506" s="16" t="str"/>
    </x:row>
    <x:row r="507">
      <x:c r="A507" s="16" t="n">
        <x:v>506</x:v>
      </x:c>
      <x:c r="B507" s="16" t="str">
        <x:v>EXPERIMENT</x:v>
      </x:c>
      <x:c r="C507" s="16" t="str">
        <x:f>Coder_A!C507</x:f>
        <x:v>PILOT_01_E06</x:v>
      </x:c>
      <x:c r="D507" s="16" t="str">
        <x:v>external_info_for_unseen_kc</x:v>
      </x:c>
      <x:c r="E507" s="16" t="str"/>
      <x:c r="F507" s="16" t="str"/>
      <x:c r="G507" s="16" t="str"/>
      <x:c r="H507" s="16" t="str">
        <x:v>Y</x:v>
      </x:c>
      <x:c r="I507" s="16" t="str"/>
    </x:row>
    <x:row r="508">
      <x:c r="A508" s="16" t="n">
        <x:v>507</x:v>
      </x:c>
      <x:c r="B508" s="16" t="str">
        <x:v>EXPERIMENT</x:v>
      </x:c>
      <x:c r="C508" s="16" t="str">
        <x:f>Coder_A!C508</x:f>
        <x:v>PILOT_01_E06</x:v>
      </x:c>
      <x:c r="D508" s="16" t="str">
        <x:v>support_kcs</x:v>
      </x:c>
      <x:c r="E508" s="16" t="str"/>
      <x:c r="F508" s="16" t="str"/>
      <x:c r="G508" s="16" t="str"/>
      <x:c r="H508" s="16" t="str">
        <x:v>N</x:v>
      </x:c>
      <x:c r="I508" s="16" t="str"/>
    </x:row>
    <x:row r="509">
      <x:c r="A509" s="16" t="n">
        <x:v>508</x:v>
      </x:c>
      <x:c r="B509" s="16" t="str">
        <x:v>EXPERIMENT</x:v>
      </x:c>
      <x:c r="C509" s="16" t="str">
        <x:f>Coder_A!C509</x:f>
        <x:v>PILOT_01_E06</x:v>
      </x:c>
      <x:c r="D509" s="16" t="str">
        <x:v>support_learners</x:v>
      </x:c>
      <x:c r="E509" s="16" t="str"/>
      <x:c r="F509" s="16" t="str"/>
      <x:c r="G509" s="16" t="str"/>
      <x:c r="H509" s="16" t="str">
        <x:v>N</x:v>
      </x:c>
      <x:c r="I509" s="16" t="str"/>
    </x:row>
    <x:row r="510">
      <x:c r="A510" s="16" t="n">
        <x:v>509</x:v>
      </x:c>
      <x:c r="B510" s="16" t="str">
        <x:v>EXPERIMENT</x:v>
      </x:c>
      <x:c r="C510" s="16" t="str">
        <x:f>Coder_A!C510</x:f>
        <x:v>PILOT_01_E06</x:v>
      </x:c>
      <x:c r="D510" s="16" t="str">
        <x:v>support_items</x:v>
      </x:c>
      <x:c r="E510" s="16" t="str"/>
      <x:c r="F510" s="16" t="str"/>
      <x:c r="G510" s="16" t="str"/>
      <x:c r="H510" s="16" t="str">
        <x:v>N</x:v>
      </x:c>
      <x:c r="I510" s="16" t="str"/>
    </x:row>
    <x:row r="511">
      <x:c r="A511" s="16" t="n">
        <x:v>510</x:v>
      </x:c>
      <x:c r="B511" s="16" t="str">
        <x:v>EXPERIMENT</x:v>
      </x:c>
      <x:c r="C511" s="16" t="str">
        <x:f>Coder_A!C511</x:f>
        <x:v>PILOT_01_E06</x:v>
      </x:c>
      <x:c r="D511" s="16" t="str">
        <x:v>support_test_interactions</x:v>
      </x:c>
      <x:c r="E511" s="16" t="str"/>
      <x:c r="F511" s="16" t="str"/>
      <x:c r="G511" s="16" t="str"/>
      <x:c r="H511" s="16" t="str">
        <x:v>N</x:v>
      </x:c>
      <x:c r="I511" s="16" t="str"/>
    </x:row>
    <x:row r="512">
      <x:c r="A512" s="16" t="n">
        <x:v>511</x:v>
      </x:c>
      <x:c r="B512" s="16" t="str">
        <x:v>EXPERIMENT</x:v>
      </x:c>
      <x:c r="C512" s="16" t="str">
        <x:f>Coder_A!C512</x:f>
        <x:v>PILOT_01_E06</x:v>
      </x:c>
      <x:c r="D512" s="16" t="str">
        <x:v>positive_count</x:v>
      </x:c>
      <x:c r="E512" s="16" t="str"/>
      <x:c r="F512" s="16" t="str"/>
      <x:c r="G512" s="16" t="str"/>
      <x:c r="H512" s="16" t="str">
        <x:v>N</x:v>
      </x:c>
      <x:c r="I512" s="16" t="str"/>
    </x:row>
    <x:row r="513">
      <x:c r="A513" s="16" t="n">
        <x:v>512</x:v>
      </x:c>
      <x:c r="B513" s="16" t="str">
        <x:v>EXPERIMENT</x:v>
      </x:c>
      <x:c r="C513" s="16" t="str">
        <x:f>Coder_A!C513</x:f>
        <x:v>PILOT_01_E06</x:v>
      </x:c>
      <x:c r="D513" s="16" t="str">
        <x:v>negative_count</x:v>
      </x:c>
      <x:c r="E513" s="16" t="str"/>
      <x:c r="F513" s="16" t="str"/>
      <x:c r="G513" s="16" t="str"/>
      <x:c r="H513" s="16" t="str">
        <x:v>N</x:v>
      </x:c>
      <x:c r="I513" s="16" t="str"/>
    </x:row>
    <x:row r="514">
      <x:c r="A514" s="16" t="n">
        <x:v>513</x:v>
      </x:c>
      <x:c r="B514" s="16" t="str">
        <x:v>EXPERIMENT</x:v>
      </x:c>
      <x:c r="C514" s="16" t="str">
        <x:f>Coder_A!C514</x:f>
        <x:v>PILOT_01_E06</x:v>
      </x:c>
      <x:c r="D514" s="16" t="str">
        <x:v>metric_name_original</x:v>
      </x:c>
      <x:c r="E514" s="16" t="str"/>
      <x:c r="F514" s="16" t="str"/>
      <x:c r="G514" s="16" t="str"/>
      <x:c r="H514" s="16" t="str">
        <x:v>N</x:v>
      </x:c>
      <x:c r="I514" s="16" t="str"/>
    </x:row>
    <x:row r="515">
      <x:c r="A515" s="16" t="n">
        <x:v>514</x:v>
      </x:c>
      <x:c r="B515" s="16" t="str">
        <x:v>EXPERIMENT</x:v>
      </x:c>
      <x:c r="C515" s="16" t="str">
        <x:f>Coder_A!C515</x:f>
        <x:v>PILOT_01_E06</x:v>
      </x:c>
      <x:c r="D515" s="16" t="str">
        <x:v>metric_value_original</x:v>
      </x:c>
      <x:c r="E515" s="16" t="str"/>
      <x:c r="F515" s="16" t="str"/>
      <x:c r="G515" s="16" t="str"/>
      <x:c r="H515" s="16" t="str">
        <x:v>N</x:v>
      </x:c>
      <x:c r="I515" s="16" t="str"/>
    </x:row>
    <x:row r="516">
      <x:c r="A516" s="16" t="n">
        <x:v>515</x:v>
      </x:c>
      <x:c r="B516" s="16" t="str">
        <x:v>EXPERIMENT</x:v>
      </x:c>
      <x:c r="C516" s="16" t="str">
        <x:f>Coder_A!C516</x:f>
        <x:v>PILOT_01_E06</x:v>
      </x:c>
      <x:c r="D516" s="16" t="str">
        <x:v>metric_scope</x:v>
      </x:c>
      <x:c r="E516" s="16" t="str"/>
      <x:c r="F516" s="16" t="str"/>
      <x:c r="G516" s="16" t="str"/>
      <x:c r="H516" s="16" t="str">
        <x:v>Y</x:v>
      </x:c>
      <x:c r="I516" s="16" t="str"/>
    </x:row>
    <x:row r="517">
      <x:c r="A517" s="16" t="n">
        <x:v>516</x:v>
      </x:c>
      <x:c r="B517" s="16" t="str">
        <x:v>EXPERIMENT</x:v>
      </x:c>
      <x:c r="C517" s="16" t="str">
        <x:f>Coder_A!C517</x:f>
        <x:v>PILOT_01_E06</x:v>
      </x:c>
      <x:c r="D517" s="16" t="str">
        <x:v>n_seeds</x:v>
      </x:c>
      <x:c r="E517" s="16" t="str"/>
      <x:c r="F517" s="16" t="str"/>
      <x:c r="G517" s="16" t="str"/>
      <x:c r="H517" s="16" t="str">
        <x:v>N</x:v>
      </x:c>
      <x:c r="I517" s="16" t="str"/>
    </x:row>
    <x:row r="518">
      <x:c r="A518" s="16" t="n">
        <x:v>517</x:v>
      </x:c>
      <x:c r="B518" s="16" t="str">
        <x:v>EXPERIMENT</x:v>
      </x:c>
      <x:c r="C518" s="16" t="str">
        <x:f>Coder_A!C518</x:f>
        <x:v>PILOT_01_E06</x:v>
      </x:c>
      <x:c r="D518" s="16" t="str">
        <x:v>seed_values_reported</x:v>
      </x:c>
      <x:c r="E518" s="16" t="str"/>
      <x:c r="F518" s="16" t="str"/>
      <x:c r="G518" s="16" t="str"/>
      <x:c r="H518" s="16" t="str">
        <x:v>N</x:v>
      </x:c>
      <x:c r="I518" s="16" t="str"/>
    </x:row>
    <x:row r="519">
      <x:c r="A519" s="16" t="n">
        <x:v>518</x:v>
      </x:c>
      <x:c r="B519" s="16" t="str">
        <x:v>EXPERIMENT</x:v>
      </x:c>
      <x:c r="C519" s="16" t="str">
        <x:f>Coder_A!C519</x:f>
        <x:v>PILOT_01_E06</x:v>
      </x:c>
      <x:c r="D519" s="16" t="str">
        <x:v>mean_std_reported</x:v>
      </x:c>
      <x:c r="E519" s="16" t="str"/>
      <x:c r="F519" s="16" t="str"/>
      <x:c r="G519" s="16" t="str"/>
      <x:c r="H519" s="16" t="str">
        <x:v>Y</x:v>
      </x:c>
      <x:c r="I519" s="16" t="str"/>
    </x:row>
    <x:row r="520">
      <x:c r="A520" s="16" t="n">
        <x:v>519</x:v>
      </x:c>
      <x:c r="B520" s="16" t="str">
        <x:v>EXPERIMENT</x:v>
      </x:c>
      <x:c r="C520" s="16" t="str">
        <x:f>Coder_A!C520</x:f>
        <x:v>PILOT_01_E06</x:v>
      </x:c>
      <x:c r="D520" s="16" t="str">
        <x:v>confidence_interval</x:v>
      </x:c>
      <x:c r="E520" s="16" t="str"/>
      <x:c r="F520" s="16" t="str"/>
      <x:c r="G520" s="16" t="str"/>
      <x:c r="H520" s="16" t="str">
        <x:v>N</x:v>
      </x:c>
      <x:c r="I520" s="16" t="str"/>
    </x:row>
    <x:row r="521">
      <x:c r="A521" s="16" t="n">
        <x:v>520</x:v>
      </x:c>
      <x:c r="B521" s="16" t="str">
        <x:v>EXPERIMENT</x:v>
      </x:c>
      <x:c r="C521" s="16" t="str">
        <x:f>Coder_A!C521</x:f>
        <x:v>PILOT_01_E06</x:v>
      </x:c>
      <x:c r="D521" s="16" t="str">
        <x:v>bootstrap_unit</x:v>
      </x:c>
      <x:c r="E521" s="16" t="str"/>
      <x:c r="F521" s="16" t="str"/>
      <x:c r="G521" s="16" t="str"/>
      <x:c r="H521" s="16" t="str">
        <x:v>Y</x:v>
      </x:c>
      <x:c r="I521" s="16" t="str"/>
    </x:row>
    <x:row r="522">
      <x:c r="A522" s="16" t="n">
        <x:v>521</x:v>
      </x:c>
      <x:c r="B522" s="16" t="str">
        <x:v>EXPERIMENT</x:v>
      </x:c>
      <x:c r="C522" s="16" t="str">
        <x:f>Coder_A!C522</x:f>
        <x:v>PILOT_01_E06</x:v>
      </x:c>
      <x:c r="D522" s="16" t="str">
        <x:v>statistical_test</x:v>
      </x:c>
      <x:c r="E522" s="16" t="str"/>
      <x:c r="F522" s="16" t="str"/>
      <x:c r="G522" s="16" t="str"/>
      <x:c r="H522" s="16" t="str">
        <x:v>N</x:v>
      </x:c>
      <x:c r="I522" s="16" t="str"/>
    </x:row>
    <x:row r="523">
      <x:c r="A523" s="16" t="n">
        <x:v>522</x:v>
      </x:c>
      <x:c r="B523" s="16" t="str">
        <x:v>EXPERIMENT</x:v>
      </x:c>
      <x:c r="C523" s="16" t="str">
        <x:f>Coder_A!C523</x:f>
        <x:v>PILOT_01_E06</x:v>
      </x:c>
      <x:c r="D523" s="16" t="str">
        <x:v>multiple_comparison_correction</x:v>
      </x:c>
      <x:c r="E523" s="16" t="str"/>
      <x:c r="F523" s="16" t="str"/>
      <x:c r="G523" s="16" t="str"/>
      <x:c r="H523" s="16" t="str">
        <x:v>N</x:v>
      </x:c>
      <x:c r="I523" s="16" t="str"/>
    </x:row>
    <x:row r="524">
      <x:c r="A524" s="16" t="n">
        <x:v>523</x:v>
      </x:c>
      <x:c r="B524" s="16" t="str">
        <x:v>EXPERIMENT</x:v>
      </x:c>
      <x:c r="C524" s="16" t="str">
        <x:f>Coder_A!C524</x:f>
        <x:v>PILOT_01_E06</x:v>
      </x:c>
      <x:c r="D524" s="16" t="str">
        <x:v>effect_size</x:v>
      </x:c>
      <x:c r="E524" s="16" t="str"/>
      <x:c r="F524" s="16" t="str"/>
      <x:c r="G524" s="16" t="str"/>
      <x:c r="H524" s="16" t="str">
        <x:v>N</x:v>
      </x:c>
      <x:c r="I524" s="16" t="str"/>
    </x:row>
    <x:row r="525">
      <x:c r="A525" s="16" t="n">
        <x:v>524</x:v>
      </x:c>
      <x:c r="B525" s="16" t="str">
        <x:v>EXPERIMENT</x:v>
      </x:c>
      <x:c r="C525" s="16" t="str">
        <x:f>Coder_A!C525</x:f>
        <x:v>PILOT_01_E06</x:v>
      </x:c>
      <x:c r="D525" s="16" t="str">
        <x:v>paired_design</x:v>
      </x:c>
      <x:c r="E525" s="16" t="str"/>
      <x:c r="F525" s="16" t="str"/>
      <x:c r="G525" s="16" t="str"/>
      <x:c r="H525" s="16" t="str">
        <x:v>Y</x:v>
      </x:c>
      <x:c r="I525" s="16" t="str"/>
    </x:row>
    <x:row r="526">
      <x:c r="A526" s="16" t="n">
        <x:v>525</x:v>
      </x:c>
      <x:c r="B526" s="16" t="str">
        <x:v>EXPERIMENT</x:v>
      </x:c>
      <x:c r="C526" s="16" t="str">
        <x:f>Coder_A!C526</x:f>
        <x:v>PILOT_01_E06</x:v>
      </x:c>
      <x:c r="D526" s="16" t="str">
        <x:v>significance_threshold</x:v>
      </x:c>
      <x:c r="E526" s="16" t="str"/>
      <x:c r="F526" s="16" t="str"/>
      <x:c r="G526" s="16" t="str"/>
      <x:c r="H526" s="16" t="str">
        <x:v>N</x:v>
      </x:c>
      <x:c r="I526" s="16" t="str"/>
    </x:row>
    <x:row r="527">
      <x:c r="A527" s="16" t="n">
        <x:v>526</x:v>
      </x:c>
      <x:c r="B527" s="16" t="str">
        <x:v>EXPERIMENT</x:v>
      </x:c>
      <x:c r="C527" s="16" t="str">
        <x:f>Coder_A!C527</x:f>
        <x:v>PILOT_01_E06</x:v>
      </x:c>
      <x:c r="D527" s="16" t="str">
        <x:v>parameter_count</x:v>
      </x:c>
      <x:c r="E527" s="16" t="str"/>
      <x:c r="F527" s="16" t="str"/>
      <x:c r="G527" s="16" t="str"/>
      <x:c r="H527" s="16" t="str">
        <x:v>N</x:v>
      </x:c>
      <x:c r="I527" s="16" t="str"/>
    </x:row>
    <x:row r="528">
      <x:c r="A528" s="16" t="n">
        <x:v>527</x:v>
      </x:c>
      <x:c r="B528" s="16" t="str">
        <x:v>EXPERIMENT</x:v>
      </x:c>
      <x:c r="C528" s="16" t="str">
        <x:f>Coder_A!C528</x:f>
        <x:v>PILOT_01_E06</x:v>
      </x:c>
      <x:c r="D528" s="16" t="str">
        <x:v>train_time</x:v>
      </x:c>
      <x:c r="E528" s="16" t="str"/>
      <x:c r="F528" s="16" t="str"/>
      <x:c r="G528" s="16" t="str"/>
      <x:c r="H528" s="16" t="str">
        <x:v>N</x:v>
      </x:c>
      <x:c r="I528" s="16" t="str"/>
    </x:row>
    <x:row r="529">
      <x:c r="A529" s="16" t="n">
        <x:v>528</x:v>
      </x:c>
      <x:c r="B529" s="16" t="str">
        <x:v>EXPERIMENT</x:v>
      </x:c>
      <x:c r="C529" s="16" t="str">
        <x:f>Coder_A!C529</x:f>
        <x:v>PILOT_01_E06</x:v>
      </x:c>
      <x:c r="D529" s="16" t="str">
        <x:v>time_per_epoch</x:v>
      </x:c>
      <x:c r="E529" s="16" t="str"/>
      <x:c r="F529" s="16" t="str"/>
      <x:c r="G529" s="16" t="str"/>
      <x:c r="H529" s="16" t="str">
        <x:v>N</x:v>
      </x:c>
      <x:c r="I529" s="16" t="str"/>
    </x:row>
    <x:row r="530">
      <x:c r="A530" s="16" t="n">
        <x:v>529</x:v>
      </x:c>
      <x:c r="B530" s="16" t="str">
        <x:v>EXPERIMENT</x:v>
      </x:c>
      <x:c r="C530" s="16" t="str">
        <x:f>Coder_A!C530</x:f>
        <x:v>PILOT_01_E06</x:v>
      </x:c>
      <x:c r="D530" s="16" t="str">
        <x:v>inference_latency</x:v>
      </x:c>
      <x:c r="E530" s="16" t="str"/>
      <x:c r="F530" s="16" t="str"/>
      <x:c r="G530" s="16" t="str"/>
      <x:c r="H530" s="16" t="str">
        <x:v>N</x:v>
      </x:c>
      <x:c r="I530" s="16" t="str"/>
    </x:row>
    <x:row r="531">
      <x:c r="A531" s="16" t="n">
        <x:v>530</x:v>
      </x:c>
      <x:c r="B531" s="16" t="str">
        <x:v>EXPERIMENT</x:v>
      </x:c>
      <x:c r="C531" s="16" t="str">
        <x:f>Coder_A!C531</x:f>
        <x:v>PILOT_01_E06</x:v>
      </x:c>
      <x:c r="D531" s="16" t="str">
        <x:v>throughput</x:v>
      </x:c>
      <x:c r="E531" s="16" t="str"/>
      <x:c r="F531" s="16" t="str"/>
      <x:c r="G531" s="16" t="str"/>
      <x:c r="H531" s="16" t="str">
        <x:v>N</x:v>
      </x:c>
      <x:c r="I531" s="16" t="str"/>
    </x:row>
    <x:row r="532">
      <x:c r="A532" s="16" t="n">
        <x:v>531</x:v>
      </x:c>
      <x:c r="B532" s="16" t="str">
        <x:v>EXPERIMENT</x:v>
      </x:c>
      <x:c r="C532" s="16" t="str">
        <x:f>Coder_A!C532</x:f>
        <x:v>PILOT_01_E06</x:v>
      </x:c>
      <x:c r="D532" s="16" t="str">
        <x:v>cpu_ram</x:v>
      </x:c>
      <x:c r="E532" s="16" t="str"/>
      <x:c r="F532" s="16" t="str"/>
      <x:c r="G532" s="16" t="str"/>
      <x:c r="H532" s="16" t="str">
        <x:v>N</x:v>
      </x:c>
      <x:c r="I532" s="16" t="str"/>
    </x:row>
    <x:row r="533">
      <x:c r="A533" s="16" t="n">
        <x:v>532</x:v>
      </x:c>
      <x:c r="B533" s="16" t="str">
        <x:v>EXPERIMENT</x:v>
      </x:c>
      <x:c r="C533" s="16" t="str">
        <x:f>Coder_A!C533</x:f>
        <x:v>PILOT_01_E06</x:v>
      </x:c>
      <x:c r="D533" s="16" t="str">
        <x:v>gpu_vram</x:v>
      </x:c>
      <x:c r="E533" s="16" t="str"/>
      <x:c r="F533" s="16" t="str"/>
      <x:c r="G533" s="16" t="str"/>
      <x:c r="H533" s="16" t="str">
        <x:v>N</x:v>
      </x:c>
      <x:c r="I533" s="16" t="str"/>
    </x:row>
    <x:row r="534">
      <x:c r="A534" s="16" t="n">
        <x:v>533</x:v>
      </x:c>
      <x:c r="B534" s="16" t="str">
        <x:v>EXPERIMENT</x:v>
      </x:c>
      <x:c r="C534" s="16" t="str">
        <x:f>Coder_A!C534</x:f>
        <x:v>PILOT_01_E06</x:v>
      </x:c>
      <x:c r="D534" s="16" t="str">
        <x:v>hardware</x:v>
      </x:c>
      <x:c r="E534" s="16" t="str"/>
      <x:c r="F534" s="16" t="str"/>
      <x:c r="G534" s="16" t="str"/>
      <x:c r="H534" s="16" t="str">
        <x:v>N</x:v>
      </x:c>
      <x:c r="I534" s="16" t="str"/>
    </x:row>
    <x:row r="535">
      <x:c r="A535" s="16" t="n">
        <x:v>534</x:v>
      </x:c>
      <x:c r="B535" s="16" t="str">
        <x:v>EXPERIMENT</x:v>
      </x:c>
      <x:c r="C535" s="16" t="str">
        <x:f>Coder_A!C535</x:f>
        <x:v>PILOT_01_E06</x:v>
      </x:c>
      <x:c r="D535" s="16" t="str">
        <x:v>graph_construction_time</x:v>
      </x:c>
      <x:c r="E535" s="16" t="str"/>
      <x:c r="F535" s="16" t="str"/>
      <x:c r="G535" s="16" t="str"/>
      <x:c r="H535" s="16" t="str">
        <x:v>N</x:v>
      </x:c>
      <x:c r="I535" s="16" t="str"/>
    </x:row>
    <x:row r="536">
      <x:c r="A536" s="16" t="n">
        <x:v>535</x:v>
      </x:c>
      <x:c r="B536" s="16" t="str">
        <x:v>EXPERIMENT</x:v>
      </x:c>
      <x:c r="C536" s="16" t="str">
        <x:f>Coder_A!C536</x:f>
        <x:v>PILOT_01_E06</x:v>
      </x:c>
      <x:c r="D536" s="16" t="str">
        <x:v>complexity_formula</x:v>
      </x:c>
      <x:c r="E536" s="16" t="str"/>
      <x:c r="F536" s="16" t="str"/>
      <x:c r="G536" s="16" t="str"/>
      <x:c r="H536" s="16" t="str">
        <x:v>N</x:v>
      </x:c>
      <x:c r="I536" s="16" t="str"/>
    </x:row>
    <x:row r="537">
      <x:c r="A537" s="16" t="n">
        <x:v>536</x:v>
      </x:c>
      <x:c r="B537" s="16" t="str">
        <x:v>EXPERIMENT</x:v>
      </x:c>
      <x:c r="C537" s="16" t="str">
        <x:f>Coder_A!C537</x:f>
        <x:v>PILOT_01_E06</x:v>
      </x:c>
      <x:c r="D537" s="16" t="str">
        <x:v>scale_up_experiment</x:v>
      </x:c>
      <x:c r="E537" s="16" t="str"/>
      <x:c r="F537" s="16" t="str"/>
      <x:c r="G537" s="16" t="str"/>
      <x:c r="H537" s="16" t="str">
        <x:v>Y</x:v>
      </x:c>
      <x:c r="I537" s="16" t="str"/>
    </x:row>
    <x:row r="538">
      <x:c r="A538" s="16" t="n">
        <x:v>537</x:v>
      </x:c>
      <x:c r="B538" s="16" t="str">
        <x:v>EXPERIMENT</x:v>
      </x:c>
      <x:c r="C538" s="16" t="str">
        <x:f>Coder_A!C538</x:f>
        <x:v>PILOT_01_E06</x:v>
      </x:c>
      <x:c r="D538" s="16" t="str">
        <x:v>oom_timeout_reported</x:v>
      </x:c>
      <x:c r="E538" s="16" t="str"/>
      <x:c r="F538" s="16" t="str"/>
      <x:c r="G538" s="16" t="str"/>
      <x:c r="H538" s="16" t="str">
        <x:v>Y</x:v>
      </x:c>
      <x:c r="I538" s="16" t="str"/>
    </x:row>
    <x:row r="539">
      <x:c r="A539" s="16" t="n">
        <x:v>538</x:v>
      </x:c>
      <x:c r="B539" s="16" t="str">
        <x:v>EXPERIMENT</x:v>
      </x:c>
      <x:c r="C539" s="16" t="str">
        <x:f>Coder_A!C539</x:f>
        <x:v>PILOT_01_E07</x:v>
      </x:c>
      <x:c r="D539" s="16" t="str">
        <x:v>dataset_name</x:v>
      </x:c>
      <x:c r="E539" s="16" t="str"/>
      <x:c r="F539" s="16" t="str"/>
      <x:c r="G539" s="16" t="str"/>
      <x:c r="H539" s="16" t="str">
        <x:v>N</x:v>
      </x:c>
      <x:c r="I539" s="16" t="str"/>
    </x:row>
    <x:row r="540">
      <x:c r="A540" s="16" t="n">
        <x:v>539</x:v>
      </x:c>
      <x:c r="B540" s="16" t="str">
        <x:v>EXPERIMENT</x:v>
      </x:c>
      <x:c r="C540" s="16" t="str">
        <x:f>Coder_A!C540</x:f>
        <x:v>PILOT_01_E07</x:v>
      </x:c>
      <x:c r="D540" s="16" t="str">
        <x:v>dataset_version</x:v>
      </x:c>
      <x:c r="E540" s="16" t="str"/>
      <x:c r="F540" s="16" t="str"/>
      <x:c r="G540" s="16" t="str"/>
      <x:c r="H540" s="16" t="str">
        <x:v>N</x:v>
      </x:c>
      <x:c r="I540" s="16" t="str"/>
    </x:row>
    <x:row r="541">
      <x:c r="A541" s="16" t="n">
        <x:v>540</x:v>
      </x:c>
      <x:c r="B541" s="16" t="str">
        <x:v>EXPERIMENT</x:v>
      </x:c>
      <x:c r="C541" s="16" t="str">
        <x:f>Coder_A!C541</x:f>
        <x:v>PILOT_01_E07</x:v>
      </x:c>
      <x:c r="D541" s="16" t="str">
        <x:v>n_learners_reported</x:v>
      </x:c>
      <x:c r="E541" s="16" t="str"/>
      <x:c r="F541" s="16" t="str"/>
      <x:c r="G541" s="16" t="str"/>
      <x:c r="H541" s="16" t="str">
        <x:v>N</x:v>
      </x:c>
      <x:c r="I541" s="16" t="str"/>
    </x:row>
    <x:row r="542">
      <x:c r="A542" s="16" t="n">
        <x:v>541</x:v>
      </x:c>
      <x:c r="B542" s="16" t="str">
        <x:v>EXPERIMENT</x:v>
      </x:c>
      <x:c r="C542" s="16" t="str">
        <x:f>Coder_A!C542</x:f>
        <x:v>PILOT_01_E07</x:v>
      </x:c>
      <x:c r="D542" s="16" t="str">
        <x:v>n_items_reported</x:v>
      </x:c>
      <x:c r="E542" s="16" t="str"/>
      <x:c r="F542" s="16" t="str"/>
      <x:c r="G542" s="16" t="str"/>
      <x:c r="H542" s="16" t="str">
        <x:v>N</x:v>
      </x:c>
      <x:c r="I542" s="16" t="str"/>
    </x:row>
    <x:row r="543">
      <x:c r="A543" s="16" t="n">
        <x:v>542</x:v>
      </x:c>
      <x:c r="B543" s="16" t="str">
        <x:v>EXPERIMENT</x:v>
      </x:c>
      <x:c r="C543" s="16" t="str">
        <x:f>Coder_A!C543</x:f>
        <x:v>PILOT_01_E07</x:v>
      </x:c>
      <x:c r="D543" s="16" t="str">
        <x:v>n_kcs_reported</x:v>
      </x:c>
      <x:c r="E543" s="16" t="str"/>
      <x:c r="F543" s="16" t="str"/>
      <x:c r="G543" s="16" t="str"/>
      <x:c r="H543" s="16" t="str">
        <x:v>N</x:v>
      </x:c>
      <x:c r="I543" s="16" t="str"/>
    </x:row>
    <x:row r="544">
      <x:c r="A544" s="16" t="n">
        <x:v>543</x:v>
      </x:c>
      <x:c r="B544" s="16" t="str">
        <x:v>EXPERIMENT</x:v>
      </x:c>
      <x:c r="C544" s="16" t="str">
        <x:f>Coder_A!C544</x:f>
        <x:v>PILOT_01_E07</x:v>
      </x:c>
      <x:c r="D544" s="16" t="str">
        <x:v>n_interactions_reported</x:v>
      </x:c>
      <x:c r="E544" s="16" t="str"/>
      <x:c r="F544" s="16" t="str"/>
      <x:c r="G544" s="16" t="str"/>
      <x:c r="H544" s="16" t="str">
        <x:v>N</x:v>
      </x:c>
      <x:c r="I544" s="16" t="str"/>
    </x:row>
    <x:row r="545">
      <x:c r="A545" s="16" t="n">
        <x:v>544</x:v>
      </x:c>
      <x:c r="B545" s="16" t="str">
        <x:v>EXPERIMENT</x:v>
      </x:c>
      <x:c r="C545" s="16" t="str">
        <x:f>Coder_A!C545</x:f>
        <x:v>PILOT_01_E07</x:v>
      </x:c>
      <x:c r="D545" s="16" t="str">
        <x:v>multi_skill_present</x:v>
      </x:c>
      <x:c r="E545" s="16" t="str"/>
      <x:c r="F545" s="16" t="str"/>
      <x:c r="G545" s="16" t="str"/>
      <x:c r="H545" s="16" t="str">
        <x:v>Y</x:v>
      </x:c>
      <x:c r="I545" s="16" t="str"/>
    </x:row>
    <x:row r="546">
      <x:c r="A546" s="16" t="n">
        <x:v>545</x:v>
      </x:c>
      <x:c r="B546" s="16" t="str">
        <x:v>EXPERIMENT</x:v>
      </x:c>
      <x:c r="C546" s="16" t="str">
        <x:f>Coder_A!C546</x:f>
        <x:v>PILOT_01_E07</x:v>
      </x:c>
      <x:c r="D546" s="16" t="str">
        <x:v>multi_skill_handling</x:v>
      </x:c>
      <x:c r="E546" s="16" t="str"/>
      <x:c r="F546" s="16" t="str"/>
      <x:c r="G546" s="16" t="str"/>
      <x:c r="H546" s="16" t="str">
        <x:v>N</x:v>
      </x:c>
      <x:c r="I546" s="16" t="str"/>
    </x:row>
    <x:row r="547">
      <x:c r="A547" s="16" t="n">
        <x:v>546</x:v>
      </x:c>
      <x:c r="B547" s="16" t="str">
        <x:v>EXPERIMENT</x:v>
      </x:c>
      <x:c r="C547" s="16" t="str">
        <x:f>Coder_A!C547</x:f>
        <x:v>PILOT_01_E07</x:v>
      </x:c>
      <x:c r="D547" s="16" t="str">
        <x:v>sequence_truncation</x:v>
      </x:c>
      <x:c r="E547" s="16" t="str"/>
      <x:c r="F547" s="16" t="str"/>
      <x:c r="G547" s="16" t="str"/>
      <x:c r="H547" s="16" t="str">
        <x:v>N</x:v>
      </x:c>
      <x:c r="I547" s="16" t="str"/>
    </x:row>
    <x:row r="548">
      <x:c r="A548" s="16" t="n">
        <x:v>547</x:v>
      </x:c>
      <x:c r="B548" s="16" t="str">
        <x:v>EXPERIMENT</x:v>
      </x:c>
      <x:c r="C548" s="16" t="str">
        <x:f>Coder_A!C548</x:f>
        <x:v>PILOT_01_E07</x:v>
      </x:c>
      <x:c r="D548" s="16" t="str">
        <x:v>min_sequence_filter</x:v>
      </x:c>
      <x:c r="E548" s="16" t="str"/>
      <x:c r="F548" s="16" t="str"/>
      <x:c r="G548" s="16" t="str"/>
      <x:c r="H548" s="16" t="str">
        <x:v>N</x:v>
      </x:c>
      <x:c r="I548" s="16" t="str"/>
    </x:row>
    <x:row r="549">
      <x:c r="A549" s="16" t="n">
        <x:v>548</x:v>
      </x:c>
      <x:c r="B549" s="16" t="str">
        <x:v>EXPERIMENT</x:v>
      </x:c>
      <x:c r="C549" s="16" t="str">
        <x:f>Coder_A!C549</x:f>
        <x:v>PILOT_01_E07</x:v>
      </x:c>
      <x:c r="D549" s="16" t="str">
        <x:v>timestamp_used</x:v>
      </x:c>
      <x:c r="E549" s="16" t="str"/>
      <x:c r="F549" s="16" t="str"/>
      <x:c r="G549" s="16" t="str"/>
      <x:c r="H549" s="16" t="str">
        <x:v>Y</x:v>
      </x:c>
      <x:c r="I549" s="16" t="str"/>
    </x:row>
    <x:row r="550">
      <x:c r="A550" s="16" t="n">
        <x:v>549</x:v>
      </x:c>
      <x:c r="B550" s="16" t="str">
        <x:v>EXPERIMENT</x:v>
      </x:c>
      <x:c r="C550" s="16" t="str">
        <x:f>Coder_A!C550</x:f>
        <x:v>PILOT_01_E07</x:v>
      </x:c>
      <x:c r="D550" s="16" t="str">
        <x:v>preprocessing_code_available</x:v>
      </x:c>
      <x:c r="E550" s="16" t="str"/>
      <x:c r="F550" s="16" t="str"/>
      <x:c r="G550" s="16" t="str"/>
      <x:c r="H550" s="16" t="str">
        <x:v>Y</x:v>
      </x:c>
      <x:c r="I550" s="16" t="str"/>
    </x:row>
    <x:row r="551">
      <x:c r="A551" s="16" t="n">
        <x:v>550</x:v>
      </x:c>
      <x:c r="B551" s="16" t="str">
        <x:v>EXPERIMENT</x:v>
      </x:c>
      <x:c r="C551" s="16" t="str">
        <x:f>Coder_A!C551</x:f>
        <x:v>PILOT_01_E07</x:v>
      </x:c>
      <x:c r="D551" s="16" t="str">
        <x:v>split_type</x:v>
      </x:c>
      <x:c r="E551" s="16" t="str"/>
      <x:c r="F551" s="16" t="str"/>
      <x:c r="G551" s="16" t="str"/>
      <x:c r="H551" s="16" t="str">
        <x:v>Y</x:v>
      </x:c>
      <x:c r="I551" s="16" t="str"/>
    </x:row>
    <x:row r="552">
      <x:c r="A552" s="16" t="n">
        <x:v>551</x:v>
      </x:c>
      <x:c r="B552" s="16" t="str">
        <x:v>EXPERIMENT</x:v>
      </x:c>
      <x:c r="C552" s="16" t="str">
        <x:f>Coder_A!C552</x:f>
        <x:v>PILOT_01_E07</x:v>
      </x:c>
      <x:c r="D552" s="16" t="str">
        <x:v>split_unit_original</x:v>
      </x:c>
      <x:c r="E552" s="16" t="str"/>
      <x:c r="F552" s="16" t="str"/>
      <x:c r="G552" s="16" t="str"/>
      <x:c r="H552" s="16" t="str">
        <x:v>N</x:v>
      </x:c>
      <x:c r="I552" s="16" t="str"/>
    </x:row>
    <x:row r="553">
      <x:c r="A553" s="16" t="n">
        <x:v>552</x:v>
      </x:c>
      <x:c r="B553" s="16" t="str">
        <x:v>EXPERIMENT</x:v>
      </x:c>
      <x:c r="C553" s="16" t="str">
        <x:f>Coder_A!C553</x:f>
        <x:v>PILOT_01_E07</x:v>
      </x:c>
      <x:c r="D553" s="16" t="str">
        <x:v>train_fraction</x:v>
      </x:c>
      <x:c r="E553" s="16" t="str"/>
      <x:c r="F553" s="16" t="str"/>
      <x:c r="G553" s="16" t="str"/>
      <x:c r="H553" s="16" t="str">
        <x:v>N</x:v>
      </x:c>
      <x:c r="I553" s="16" t="str"/>
    </x:row>
    <x:row r="554">
      <x:c r="A554" s="16" t="n">
        <x:v>553</x:v>
      </x:c>
      <x:c r="B554" s="16" t="str">
        <x:v>EXPERIMENT</x:v>
      </x:c>
      <x:c r="C554" s="16" t="str">
        <x:f>Coder_A!C554</x:f>
        <x:v>PILOT_01_E07</x:v>
      </x:c>
      <x:c r="D554" s="16" t="str">
        <x:v>validation_fraction</x:v>
      </x:c>
      <x:c r="E554" s="16" t="str"/>
      <x:c r="F554" s="16" t="str"/>
      <x:c r="G554" s="16" t="str"/>
      <x:c r="H554" s="16" t="str">
        <x:v>N</x:v>
      </x:c>
      <x:c r="I554" s="16" t="str"/>
    </x:row>
    <x:row r="555">
      <x:c r="A555" s="16" t="n">
        <x:v>554</x:v>
      </x:c>
      <x:c r="B555" s="16" t="str">
        <x:v>EXPERIMENT</x:v>
      </x:c>
      <x:c r="C555" s="16" t="str">
        <x:f>Coder_A!C555</x:f>
        <x:v>PILOT_01_E07</x:v>
      </x:c>
      <x:c r="D555" s="16" t="str">
        <x:v>test_fraction</x:v>
      </x:c>
      <x:c r="E555" s="16" t="str"/>
      <x:c r="F555" s="16" t="str"/>
      <x:c r="G555" s="16" t="str"/>
      <x:c r="H555" s="16" t="str">
        <x:v>N</x:v>
      </x:c>
      <x:c r="I555" s="16" t="str"/>
    </x:row>
    <x:row r="556">
      <x:c r="A556" s="16" t="n">
        <x:v>555</x:v>
      </x:c>
      <x:c r="B556" s="16" t="str">
        <x:v>EXPERIMENT</x:v>
      </x:c>
      <x:c r="C556" s="16" t="str">
        <x:f>Coder_A!C556</x:f>
        <x:v>PILOT_01_E07</x:v>
      </x:c>
      <x:c r="D556" s="16" t="str">
        <x:v>validation_set_separate</x:v>
      </x:c>
      <x:c r="E556" s="16" t="str"/>
      <x:c r="F556" s="16" t="str"/>
      <x:c r="G556" s="16" t="str"/>
      <x:c r="H556" s="16" t="str">
        <x:v>Y</x:v>
      </x:c>
      <x:c r="I556" s="16" t="str"/>
    </x:row>
    <x:row r="557">
      <x:c r="A557" s="16" t="n">
        <x:v>556</x:v>
      </x:c>
      <x:c r="B557" s="16" t="str">
        <x:v>EXPERIMENT</x:v>
      </x:c>
      <x:c r="C557" s="16" t="str">
        <x:f>Coder_A!C557</x:f>
        <x:v>PILOT_01_E07</x:v>
      </x:c>
      <x:c r="D557" s="16" t="str">
        <x:v>early_stopping_validation_only</x:v>
      </x:c>
      <x:c r="E557" s="16" t="str"/>
      <x:c r="F557" s="16" t="str"/>
      <x:c r="G557" s="16" t="str"/>
      <x:c r="H557" s="16" t="str">
        <x:v>Y</x:v>
      </x:c>
      <x:c r="I557" s="16" t="str"/>
    </x:row>
    <x:row r="558">
      <x:c r="A558" s="16" t="n">
        <x:v>557</x:v>
      </x:c>
      <x:c r="B558" s="16" t="str">
        <x:v>EXPERIMENT</x:v>
      </x:c>
      <x:c r="C558" s="16" t="str">
        <x:f>Coder_A!C558</x:f>
        <x:v>PILOT_01_E07</x:v>
      </x:c>
      <x:c r="D558" s="16" t="str">
        <x:v>graph_train_only</x:v>
      </x:c>
      <x:c r="E558" s="16" t="str"/>
      <x:c r="F558" s="16" t="str"/>
      <x:c r="G558" s="16" t="str"/>
      <x:c r="H558" s="16" t="str">
        <x:v>Y</x:v>
      </x:c>
      <x:c r="I558" s="16" t="str"/>
    </x:row>
    <x:row r="559">
      <x:c r="A559" s="16" t="n">
        <x:v>558</x:v>
      </x:c>
      <x:c r="B559" s="16" t="str">
        <x:v>EXPERIMENT</x:v>
      </x:c>
      <x:c r="C559" s="16" t="str">
        <x:f>Coder_A!C559</x:f>
        <x:v>PILOT_01_E07</x:v>
      </x:c>
      <x:c r="D559" s="16" t="str">
        <x:v>normalization_train_only</x:v>
      </x:c>
      <x:c r="E559" s="16" t="str"/>
      <x:c r="F559" s="16" t="str"/>
      <x:c r="G559" s="16" t="str"/>
      <x:c r="H559" s="16" t="str">
        <x:v>Y</x:v>
      </x:c>
      <x:c r="I559" s="16" t="str"/>
    </x:row>
    <x:row r="560">
      <x:c r="A560" s="16" t="n">
        <x:v>559</x:v>
      </x:c>
      <x:c r="B560" s="16" t="str">
        <x:v>EXPERIMENT</x:v>
      </x:c>
      <x:c r="C560" s="16" t="str">
        <x:f>Coder_A!C560</x:f>
        <x:v>PILOT_01_E07</x:v>
      </x:c>
      <x:c r="D560" s="16" t="str">
        <x:v>sparse_strata_train_only</x:v>
      </x:c>
      <x:c r="E560" s="16" t="str"/>
      <x:c r="F560" s="16" t="str"/>
      <x:c r="G560" s="16" t="str"/>
      <x:c r="H560" s="16" t="str">
        <x:v>Y</x:v>
      </x:c>
      <x:c r="I560" s="16" t="str"/>
    </x:row>
    <x:row r="561">
      <x:c r="A561" s="16" t="n">
        <x:v>560</x:v>
      </x:c>
      <x:c r="B561" s="16" t="str">
        <x:v>EXPERIMENT</x:v>
      </x:c>
      <x:c r="C561" s="16" t="str">
        <x:f>Coder_A!C561</x:f>
        <x:v>PILOT_01_E07</x:v>
      </x:c>
      <x:c r="D561" s="16" t="str">
        <x:v>temporal_alignment_audited</x:v>
      </x:c>
      <x:c r="E561" s="16" t="str"/>
      <x:c r="F561" s="16" t="str"/>
      <x:c r="G561" s="16" t="str"/>
      <x:c r="H561" s="16" t="str">
        <x:v>Y</x:v>
      </x:c>
      <x:c r="I561" s="16" t="str"/>
    </x:row>
    <x:row r="562">
      <x:c r="A562" s="16" t="n">
        <x:v>561</x:v>
      </x:c>
      <x:c r="B562" s="16" t="str">
        <x:v>EXPERIMENT</x:v>
      </x:c>
      <x:c r="C562" s="16" t="str">
        <x:f>Coder_A!C562</x:f>
        <x:v>PILOT_01_E07</x:v>
      </x:c>
      <x:c r="D562" s="16" t="str">
        <x:v>duplicate_entity_leakage_checked</x:v>
      </x:c>
      <x:c r="E562" s="16" t="str"/>
      <x:c r="F562" s="16" t="str"/>
      <x:c r="G562" s="16" t="str"/>
      <x:c r="H562" s="16" t="str">
        <x:v>Y</x:v>
      </x:c>
      <x:c r="I562" s="16" t="str"/>
    </x:row>
    <x:row r="563">
      <x:c r="A563" s="16" t="n">
        <x:v>562</x:v>
      </x:c>
      <x:c r="B563" s="16" t="str">
        <x:v>EXPERIMENT</x:v>
      </x:c>
      <x:c r="C563" s="16" t="str">
        <x:f>Coder_A!C563</x:f>
        <x:v>PILOT_01_E07</x:v>
      </x:c>
      <x:c r="D563" s="16" t="str">
        <x:v>sparsity_construct</x:v>
      </x:c>
      <x:c r="E563" s="16" t="str"/>
      <x:c r="F563" s="16" t="str"/>
      <x:c r="G563" s="16" t="str"/>
      <x:c r="H563" s="16" t="str">
        <x:v>Y</x:v>
      </x:c>
      <x:c r="I563" s="16" t="str"/>
    </x:row>
    <x:row r="564">
      <x:c r="A564" s="16" t="n">
        <x:v>563</x:v>
      </x:c>
      <x:c r="B564" s="16" t="str">
        <x:v>EXPERIMENT</x:v>
      </x:c>
      <x:c r="C564" s="16" t="str">
        <x:f>Coder_A!C564</x:f>
        <x:v>PILOT_01_E07</x:v>
      </x:c>
      <x:c r="D564" s="16" t="str">
        <x:v>sparse_definition_original</x:v>
      </x:c>
      <x:c r="E564" s="16" t="str"/>
      <x:c r="F564" s="16" t="str"/>
      <x:c r="G564" s="16" t="str"/>
      <x:c r="H564" s="16" t="str">
        <x:v>N</x:v>
      </x:c>
      <x:c r="I564" s="16" t="str"/>
    </x:row>
    <x:row r="565">
      <x:c r="A565" s="16" t="n">
        <x:v>564</x:v>
      </x:c>
      <x:c r="B565" s="16" t="str">
        <x:v>EXPERIMENT</x:v>
      </x:c>
      <x:c r="C565" s="16" t="str">
        <x:f>Coder_A!C565</x:f>
        <x:v>PILOT_01_E07</x:v>
      </x:c>
      <x:c r="D565" s="16" t="str">
        <x:v>sparse_threshold_original</x:v>
      </x:c>
      <x:c r="E565" s="16" t="str"/>
      <x:c r="F565" s="16" t="str"/>
      <x:c r="G565" s="16" t="str"/>
      <x:c r="H565" s="16" t="str">
        <x:v>N</x:v>
      </x:c>
      <x:c r="I565" s="16" t="str"/>
    </x:row>
    <x:row r="566">
      <x:c r="A566" s="16" t="n">
        <x:v>565</x:v>
      </x:c>
      <x:c r="B566" s="16" t="str">
        <x:v>EXPERIMENT</x:v>
      </x:c>
      <x:c r="C566" s="16" t="str">
        <x:f>Coder_A!C566</x:f>
        <x:v>PILOT_01_E07</x:v>
      </x:c>
      <x:c r="D566" s="16" t="str">
        <x:v>threshold_source</x:v>
      </x:c>
      <x:c r="E566" s="16" t="str"/>
      <x:c r="F566" s="16" t="str"/>
      <x:c r="G566" s="16" t="str"/>
      <x:c r="H566" s="16" t="str">
        <x:v>Y</x:v>
      </x:c>
      <x:c r="I566" s="16" t="str"/>
    </x:row>
    <x:row r="567">
      <x:c r="A567" s="16" t="n">
        <x:v>566</x:v>
      </x:c>
      <x:c r="B567" s="16" t="str">
        <x:v>EXPERIMENT</x:v>
      </x:c>
      <x:c r="C567" s="16" t="str">
        <x:f>Coder_A!C567</x:f>
        <x:v>PILOT_01_E07</x:v>
      </x:c>
      <x:c r="D567" s="16" t="str">
        <x:v>frequency_computed_on</x:v>
      </x:c>
      <x:c r="E567" s="16" t="str"/>
      <x:c r="F567" s="16" t="str"/>
      <x:c r="G567" s="16" t="str"/>
      <x:c r="H567" s="16" t="str">
        <x:v>Y</x:v>
      </x:c>
      <x:c r="I567" s="16" t="str"/>
    </x:row>
    <x:row r="568">
      <x:c r="A568" s="16" t="n">
        <x:v>567</x:v>
      </x:c>
      <x:c r="B568" s="16" t="str">
        <x:v>EXPERIMENT</x:v>
      </x:c>
      <x:c r="C568" s="16" t="str">
        <x:f>Coder_A!C568</x:f>
        <x:v>PILOT_01_E07</x:v>
      </x:c>
      <x:c r="D568" s="16" t="str">
        <x:v>strict_zero_train_verified</x:v>
      </x:c>
      <x:c r="E568" s="16" t="str"/>
      <x:c r="F568" s="16" t="str"/>
      <x:c r="G568" s="16" t="str"/>
      <x:c r="H568" s="16" t="str">
        <x:v>Y</x:v>
      </x:c>
      <x:c r="I568" s="16" t="str"/>
    </x:row>
    <x:row r="569">
      <x:c r="A569" s="16" t="n">
        <x:v>568</x:v>
      </x:c>
      <x:c r="B569" s="16" t="str">
        <x:v>EXPERIMENT</x:v>
      </x:c>
      <x:c r="C569" s="16" t="str">
        <x:f>Coder_A!C569</x:f>
        <x:v>PILOT_01_E07</x:v>
      </x:c>
      <x:c r="D569" s="16" t="str">
        <x:v>external_info_for_unseen_kc</x:v>
      </x:c>
      <x:c r="E569" s="16" t="str"/>
      <x:c r="F569" s="16" t="str"/>
      <x:c r="G569" s="16" t="str"/>
      <x:c r="H569" s="16" t="str">
        <x:v>Y</x:v>
      </x:c>
      <x:c r="I569" s="16" t="str"/>
    </x:row>
    <x:row r="570">
      <x:c r="A570" s="16" t="n">
        <x:v>569</x:v>
      </x:c>
      <x:c r="B570" s="16" t="str">
        <x:v>EXPERIMENT</x:v>
      </x:c>
      <x:c r="C570" s="16" t="str">
        <x:f>Coder_A!C570</x:f>
        <x:v>PILOT_01_E07</x:v>
      </x:c>
      <x:c r="D570" s="16" t="str">
        <x:v>support_kcs</x:v>
      </x:c>
      <x:c r="E570" s="16" t="str"/>
      <x:c r="F570" s="16" t="str"/>
      <x:c r="G570" s="16" t="str"/>
      <x:c r="H570" s="16" t="str">
        <x:v>N</x:v>
      </x:c>
      <x:c r="I570" s="16" t="str"/>
    </x:row>
    <x:row r="571">
      <x:c r="A571" s="16" t="n">
        <x:v>570</x:v>
      </x:c>
      <x:c r="B571" s="16" t="str">
        <x:v>EXPERIMENT</x:v>
      </x:c>
      <x:c r="C571" s="16" t="str">
        <x:f>Coder_A!C571</x:f>
        <x:v>PILOT_01_E07</x:v>
      </x:c>
      <x:c r="D571" s="16" t="str">
        <x:v>support_learners</x:v>
      </x:c>
      <x:c r="E571" s="16" t="str"/>
      <x:c r="F571" s="16" t="str"/>
      <x:c r="G571" s="16" t="str"/>
      <x:c r="H571" s="16" t="str">
        <x:v>N</x:v>
      </x:c>
      <x:c r="I571" s="16" t="str"/>
    </x:row>
    <x:row r="572">
      <x:c r="A572" s="16" t="n">
        <x:v>571</x:v>
      </x:c>
      <x:c r="B572" s="16" t="str">
        <x:v>EXPERIMENT</x:v>
      </x:c>
      <x:c r="C572" s="16" t="str">
        <x:f>Coder_A!C572</x:f>
        <x:v>PILOT_01_E07</x:v>
      </x:c>
      <x:c r="D572" s="16" t="str">
        <x:v>support_items</x:v>
      </x:c>
      <x:c r="E572" s="16" t="str"/>
      <x:c r="F572" s="16" t="str"/>
      <x:c r="G572" s="16" t="str"/>
      <x:c r="H572" s="16" t="str">
        <x:v>N</x:v>
      </x:c>
      <x:c r="I572" s="16" t="str"/>
    </x:row>
    <x:row r="573">
      <x:c r="A573" s="16" t="n">
        <x:v>572</x:v>
      </x:c>
      <x:c r="B573" s="16" t="str">
        <x:v>EXPERIMENT</x:v>
      </x:c>
      <x:c r="C573" s="16" t="str">
        <x:f>Coder_A!C573</x:f>
        <x:v>PILOT_01_E07</x:v>
      </x:c>
      <x:c r="D573" s="16" t="str">
        <x:v>support_test_interactions</x:v>
      </x:c>
      <x:c r="E573" s="16" t="str"/>
      <x:c r="F573" s="16" t="str"/>
      <x:c r="G573" s="16" t="str"/>
      <x:c r="H573" s="16" t="str">
        <x:v>N</x:v>
      </x:c>
      <x:c r="I573" s="16" t="str"/>
    </x:row>
    <x:row r="574">
      <x:c r="A574" s="16" t="n">
        <x:v>573</x:v>
      </x:c>
      <x:c r="B574" s="16" t="str">
        <x:v>EXPERIMENT</x:v>
      </x:c>
      <x:c r="C574" s="16" t="str">
        <x:f>Coder_A!C574</x:f>
        <x:v>PILOT_01_E07</x:v>
      </x:c>
      <x:c r="D574" s="16" t="str">
        <x:v>positive_count</x:v>
      </x:c>
      <x:c r="E574" s="16" t="str"/>
      <x:c r="F574" s="16" t="str"/>
      <x:c r="G574" s="16" t="str"/>
      <x:c r="H574" s="16" t="str">
        <x:v>N</x:v>
      </x:c>
      <x:c r="I574" s="16" t="str"/>
    </x:row>
    <x:row r="575">
      <x:c r="A575" s="16" t="n">
        <x:v>574</x:v>
      </x:c>
      <x:c r="B575" s="16" t="str">
        <x:v>EXPERIMENT</x:v>
      </x:c>
      <x:c r="C575" s="16" t="str">
        <x:f>Coder_A!C575</x:f>
        <x:v>PILOT_01_E07</x:v>
      </x:c>
      <x:c r="D575" s="16" t="str">
        <x:v>negative_count</x:v>
      </x:c>
      <x:c r="E575" s="16" t="str"/>
      <x:c r="F575" s="16" t="str"/>
      <x:c r="G575" s="16" t="str"/>
      <x:c r="H575" s="16" t="str">
        <x:v>N</x:v>
      </x:c>
      <x:c r="I575" s="16" t="str"/>
    </x:row>
    <x:row r="576">
      <x:c r="A576" s="16" t="n">
        <x:v>575</x:v>
      </x:c>
      <x:c r="B576" s="16" t="str">
        <x:v>EXPERIMENT</x:v>
      </x:c>
      <x:c r="C576" s="16" t="str">
        <x:f>Coder_A!C576</x:f>
        <x:v>PILOT_01_E07</x:v>
      </x:c>
      <x:c r="D576" s="16" t="str">
        <x:v>metric_name_original</x:v>
      </x:c>
      <x:c r="E576" s="16" t="str"/>
      <x:c r="F576" s="16" t="str"/>
      <x:c r="G576" s="16" t="str"/>
      <x:c r="H576" s="16" t="str">
        <x:v>N</x:v>
      </x:c>
      <x:c r="I576" s="16" t="str"/>
    </x:row>
    <x:row r="577">
      <x:c r="A577" s="16" t="n">
        <x:v>576</x:v>
      </x:c>
      <x:c r="B577" s="16" t="str">
        <x:v>EXPERIMENT</x:v>
      </x:c>
      <x:c r="C577" s="16" t="str">
        <x:f>Coder_A!C577</x:f>
        <x:v>PILOT_01_E07</x:v>
      </x:c>
      <x:c r="D577" s="16" t="str">
        <x:v>metric_value_original</x:v>
      </x:c>
      <x:c r="E577" s="16" t="str"/>
      <x:c r="F577" s="16" t="str"/>
      <x:c r="G577" s="16" t="str"/>
      <x:c r="H577" s="16" t="str">
        <x:v>N</x:v>
      </x:c>
      <x:c r="I577" s="16" t="str"/>
    </x:row>
    <x:row r="578">
      <x:c r="A578" s="16" t="n">
        <x:v>577</x:v>
      </x:c>
      <x:c r="B578" s="16" t="str">
        <x:v>EXPERIMENT</x:v>
      </x:c>
      <x:c r="C578" s="16" t="str">
        <x:f>Coder_A!C578</x:f>
        <x:v>PILOT_01_E07</x:v>
      </x:c>
      <x:c r="D578" s="16" t="str">
        <x:v>metric_scope</x:v>
      </x:c>
      <x:c r="E578" s="16" t="str"/>
      <x:c r="F578" s="16" t="str"/>
      <x:c r="G578" s="16" t="str"/>
      <x:c r="H578" s="16" t="str">
        <x:v>Y</x:v>
      </x:c>
      <x:c r="I578" s="16" t="str"/>
    </x:row>
    <x:row r="579">
      <x:c r="A579" s="16" t="n">
        <x:v>578</x:v>
      </x:c>
      <x:c r="B579" s="16" t="str">
        <x:v>EXPERIMENT</x:v>
      </x:c>
      <x:c r="C579" s="16" t="str">
        <x:f>Coder_A!C579</x:f>
        <x:v>PILOT_01_E07</x:v>
      </x:c>
      <x:c r="D579" s="16" t="str">
        <x:v>n_seeds</x:v>
      </x:c>
      <x:c r="E579" s="16" t="str"/>
      <x:c r="F579" s="16" t="str"/>
      <x:c r="G579" s="16" t="str"/>
      <x:c r="H579" s="16" t="str">
        <x:v>N</x:v>
      </x:c>
      <x:c r="I579" s="16" t="str"/>
    </x:row>
    <x:row r="580">
      <x:c r="A580" s="16" t="n">
        <x:v>579</x:v>
      </x:c>
      <x:c r="B580" s="16" t="str">
        <x:v>EXPERIMENT</x:v>
      </x:c>
      <x:c r="C580" s="16" t="str">
        <x:f>Coder_A!C580</x:f>
        <x:v>PILOT_01_E07</x:v>
      </x:c>
      <x:c r="D580" s="16" t="str">
        <x:v>seed_values_reported</x:v>
      </x:c>
      <x:c r="E580" s="16" t="str"/>
      <x:c r="F580" s="16" t="str"/>
      <x:c r="G580" s="16" t="str"/>
      <x:c r="H580" s="16" t="str">
        <x:v>N</x:v>
      </x:c>
      <x:c r="I580" s="16" t="str"/>
    </x:row>
    <x:row r="581">
      <x:c r="A581" s="16" t="n">
        <x:v>580</x:v>
      </x:c>
      <x:c r="B581" s="16" t="str">
        <x:v>EXPERIMENT</x:v>
      </x:c>
      <x:c r="C581" s="16" t="str">
        <x:f>Coder_A!C581</x:f>
        <x:v>PILOT_01_E07</x:v>
      </x:c>
      <x:c r="D581" s="16" t="str">
        <x:v>mean_std_reported</x:v>
      </x:c>
      <x:c r="E581" s="16" t="str"/>
      <x:c r="F581" s="16" t="str"/>
      <x:c r="G581" s="16" t="str"/>
      <x:c r="H581" s="16" t="str">
        <x:v>Y</x:v>
      </x:c>
      <x:c r="I581" s="16" t="str"/>
    </x:row>
    <x:row r="582">
      <x:c r="A582" s="16" t="n">
        <x:v>581</x:v>
      </x:c>
      <x:c r="B582" s="16" t="str">
        <x:v>EXPERIMENT</x:v>
      </x:c>
      <x:c r="C582" s="16" t="str">
        <x:f>Coder_A!C582</x:f>
        <x:v>PILOT_01_E07</x:v>
      </x:c>
      <x:c r="D582" s="16" t="str">
        <x:v>confidence_interval</x:v>
      </x:c>
      <x:c r="E582" s="16" t="str"/>
      <x:c r="F582" s="16" t="str"/>
      <x:c r="G582" s="16" t="str"/>
      <x:c r="H582" s="16" t="str">
        <x:v>N</x:v>
      </x:c>
      <x:c r="I582" s="16" t="str"/>
    </x:row>
    <x:row r="583">
      <x:c r="A583" s="16" t="n">
        <x:v>582</x:v>
      </x:c>
      <x:c r="B583" s="16" t="str">
        <x:v>EXPERIMENT</x:v>
      </x:c>
      <x:c r="C583" s="16" t="str">
        <x:f>Coder_A!C583</x:f>
        <x:v>PILOT_01_E07</x:v>
      </x:c>
      <x:c r="D583" s="16" t="str">
        <x:v>bootstrap_unit</x:v>
      </x:c>
      <x:c r="E583" s="16" t="str"/>
      <x:c r="F583" s="16" t="str"/>
      <x:c r="G583" s="16" t="str"/>
      <x:c r="H583" s="16" t="str">
        <x:v>Y</x:v>
      </x:c>
      <x:c r="I583" s="16" t="str"/>
    </x:row>
    <x:row r="584">
      <x:c r="A584" s="16" t="n">
        <x:v>583</x:v>
      </x:c>
      <x:c r="B584" s="16" t="str">
        <x:v>EXPERIMENT</x:v>
      </x:c>
      <x:c r="C584" s="16" t="str">
        <x:f>Coder_A!C584</x:f>
        <x:v>PILOT_01_E07</x:v>
      </x:c>
      <x:c r="D584" s="16" t="str">
        <x:v>statistical_test</x:v>
      </x:c>
      <x:c r="E584" s="16" t="str"/>
      <x:c r="F584" s="16" t="str"/>
      <x:c r="G584" s="16" t="str"/>
      <x:c r="H584" s="16" t="str">
        <x:v>N</x:v>
      </x:c>
      <x:c r="I584" s="16" t="str"/>
    </x:row>
    <x:row r="585">
      <x:c r="A585" s="16" t="n">
        <x:v>584</x:v>
      </x:c>
      <x:c r="B585" s="16" t="str">
        <x:v>EXPERIMENT</x:v>
      </x:c>
      <x:c r="C585" s="16" t="str">
        <x:f>Coder_A!C585</x:f>
        <x:v>PILOT_01_E07</x:v>
      </x:c>
      <x:c r="D585" s="16" t="str">
        <x:v>multiple_comparison_correction</x:v>
      </x:c>
      <x:c r="E585" s="16" t="str"/>
      <x:c r="F585" s="16" t="str"/>
      <x:c r="G585" s="16" t="str"/>
      <x:c r="H585" s="16" t="str">
        <x:v>N</x:v>
      </x:c>
      <x:c r="I585" s="16" t="str"/>
    </x:row>
    <x:row r="586">
      <x:c r="A586" s="16" t="n">
        <x:v>585</x:v>
      </x:c>
      <x:c r="B586" s="16" t="str">
        <x:v>EXPERIMENT</x:v>
      </x:c>
      <x:c r="C586" s="16" t="str">
        <x:f>Coder_A!C586</x:f>
        <x:v>PILOT_01_E07</x:v>
      </x:c>
      <x:c r="D586" s="16" t="str">
        <x:v>effect_size</x:v>
      </x:c>
      <x:c r="E586" s="16" t="str"/>
      <x:c r="F586" s="16" t="str"/>
      <x:c r="G586" s="16" t="str"/>
      <x:c r="H586" s="16" t="str">
        <x:v>N</x:v>
      </x:c>
      <x:c r="I586" s="16" t="str"/>
    </x:row>
    <x:row r="587">
      <x:c r="A587" s="16" t="n">
        <x:v>586</x:v>
      </x:c>
      <x:c r="B587" s="16" t="str">
        <x:v>EXPERIMENT</x:v>
      </x:c>
      <x:c r="C587" s="16" t="str">
        <x:f>Coder_A!C587</x:f>
        <x:v>PILOT_01_E07</x:v>
      </x:c>
      <x:c r="D587" s="16" t="str">
        <x:v>paired_design</x:v>
      </x:c>
      <x:c r="E587" s="16" t="str"/>
      <x:c r="F587" s="16" t="str"/>
      <x:c r="G587" s="16" t="str"/>
      <x:c r="H587" s="16" t="str">
        <x:v>Y</x:v>
      </x:c>
      <x:c r="I587" s="16" t="str"/>
    </x:row>
    <x:row r="588">
      <x:c r="A588" s="16" t="n">
        <x:v>587</x:v>
      </x:c>
      <x:c r="B588" s="16" t="str">
        <x:v>EXPERIMENT</x:v>
      </x:c>
      <x:c r="C588" s="16" t="str">
        <x:f>Coder_A!C588</x:f>
        <x:v>PILOT_01_E07</x:v>
      </x:c>
      <x:c r="D588" s="16" t="str">
        <x:v>significance_threshold</x:v>
      </x:c>
      <x:c r="E588" s="16" t="str"/>
      <x:c r="F588" s="16" t="str"/>
      <x:c r="G588" s="16" t="str"/>
      <x:c r="H588" s="16" t="str">
        <x:v>N</x:v>
      </x:c>
      <x:c r="I588" s="16" t="str"/>
    </x:row>
    <x:row r="589">
      <x:c r="A589" s="16" t="n">
        <x:v>588</x:v>
      </x:c>
      <x:c r="B589" s="16" t="str">
        <x:v>EXPERIMENT</x:v>
      </x:c>
      <x:c r="C589" s="16" t="str">
        <x:f>Coder_A!C589</x:f>
        <x:v>PILOT_01_E07</x:v>
      </x:c>
      <x:c r="D589" s="16" t="str">
        <x:v>parameter_count</x:v>
      </x:c>
      <x:c r="E589" s="16" t="str"/>
      <x:c r="F589" s="16" t="str"/>
      <x:c r="G589" s="16" t="str"/>
      <x:c r="H589" s="16" t="str">
        <x:v>N</x:v>
      </x:c>
      <x:c r="I589" s="16" t="str"/>
    </x:row>
    <x:row r="590">
      <x:c r="A590" s="16" t="n">
        <x:v>589</x:v>
      </x:c>
      <x:c r="B590" s="16" t="str">
        <x:v>EXPERIMENT</x:v>
      </x:c>
      <x:c r="C590" s="16" t="str">
        <x:f>Coder_A!C590</x:f>
        <x:v>PILOT_01_E07</x:v>
      </x:c>
      <x:c r="D590" s="16" t="str">
        <x:v>train_time</x:v>
      </x:c>
      <x:c r="E590" s="16" t="str"/>
      <x:c r="F590" s="16" t="str"/>
      <x:c r="G590" s="16" t="str"/>
      <x:c r="H590" s="16" t="str">
        <x:v>N</x:v>
      </x:c>
      <x:c r="I590" s="16" t="str"/>
    </x:row>
    <x:row r="591">
      <x:c r="A591" s="16" t="n">
        <x:v>590</x:v>
      </x:c>
      <x:c r="B591" s="16" t="str">
        <x:v>EXPERIMENT</x:v>
      </x:c>
      <x:c r="C591" s="16" t="str">
        <x:f>Coder_A!C591</x:f>
        <x:v>PILOT_01_E07</x:v>
      </x:c>
      <x:c r="D591" s="16" t="str">
        <x:v>time_per_epoch</x:v>
      </x:c>
      <x:c r="E591" s="16" t="str"/>
      <x:c r="F591" s="16" t="str"/>
      <x:c r="G591" s="16" t="str"/>
      <x:c r="H591" s="16" t="str">
        <x:v>N</x:v>
      </x:c>
      <x:c r="I591" s="16" t="str"/>
    </x:row>
    <x:row r="592">
      <x:c r="A592" s="16" t="n">
        <x:v>591</x:v>
      </x:c>
      <x:c r="B592" s="16" t="str">
        <x:v>EXPERIMENT</x:v>
      </x:c>
      <x:c r="C592" s="16" t="str">
        <x:f>Coder_A!C592</x:f>
        <x:v>PILOT_01_E07</x:v>
      </x:c>
      <x:c r="D592" s="16" t="str">
        <x:v>inference_latency</x:v>
      </x:c>
      <x:c r="E592" s="16" t="str"/>
      <x:c r="F592" s="16" t="str"/>
      <x:c r="G592" s="16" t="str"/>
      <x:c r="H592" s="16" t="str">
        <x:v>N</x:v>
      </x:c>
      <x:c r="I592" s="16" t="str"/>
    </x:row>
    <x:row r="593">
      <x:c r="A593" s="16" t="n">
        <x:v>592</x:v>
      </x:c>
      <x:c r="B593" s="16" t="str">
        <x:v>EXPERIMENT</x:v>
      </x:c>
      <x:c r="C593" s="16" t="str">
        <x:f>Coder_A!C593</x:f>
        <x:v>PILOT_01_E07</x:v>
      </x:c>
      <x:c r="D593" s="16" t="str">
        <x:v>throughput</x:v>
      </x:c>
      <x:c r="E593" s="16" t="str"/>
      <x:c r="F593" s="16" t="str"/>
      <x:c r="G593" s="16" t="str"/>
      <x:c r="H593" s="16" t="str">
        <x:v>N</x:v>
      </x:c>
      <x:c r="I593" s="16" t="str"/>
    </x:row>
    <x:row r="594">
      <x:c r="A594" s="16" t="n">
        <x:v>593</x:v>
      </x:c>
      <x:c r="B594" s="16" t="str">
        <x:v>EXPERIMENT</x:v>
      </x:c>
      <x:c r="C594" s="16" t="str">
        <x:f>Coder_A!C594</x:f>
        <x:v>PILOT_01_E07</x:v>
      </x:c>
      <x:c r="D594" s="16" t="str">
        <x:v>cpu_ram</x:v>
      </x:c>
      <x:c r="E594" s="16" t="str"/>
      <x:c r="F594" s="16" t="str"/>
      <x:c r="G594" s="16" t="str"/>
      <x:c r="H594" s="16" t="str">
        <x:v>N</x:v>
      </x:c>
      <x:c r="I594" s="16" t="str"/>
    </x:row>
    <x:row r="595">
      <x:c r="A595" s="16" t="n">
        <x:v>594</x:v>
      </x:c>
      <x:c r="B595" s="16" t="str">
        <x:v>EXPERIMENT</x:v>
      </x:c>
      <x:c r="C595" s="16" t="str">
        <x:f>Coder_A!C595</x:f>
        <x:v>PILOT_01_E07</x:v>
      </x:c>
      <x:c r="D595" s="16" t="str">
        <x:v>gpu_vram</x:v>
      </x:c>
      <x:c r="E595" s="16" t="str"/>
      <x:c r="F595" s="16" t="str"/>
      <x:c r="G595" s="16" t="str"/>
      <x:c r="H595" s="16" t="str">
        <x:v>N</x:v>
      </x:c>
      <x:c r="I595" s="16" t="str"/>
    </x:row>
    <x:row r="596">
      <x:c r="A596" s="16" t="n">
        <x:v>595</x:v>
      </x:c>
      <x:c r="B596" s="16" t="str">
        <x:v>EXPERIMENT</x:v>
      </x:c>
      <x:c r="C596" s="16" t="str">
        <x:f>Coder_A!C596</x:f>
        <x:v>PILOT_01_E07</x:v>
      </x:c>
      <x:c r="D596" s="16" t="str">
        <x:v>hardware</x:v>
      </x:c>
      <x:c r="E596" s="16" t="str"/>
      <x:c r="F596" s="16" t="str"/>
      <x:c r="G596" s="16" t="str"/>
      <x:c r="H596" s="16" t="str">
        <x:v>N</x:v>
      </x:c>
      <x:c r="I596" s="16" t="str"/>
    </x:row>
    <x:row r="597">
      <x:c r="A597" s="16" t="n">
        <x:v>596</x:v>
      </x:c>
      <x:c r="B597" s="16" t="str">
        <x:v>EXPERIMENT</x:v>
      </x:c>
      <x:c r="C597" s="16" t="str">
        <x:f>Coder_A!C597</x:f>
        <x:v>PILOT_01_E07</x:v>
      </x:c>
      <x:c r="D597" s="16" t="str">
        <x:v>graph_construction_time</x:v>
      </x:c>
      <x:c r="E597" s="16" t="str"/>
      <x:c r="F597" s="16" t="str"/>
      <x:c r="G597" s="16" t="str"/>
      <x:c r="H597" s="16" t="str">
        <x:v>N</x:v>
      </x:c>
      <x:c r="I597" s="16" t="str"/>
    </x:row>
    <x:row r="598">
      <x:c r="A598" s="16" t="n">
        <x:v>597</x:v>
      </x:c>
      <x:c r="B598" s="16" t="str">
        <x:v>EXPERIMENT</x:v>
      </x:c>
      <x:c r="C598" s="16" t="str">
        <x:f>Coder_A!C598</x:f>
        <x:v>PILOT_01_E07</x:v>
      </x:c>
      <x:c r="D598" s="16" t="str">
        <x:v>complexity_formula</x:v>
      </x:c>
      <x:c r="E598" s="16" t="str"/>
      <x:c r="F598" s="16" t="str"/>
      <x:c r="G598" s="16" t="str"/>
      <x:c r="H598" s="16" t="str">
        <x:v>N</x:v>
      </x:c>
      <x:c r="I598" s="16" t="str"/>
    </x:row>
    <x:row r="599">
      <x:c r="A599" s="16" t="n">
        <x:v>598</x:v>
      </x:c>
      <x:c r="B599" s="16" t="str">
        <x:v>EXPERIMENT</x:v>
      </x:c>
      <x:c r="C599" s="16" t="str">
        <x:f>Coder_A!C599</x:f>
        <x:v>PILOT_01_E07</x:v>
      </x:c>
      <x:c r="D599" s="16" t="str">
        <x:v>scale_up_experiment</x:v>
      </x:c>
      <x:c r="E599" s="16" t="str"/>
      <x:c r="F599" s="16" t="str"/>
      <x:c r="G599" s="16" t="str"/>
      <x:c r="H599" s="16" t="str">
        <x:v>Y</x:v>
      </x:c>
      <x:c r="I599" s="16" t="str"/>
    </x:row>
    <x:row r="600">
      <x:c r="A600" s="16" t="n">
        <x:v>599</x:v>
      </x:c>
      <x:c r="B600" s="16" t="str">
        <x:v>EXPERIMENT</x:v>
      </x:c>
      <x:c r="C600" s="16" t="str">
        <x:f>Coder_A!C600</x:f>
        <x:v>PILOT_01_E07</x:v>
      </x:c>
      <x:c r="D600" s="16" t="str">
        <x:v>oom_timeout_reported</x:v>
      </x:c>
      <x:c r="E600" s="16" t="str"/>
      <x:c r="F600" s="16" t="str"/>
      <x:c r="G600" s="16" t="str"/>
      <x:c r="H600" s="16" t="str">
        <x:v>Y</x:v>
      </x:c>
      <x:c r="I600" s="16" t="str"/>
    </x:row>
    <x:row r="601">
      <x:c r="A601" s="16" t="n">
        <x:v>600</x:v>
      </x:c>
      <x:c r="B601" s="16" t="str">
        <x:v>EXPERIMENT</x:v>
      </x:c>
      <x:c r="C601" s="16" t="str">
        <x:f>Coder_A!C601</x:f>
        <x:v>PILOT_01_E08</x:v>
      </x:c>
      <x:c r="D601" s="16" t="str">
        <x:v>dataset_name</x:v>
      </x:c>
      <x:c r="E601" s="16" t="str"/>
      <x:c r="F601" s="16" t="str"/>
      <x:c r="G601" s="16" t="str"/>
      <x:c r="H601" s="16" t="str">
        <x:v>N</x:v>
      </x:c>
      <x:c r="I601" s="16" t="str"/>
    </x:row>
    <x:row r="602">
      <x:c r="A602" s="16" t="n">
        <x:v>601</x:v>
      </x:c>
      <x:c r="B602" s="16" t="str">
        <x:v>EXPERIMENT</x:v>
      </x:c>
      <x:c r="C602" s="16" t="str">
        <x:f>Coder_A!C602</x:f>
        <x:v>PILOT_01_E08</x:v>
      </x:c>
      <x:c r="D602" s="16" t="str">
        <x:v>dataset_version</x:v>
      </x:c>
      <x:c r="E602" s="16" t="str"/>
      <x:c r="F602" s="16" t="str"/>
      <x:c r="G602" s="16" t="str"/>
      <x:c r="H602" s="16" t="str">
        <x:v>N</x:v>
      </x:c>
      <x:c r="I602" s="16" t="str"/>
    </x:row>
    <x:row r="603">
      <x:c r="A603" s="16" t="n">
        <x:v>602</x:v>
      </x:c>
      <x:c r="B603" s="16" t="str">
        <x:v>EXPERIMENT</x:v>
      </x:c>
      <x:c r="C603" s="16" t="str">
        <x:f>Coder_A!C603</x:f>
        <x:v>PILOT_01_E08</x:v>
      </x:c>
      <x:c r="D603" s="16" t="str">
        <x:v>n_learners_reported</x:v>
      </x:c>
      <x:c r="E603" s="16" t="str"/>
      <x:c r="F603" s="16" t="str"/>
      <x:c r="G603" s="16" t="str"/>
      <x:c r="H603" s="16" t="str">
        <x:v>N</x:v>
      </x:c>
      <x:c r="I603" s="16" t="str"/>
    </x:row>
    <x:row r="604">
      <x:c r="A604" s="16" t="n">
        <x:v>603</x:v>
      </x:c>
      <x:c r="B604" s="16" t="str">
        <x:v>EXPERIMENT</x:v>
      </x:c>
      <x:c r="C604" s="16" t="str">
        <x:f>Coder_A!C604</x:f>
        <x:v>PILOT_01_E08</x:v>
      </x:c>
      <x:c r="D604" s="16" t="str">
        <x:v>n_items_reported</x:v>
      </x:c>
      <x:c r="E604" s="16" t="str"/>
      <x:c r="F604" s="16" t="str"/>
      <x:c r="G604" s="16" t="str"/>
      <x:c r="H604" s="16" t="str">
        <x:v>N</x:v>
      </x:c>
      <x:c r="I604" s="16" t="str"/>
    </x:row>
    <x:row r="605">
      <x:c r="A605" s="16" t="n">
        <x:v>604</x:v>
      </x:c>
      <x:c r="B605" s="16" t="str">
        <x:v>EXPERIMENT</x:v>
      </x:c>
      <x:c r="C605" s="16" t="str">
        <x:f>Coder_A!C605</x:f>
        <x:v>PILOT_01_E08</x:v>
      </x:c>
      <x:c r="D605" s="16" t="str">
        <x:v>n_kcs_reported</x:v>
      </x:c>
      <x:c r="E605" s="16" t="str"/>
      <x:c r="F605" s="16" t="str"/>
      <x:c r="G605" s="16" t="str"/>
      <x:c r="H605" s="16" t="str">
        <x:v>N</x:v>
      </x:c>
      <x:c r="I605" s="16" t="str"/>
    </x:row>
    <x:row r="606">
      <x:c r="A606" s="16" t="n">
        <x:v>605</x:v>
      </x:c>
      <x:c r="B606" s="16" t="str">
        <x:v>EXPERIMENT</x:v>
      </x:c>
      <x:c r="C606" s="16" t="str">
        <x:f>Coder_A!C606</x:f>
        <x:v>PILOT_01_E08</x:v>
      </x:c>
      <x:c r="D606" s="16" t="str">
        <x:v>n_interactions_reported</x:v>
      </x:c>
      <x:c r="E606" s="16" t="str"/>
      <x:c r="F606" s="16" t="str"/>
      <x:c r="G606" s="16" t="str"/>
      <x:c r="H606" s="16" t="str">
        <x:v>N</x:v>
      </x:c>
      <x:c r="I606" s="16" t="str"/>
    </x:row>
    <x:row r="607">
      <x:c r="A607" s="16" t="n">
        <x:v>606</x:v>
      </x:c>
      <x:c r="B607" s="16" t="str">
        <x:v>EXPERIMENT</x:v>
      </x:c>
      <x:c r="C607" s="16" t="str">
        <x:f>Coder_A!C607</x:f>
        <x:v>PILOT_01_E08</x:v>
      </x:c>
      <x:c r="D607" s="16" t="str">
        <x:v>multi_skill_present</x:v>
      </x:c>
      <x:c r="E607" s="16" t="str"/>
      <x:c r="F607" s="16" t="str"/>
      <x:c r="G607" s="16" t="str"/>
      <x:c r="H607" s="16" t="str">
        <x:v>Y</x:v>
      </x:c>
      <x:c r="I607" s="16" t="str"/>
    </x:row>
    <x:row r="608">
      <x:c r="A608" s="16" t="n">
        <x:v>607</x:v>
      </x:c>
      <x:c r="B608" s="16" t="str">
        <x:v>EXPERIMENT</x:v>
      </x:c>
      <x:c r="C608" s="16" t="str">
        <x:f>Coder_A!C608</x:f>
        <x:v>PILOT_01_E08</x:v>
      </x:c>
      <x:c r="D608" s="16" t="str">
        <x:v>multi_skill_handling</x:v>
      </x:c>
      <x:c r="E608" s="16" t="str"/>
      <x:c r="F608" s="16" t="str"/>
      <x:c r="G608" s="16" t="str"/>
      <x:c r="H608" s="16" t="str">
        <x:v>N</x:v>
      </x:c>
      <x:c r="I608" s="16" t="str"/>
    </x:row>
    <x:row r="609">
      <x:c r="A609" s="16" t="n">
        <x:v>608</x:v>
      </x:c>
      <x:c r="B609" s="16" t="str">
        <x:v>EXPERIMENT</x:v>
      </x:c>
      <x:c r="C609" s="16" t="str">
        <x:f>Coder_A!C609</x:f>
        <x:v>PILOT_01_E08</x:v>
      </x:c>
      <x:c r="D609" s="16" t="str">
        <x:v>sequence_truncation</x:v>
      </x:c>
      <x:c r="E609" s="16" t="str"/>
      <x:c r="F609" s="16" t="str"/>
      <x:c r="G609" s="16" t="str"/>
      <x:c r="H609" s="16" t="str">
        <x:v>N</x:v>
      </x:c>
      <x:c r="I609" s="16" t="str"/>
    </x:row>
    <x:row r="610">
      <x:c r="A610" s="16" t="n">
        <x:v>609</x:v>
      </x:c>
      <x:c r="B610" s="16" t="str">
        <x:v>EXPERIMENT</x:v>
      </x:c>
      <x:c r="C610" s="16" t="str">
        <x:f>Coder_A!C610</x:f>
        <x:v>PILOT_01_E08</x:v>
      </x:c>
      <x:c r="D610" s="16" t="str">
        <x:v>min_sequence_filter</x:v>
      </x:c>
      <x:c r="E610" s="16" t="str"/>
      <x:c r="F610" s="16" t="str"/>
      <x:c r="G610" s="16" t="str"/>
      <x:c r="H610" s="16" t="str">
        <x:v>N</x:v>
      </x:c>
      <x:c r="I610" s="16" t="str"/>
    </x:row>
    <x:row r="611">
      <x:c r="A611" s="16" t="n">
        <x:v>610</x:v>
      </x:c>
      <x:c r="B611" s="16" t="str">
        <x:v>EXPERIMENT</x:v>
      </x:c>
      <x:c r="C611" s="16" t="str">
        <x:f>Coder_A!C611</x:f>
        <x:v>PILOT_01_E08</x:v>
      </x:c>
      <x:c r="D611" s="16" t="str">
        <x:v>timestamp_used</x:v>
      </x:c>
      <x:c r="E611" s="16" t="str"/>
      <x:c r="F611" s="16" t="str"/>
      <x:c r="G611" s="16" t="str"/>
      <x:c r="H611" s="16" t="str">
        <x:v>Y</x:v>
      </x:c>
      <x:c r="I611" s="16" t="str"/>
    </x:row>
    <x:row r="612">
      <x:c r="A612" s="16" t="n">
        <x:v>611</x:v>
      </x:c>
      <x:c r="B612" s="16" t="str">
        <x:v>EXPERIMENT</x:v>
      </x:c>
      <x:c r="C612" s="16" t="str">
        <x:f>Coder_A!C612</x:f>
        <x:v>PILOT_01_E08</x:v>
      </x:c>
      <x:c r="D612" s="16" t="str">
        <x:v>preprocessing_code_available</x:v>
      </x:c>
      <x:c r="E612" s="16" t="str"/>
      <x:c r="F612" s="16" t="str"/>
      <x:c r="G612" s="16" t="str"/>
      <x:c r="H612" s="16" t="str">
        <x:v>Y</x:v>
      </x:c>
      <x:c r="I612" s="16" t="str"/>
    </x:row>
    <x:row r="613">
      <x:c r="A613" s="16" t="n">
        <x:v>612</x:v>
      </x:c>
      <x:c r="B613" s="16" t="str">
        <x:v>EXPERIMENT</x:v>
      </x:c>
      <x:c r="C613" s="16" t="str">
        <x:f>Coder_A!C613</x:f>
        <x:v>PILOT_01_E08</x:v>
      </x:c>
      <x:c r="D613" s="16" t="str">
        <x:v>split_type</x:v>
      </x:c>
      <x:c r="E613" s="16" t="str"/>
      <x:c r="F613" s="16" t="str"/>
      <x:c r="G613" s="16" t="str"/>
      <x:c r="H613" s="16" t="str">
        <x:v>Y</x:v>
      </x:c>
      <x:c r="I613" s="16" t="str"/>
    </x:row>
    <x:row r="614">
      <x:c r="A614" s="16" t="n">
        <x:v>613</x:v>
      </x:c>
      <x:c r="B614" s="16" t="str">
        <x:v>EXPERIMENT</x:v>
      </x:c>
      <x:c r="C614" s="16" t="str">
        <x:f>Coder_A!C614</x:f>
        <x:v>PILOT_01_E08</x:v>
      </x:c>
      <x:c r="D614" s="16" t="str">
        <x:v>split_unit_original</x:v>
      </x:c>
      <x:c r="E614" s="16" t="str"/>
      <x:c r="F614" s="16" t="str"/>
      <x:c r="G614" s="16" t="str"/>
      <x:c r="H614" s="16" t="str">
        <x:v>N</x:v>
      </x:c>
      <x:c r="I614" s="16" t="str"/>
    </x:row>
    <x:row r="615">
      <x:c r="A615" s="16" t="n">
        <x:v>614</x:v>
      </x:c>
      <x:c r="B615" s="16" t="str">
        <x:v>EXPERIMENT</x:v>
      </x:c>
      <x:c r="C615" s="16" t="str">
        <x:f>Coder_A!C615</x:f>
        <x:v>PILOT_01_E08</x:v>
      </x:c>
      <x:c r="D615" s="16" t="str">
        <x:v>train_fraction</x:v>
      </x:c>
      <x:c r="E615" s="16" t="str"/>
      <x:c r="F615" s="16" t="str"/>
      <x:c r="G615" s="16" t="str"/>
      <x:c r="H615" s="16" t="str">
        <x:v>N</x:v>
      </x:c>
      <x:c r="I615" s="16" t="str"/>
    </x:row>
    <x:row r="616">
      <x:c r="A616" s="16" t="n">
        <x:v>615</x:v>
      </x:c>
      <x:c r="B616" s="16" t="str">
        <x:v>EXPERIMENT</x:v>
      </x:c>
      <x:c r="C616" s="16" t="str">
        <x:f>Coder_A!C616</x:f>
        <x:v>PILOT_01_E08</x:v>
      </x:c>
      <x:c r="D616" s="16" t="str">
        <x:v>validation_fraction</x:v>
      </x:c>
      <x:c r="E616" s="16" t="str"/>
      <x:c r="F616" s="16" t="str"/>
      <x:c r="G616" s="16" t="str"/>
      <x:c r="H616" s="16" t="str">
        <x:v>N</x:v>
      </x:c>
      <x:c r="I616" s="16" t="str"/>
    </x:row>
    <x:row r="617">
      <x:c r="A617" s="16" t="n">
        <x:v>616</x:v>
      </x:c>
      <x:c r="B617" s="16" t="str">
        <x:v>EXPERIMENT</x:v>
      </x:c>
      <x:c r="C617" s="16" t="str">
        <x:f>Coder_A!C617</x:f>
        <x:v>PILOT_01_E08</x:v>
      </x:c>
      <x:c r="D617" s="16" t="str">
        <x:v>test_fraction</x:v>
      </x:c>
      <x:c r="E617" s="16" t="str"/>
      <x:c r="F617" s="16" t="str"/>
      <x:c r="G617" s="16" t="str"/>
      <x:c r="H617" s="16" t="str">
        <x:v>N</x:v>
      </x:c>
      <x:c r="I617" s="16" t="str"/>
    </x:row>
    <x:row r="618">
      <x:c r="A618" s="16" t="n">
        <x:v>617</x:v>
      </x:c>
      <x:c r="B618" s="16" t="str">
        <x:v>EXPERIMENT</x:v>
      </x:c>
      <x:c r="C618" s="16" t="str">
        <x:f>Coder_A!C618</x:f>
        <x:v>PILOT_01_E08</x:v>
      </x:c>
      <x:c r="D618" s="16" t="str">
        <x:v>validation_set_separate</x:v>
      </x:c>
      <x:c r="E618" s="16" t="str"/>
      <x:c r="F618" s="16" t="str"/>
      <x:c r="G618" s="16" t="str"/>
      <x:c r="H618" s="16" t="str">
        <x:v>Y</x:v>
      </x:c>
      <x:c r="I618" s="16" t="str"/>
    </x:row>
    <x:row r="619">
      <x:c r="A619" s="16" t="n">
        <x:v>618</x:v>
      </x:c>
      <x:c r="B619" s="16" t="str">
        <x:v>EXPERIMENT</x:v>
      </x:c>
      <x:c r="C619" s="16" t="str">
        <x:f>Coder_A!C619</x:f>
        <x:v>PILOT_01_E08</x:v>
      </x:c>
      <x:c r="D619" s="16" t="str">
        <x:v>early_stopping_validation_only</x:v>
      </x:c>
      <x:c r="E619" s="16" t="str"/>
      <x:c r="F619" s="16" t="str"/>
      <x:c r="G619" s="16" t="str"/>
      <x:c r="H619" s="16" t="str">
        <x:v>Y</x:v>
      </x:c>
      <x:c r="I619" s="16" t="str"/>
    </x:row>
    <x:row r="620">
      <x:c r="A620" s="16" t="n">
        <x:v>619</x:v>
      </x:c>
      <x:c r="B620" s="16" t="str">
        <x:v>EXPERIMENT</x:v>
      </x:c>
      <x:c r="C620" s="16" t="str">
        <x:f>Coder_A!C620</x:f>
        <x:v>PILOT_01_E08</x:v>
      </x:c>
      <x:c r="D620" s="16" t="str">
        <x:v>graph_train_only</x:v>
      </x:c>
      <x:c r="E620" s="16" t="str"/>
      <x:c r="F620" s="16" t="str"/>
      <x:c r="G620" s="16" t="str"/>
      <x:c r="H620" s="16" t="str">
        <x:v>Y</x:v>
      </x:c>
      <x:c r="I620" s="16" t="str"/>
    </x:row>
    <x:row r="621">
      <x:c r="A621" s="16" t="n">
        <x:v>620</x:v>
      </x:c>
      <x:c r="B621" s="16" t="str">
        <x:v>EXPERIMENT</x:v>
      </x:c>
      <x:c r="C621" s="16" t="str">
        <x:f>Coder_A!C621</x:f>
        <x:v>PILOT_01_E08</x:v>
      </x:c>
      <x:c r="D621" s="16" t="str">
        <x:v>normalization_train_only</x:v>
      </x:c>
      <x:c r="E621" s="16" t="str"/>
      <x:c r="F621" s="16" t="str"/>
      <x:c r="G621" s="16" t="str"/>
      <x:c r="H621" s="16" t="str">
        <x:v>Y</x:v>
      </x:c>
      <x:c r="I621" s="16" t="str"/>
    </x:row>
    <x:row r="622">
      <x:c r="A622" s="16" t="n">
        <x:v>621</x:v>
      </x:c>
      <x:c r="B622" s="16" t="str">
        <x:v>EXPERIMENT</x:v>
      </x:c>
      <x:c r="C622" s="16" t="str">
        <x:f>Coder_A!C622</x:f>
        <x:v>PILOT_01_E08</x:v>
      </x:c>
      <x:c r="D622" s="16" t="str">
        <x:v>sparse_strata_train_only</x:v>
      </x:c>
      <x:c r="E622" s="16" t="str"/>
      <x:c r="F622" s="16" t="str"/>
      <x:c r="G622" s="16" t="str"/>
      <x:c r="H622" s="16" t="str">
        <x:v>Y</x:v>
      </x:c>
      <x:c r="I622" s="16" t="str"/>
    </x:row>
    <x:row r="623">
      <x:c r="A623" s="16" t="n">
        <x:v>622</x:v>
      </x:c>
      <x:c r="B623" s="16" t="str">
        <x:v>EXPERIMENT</x:v>
      </x:c>
      <x:c r="C623" s="16" t="str">
        <x:f>Coder_A!C623</x:f>
        <x:v>PILOT_01_E08</x:v>
      </x:c>
      <x:c r="D623" s="16" t="str">
        <x:v>temporal_alignment_audited</x:v>
      </x:c>
      <x:c r="E623" s="16" t="str"/>
      <x:c r="F623" s="16" t="str"/>
      <x:c r="G623" s="16" t="str"/>
      <x:c r="H623" s="16" t="str">
        <x:v>Y</x:v>
      </x:c>
      <x:c r="I623" s="16" t="str"/>
    </x:row>
    <x:row r="624">
      <x:c r="A624" s="16" t="n">
        <x:v>623</x:v>
      </x:c>
      <x:c r="B624" s="16" t="str">
        <x:v>EXPERIMENT</x:v>
      </x:c>
      <x:c r="C624" s="16" t="str">
        <x:f>Coder_A!C624</x:f>
        <x:v>PILOT_01_E08</x:v>
      </x:c>
      <x:c r="D624" s="16" t="str">
        <x:v>duplicate_entity_leakage_checked</x:v>
      </x:c>
      <x:c r="E624" s="16" t="str"/>
      <x:c r="F624" s="16" t="str"/>
      <x:c r="G624" s="16" t="str"/>
      <x:c r="H624" s="16" t="str">
        <x:v>Y</x:v>
      </x:c>
      <x:c r="I624" s="16" t="str"/>
    </x:row>
    <x:row r="625">
      <x:c r="A625" s="16" t="n">
        <x:v>624</x:v>
      </x:c>
      <x:c r="B625" s="16" t="str">
        <x:v>EXPERIMENT</x:v>
      </x:c>
      <x:c r="C625" s="16" t="str">
        <x:f>Coder_A!C625</x:f>
        <x:v>PILOT_01_E08</x:v>
      </x:c>
      <x:c r="D625" s="16" t="str">
        <x:v>sparsity_construct</x:v>
      </x:c>
      <x:c r="E625" s="16" t="str"/>
      <x:c r="F625" s="16" t="str"/>
      <x:c r="G625" s="16" t="str"/>
      <x:c r="H625" s="16" t="str">
        <x:v>Y</x:v>
      </x:c>
      <x:c r="I625" s="16" t="str"/>
    </x:row>
    <x:row r="626">
      <x:c r="A626" s="16" t="n">
        <x:v>625</x:v>
      </x:c>
      <x:c r="B626" s="16" t="str">
        <x:v>EXPERIMENT</x:v>
      </x:c>
      <x:c r="C626" s="16" t="str">
        <x:f>Coder_A!C626</x:f>
        <x:v>PILOT_01_E08</x:v>
      </x:c>
      <x:c r="D626" s="16" t="str">
        <x:v>sparse_definition_original</x:v>
      </x:c>
      <x:c r="E626" s="16" t="str"/>
      <x:c r="F626" s="16" t="str"/>
      <x:c r="G626" s="16" t="str"/>
      <x:c r="H626" s="16" t="str">
        <x:v>N</x:v>
      </x:c>
      <x:c r="I626" s="16" t="str"/>
    </x:row>
    <x:row r="627">
      <x:c r="A627" s="16" t="n">
        <x:v>626</x:v>
      </x:c>
      <x:c r="B627" s="16" t="str">
        <x:v>EXPERIMENT</x:v>
      </x:c>
      <x:c r="C627" s="16" t="str">
        <x:f>Coder_A!C627</x:f>
        <x:v>PILOT_01_E08</x:v>
      </x:c>
      <x:c r="D627" s="16" t="str">
        <x:v>sparse_threshold_original</x:v>
      </x:c>
      <x:c r="E627" s="16" t="str"/>
      <x:c r="F627" s="16" t="str"/>
      <x:c r="G627" s="16" t="str"/>
      <x:c r="H627" s="16" t="str">
        <x:v>N</x:v>
      </x:c>
      <x:c r="I627" s="16" t="str"/>
    </x:row>
    <x:row r="628">
      <x:c r="A628" s="16" t="n">
        <x:v>627</x:v>
      </x:c>
      <x:c r="B628" s="16" t="str">
        <x:v>EXPERIMENT</x:v>
      </x:c>
      <x:c r="C628" s="16" t="str">
        <x:f>Coder_A!C628</x:f>
        <x:v>PILOT_01_E08</x:v>
      </x:c>
      <x:c r="D628" s="16" t="str">
        <x:v>threshold_source</x:v>
      </x:c>
      <x:c r="E628" s="16" t="str"/>
      <x:c r="F628" s="16" t="str"/>
      <x:c r="G628" s="16" t="str"/>
      <x:c r="H628" s="16" t="str">
        <x:v>Y</x:v>
      </x:c>
      <x:c r="I628" s="16" t="str"/>
    </x:row>
    <x:row r="629">
      <x:c r="A629" s="16" t="n">
        <x:v>628</x:v>
      </x:c>
      <x:c r="B629" s="16" t="str">
        <x:v>EXPERIMENT</x:v>
      </x:c>
      <x:c r="C629" s="16" t="str">
        <x:f>Coder_A!C629</x:f>
        <x:v>PILOT_01_E08</x:v>
      </x:c>
      <x:c r="D629" s="16" t="str">
        <x:v>frequency_computed_on</x:v>
      </x:c>
      <x:c r="E629" s="16" t="str"/>
      <x:c r="F629" s="16" t="str"/>
      <x:c r="G629" s="16" t="str"/>
      <x:c r="H629" s="16" t="str">
        <x:v>Y</x:v>
      </x:c>
      <x:c r="I629" s="16" t="str"/>
    </x:row>
    <x:row r="630">
      <x:c r="A630" s="16" t="n">
        <x:v>629</x:v>
      </x:c>
      <x:c r="B630" s="16" t="str">
        <x:v>EXPERIMENT</x:v>
      </x:c>
      <x:c r="C630" s="16" t="str">
        <x:f>Coder_A!C630</x:f>
        <x:v>PILOT_01_E08</x:v>
      </x:c>
      <x:c r="D630" s="16" t="str">
        <x:v>strict_zero_train_verified</x:v>
      </x:c>
      <x:c r="E630" s="16" t="str"/>
      <x:c r="F630" s="16" t="str"/>
      <x:c r="G630" s="16" t="str"/>
      <x:c r="H630" s="16" t="str">
        <x:v>Y</x:v>
      </x:c>
      <x:c r="I630" s="16" t="str"/>
    </x:row>
    <x:row r="631">
      <x:c r="A631" s="16" t="n">
        <x:v>630</x:v>
      </x:c>
      <x:c r="B631" s="16" t="str">
        <x:v>EXPERIMENT</x:v>
      </x:c>
      <x:c r="C631" s="16" t="str">
        <x:f>Coder_A!C631</x:f>
        <x:v>PILOT_01_E08</x:v>
      </x:c>
      <x:c r="D631" s="16" t="str">
        <x:v>external_info_for_unseen_kc</x:v>
      </x:c>
      <x:c r="E631" s="16" t="str"/>
      <x:c r="F631" s="16" t="str"/>
      <x:c r="G631" s="16" t="str"/>
      <x:c r="H631" s="16" t="str">
        <x:v>Y</x:v>
      </x:c>
      <x:c r="I631" s="16" t="str"/>
    </x:row>
    <x:row r="632">
      <x:c r="A632" s="16" t="n">
        <x:v>631</x:v>
      </x:c>
      <x:c r="B632" s="16" t="str">
        <x:v>EXPERIMENT</x:v>
      </x:c>
      <x:c r="C632" s="16" t="str">
        <x:f>Coder_A!C632</x:f>
        <x:v>PILOT_01_E08</x:v>
      </x:c>
      <x:c r="D632" s="16" t="str">
        <x:v>support_kcs</x:v>
      </x:c>
      <x:c r="E632" s="16" t="str"/>
      <x:c r="F632" s="16" t="str"/>
      <x:c r="G632" s="16" t="str"/>
      <x:c r="H632" s="16" t="str">
        <x:v>N</x:v>
      </x:c>
      <x:c r="I632" s="16" t="str"/>
    </x:row>
    <x:row r="633">
      <x:c r="A633" s="16" t="n">
        <x:v>632</x:v>
      </x:c>
      <x:c r="B633" s="16" t="str">
        <x:v>EXPERIMENT</x:v>
      </x:c>
      <x:c r="C633" s="16" t="str">
        <x:f>Coder_A!C633</x:f>
        <x:v>PILOT_01_E08</x:v>
      </x:c>
      <x:c r="D633" s="16" t="str">
        <x:v>support_learners</x:v>
      </x:c>
      <x:c r="E633" s="16" t="str"/>
      <x:c r="F633" s="16" t="str"/>
      <x:c r="G633" s="16" t="str"/>
      <x:c r="H633" s="16" t="str">
        <x:v>N</x:v>
      </x:c>
      <x:c r="I633" s="16" t="str"/>
    </x:row>
    <x:row r="634">
      <x:c r="A634" s="16" t="n">
        <x:v>633</x:v>
      </x:c>
      <x:c r="B634" s="16" t="str">
        <x:v>EXPERIMENT</x:v>
      </x:c>
      <x:c r="C634" s="16" t="str">
        <x:f>Coder_A!C634</x:f>
        <x:v>PILOT_01_E08</x:v>
      </x:c>
      <x:c r="D634" s="16" t="str">
        <x:v>support_items</x:v>
      </x:c>
      <x:c r="E634" s="16" t="str"/>
      <x:c r="F634" s="16" t="str"/>
      <x:c r="G634" s="16" t="str"/>
      <x:c r="H634" s="16" t="str">
        <x:v>N</x:v>
      </x:c>
      <x:c r="I634" s="16" t="str"/>
    </x:row>
    <x:row r="635">
      <x:c r="A635" s="16" t="n">
        <x:v>634</x:v>
      </x:c>
      <x:c r="B635" s="16" t="str">
        <x:v>EXPERIMENT</x:v>
      </x:c>
      <x:c r="C635" s="16" t="str">
        <x:f>Coder_A!C635</x:f>
        <x:v>PILOT_01_E08</x:v>
      </x:c>
      <x:c r="D635" s="16" t="str">
        <x:v>support_test_interactions</x:v>
      </x:c>
      <x:c r="E635" s="16" t="str"/>
      <x:c r="F635" s="16" t="str"/>
      <x:c r="G635" s="16" t="str"/>
      <x:c r="H635" s="16" t="str">
        <x:v>N</x:v>
      </x:c>
      <x:c r="I635" s="16" t="str"/>
    </x:row>
    <x:row r="636">
      <x:c r="A636" s="16" t="n">
        <x:v>635</x:v>
      </x:c>
      <x:c r="B636" s="16" t="str">
        <x:v>EXPERIMENT</x:v>
      </x:c>
      <x:c r="C636" s="16" t="str">
        <x:f>Coder_A!C636</x:f>
        <x:v>PILOT_01_E08</x:v>
      </x:c>
      <x:c r="D636" s="16" t="str">
        <x:v>positive_count</x:v>
      </x:c>
      <x:c r="E636" s="16" t="str"/>
      <x:c r="F636" s="16" t="str"/>
      <x:c r="G636" s="16" t="str"/>
      <x:c r="H636" s="16" t="str">
        <x:v>N</x:v>
      </x:c>
      <x:c r="I636" s="16" t="str"/>
    </x:row>
    <x:row r="637">
      <x:c r="A637" s="16" t="n">
        <x:v>636</x:v>
      </x:c>
      <x:c r="B637" s="16" t="str">
        <x:v>EXPERIMENT</x:v>
      </x:c>
      <x:c r="C637" s="16" t="str">
        <x:f>Coder_A!C637</x:f>
        <x:v>PILOT_01_E08</x:v>
      </x:c>
      <x:c r="D637" s="16" t="str">
        <x:v>negative_count</x:v>
      </x:c>
      <x:c r="E637" s="16" t="str"/>
      <x:c r="F637" s="16" t="str"/>
      <x:c r="G637" s="16" t="str"/>
      <x:c r="H637" s="16" t="str">
        <x:v>N</x:v>
      </x:c>
      <x:c r="I637" s="16" t="str"/>
    </x:row>
    <x:row r="638">
      <x:c r="A638" s="16" t="n">
        <x:v>637</x:v>
      </x:c>
      <x:c r="B638" s="16" t="str">
        <x:v>EXPERIMENT</x:v>
      </x:c>
      <x:c r="C638" s="16" t="str">
        <x:f>Coder_A!C638</x:f>
        <x:v>PILOT_01_E08</x:v>
      </x:c>
      <x:c r="D638" s="16" t="str">
        <x:v>metric_name_original</x:v>
      </x:c>
      <x:c r="E638" s="16" t="str"/>
      <x:c r="F638" s="16" t="str"/>
      <x:c r="G638" s="16" t="str"/>
      <x:c r="H638" s="16" t="str">
        <x:v>N</x:v>
      </x:c>
      <x:c r="I638" s="16" t="str"/>
    </x:row>
    <x:row r="639">
      <x:c r="A639" s="16" t="n">
        <x:v>638</x:v>
      </x:c>
      <x:c r="B639" s="16" t="str">
        <x:v>EXPERIMENT</x:v>
      </x:c>
      <x:c r="C639" s="16" t="str">
        <x:f>Coder_A!C639</x:f>
        <x:v>PILOT_01_E08</x:v>
      </x:c>
      <x:c r="D639" s="16" t="str">
        <x:v>metric_value_original</x:v>
      </x:c>
      <x:c r="E639" s="16" t="str"/>
      <x:c r="F639" s="16" t="str"/>
      <x:c r="G639" s="16" t="str"/>
      <x:c r="H639" s="16" t="str">
        <x:v>N</x:v>
      </x:c>
      <x:c r="I639" s="16" t="str"/>
    </x:row>
    <x:row r="640">
      <x:c r="A640" s="16" t="n">
        <x:v>639</x:v>
      </x:c>
      <x:c r="B640" s="16" t="str">
        <x:v>EXPERIMENT</x:v>
      </x:c>
      <x:c r="C640" s="16" t="str">
        <x:f>Coder_A!C640</x:f>
        <x:v>PILOT_01_E08</x:v>
      </x:c>
      <x:c r="D640" s="16" t="str">
        <x:v>metric_scope</x:v>
      </x:c>
      <x:c r="E640" s="16" t="str"/>
      <x:c r="F640" s="16" t="str"/>
      <x:c r="G640" s="16" t="str"/>
      <x:c r="H640" s="16" t="str">
        <x:v>Y</x:v>
      </x:c>
      <x:c r="I640" s="16" t="str"/>
    </x:row>
    <x:row r="641">
      <x:c r="A641" s="16" t="n">
        <x:v>640</x:v>
      </x:c>
      <x:c r="B641" s="16" t="str">
        <x:v>EXPERIMENT</x:v>
      </x:c>
      <x:c r="C641" s="16" t="str">
        <x:f>Coder_A!C641</x:f>
        <x:v>PILOT_01_E08</x:v>
      </x:c>
      <x:c r="D641" s="16" t="str">
        <x:v>n_seeds</x:v>
      </x:c>
      <x:c r="E641" s="16" t="str"/>
      <x:c r="F641" s="16" t="str"/>
      <x:c r="G641" s="16" t="str"/>
      <x:c r="H641" s="16" t="str">
        <x:v>N</x:v>
      </x:c>
      <x:c r="I641" s="16" t="str"/>
    </x:row>
    <x:row r="642">
      <x:c r="A642" s="16" t="n">
        <x:v>641</x:v>
      </x:c>
      <x:c r="B642" s="16" t="str">
        <x:v>EXPERIMENT</x:v>
      </x:c>
      <x:c r="C642" s="16" t="str">
        <x:f>Coder_A!C642</x:f>
        <x:v>PILOT_01_E08</x:v>
      </x:c>
      <x:c r="D642" s="16" t="str">
        <x:v>seed_values_reported</x:v>
      </x:c>
      <x:c r="E642" s="16" t="str"/>
      <x:c r="F642" s="16" t="str"/>
      <x:c r="G642" s="16" t="str"/>
      <x:c r="H642" s="16" t="str">
        <x:v>N</x:v>
      </x:c>
      <x:c r="I642" s="16" t="str"/>
    </x:row>
    <x:row r="643">
      <x:c r="A643" s="16" t="n">
        <x:v>642</x:v>
      </x:c>
      <x:c r="B643" s="16" t="str">
        <x:v>EXPERIMENT</x:v>
      </x:c>
      <x:c r="C643" s="16" t="str">
        <x:f>Coder_A!C643</x:f>
        <x:v>PILOT_01_E08</x:v>
      </x:c>
      <x:c r="D643" s="16" t="str">
        <x:v>mean_std_reported</x:v>
      </x:c>
      <x:c r="E643" s="16" t="str"/>
      <x:c r="F643" s="16" t="str"/>
      <x:c r="G643" s="16" t="str"/>
      <x:c r="H643" s="16" t="str">
        <x:v>Y</x:v>
      </x:c>
      <x:c r="I643" s="16" t="str"/>
    </x:row>
    <x:row r="644">
      <x:c r="A644" s="16" t="n">
        <x:v>643</x:v>
      </x:c>
      <x:c r="B644" s="16" t="str">
        <x:v>EXPERIMENT</x:v>
      </x:c>
      <x:c r="C644" s="16" t="str">
        <x:f>Coder_A!C644</x:f>
        <x:v>PILOT_01_E08</x:v>
      </x:c>
      <x:c r="D644" s="16" t="str">
        <x:v>confidence_interval</x:v>
      </x:c>
      <x:c r="E644" s="16" t="str"/>
      <x:c r="F644" s="16" t="str"/>
      <x:c r="G644" s="16" t="str"/>
      <x:c r="H644" s="16" t="str">
        <x:v>N</x:v>
      </x:c>
      <x:c r="I644" s="16" t="str"/>
    </x:row>
    <x:row r="645">
      <x:c r="A645" s="16" t="n">
        <x:v>644</x:v>
      </x:c>
      <x:c r="B645" s="16" t="str">
        <x:v>EXPERIMENT</x:v>
      </x:c>
      <x:c r="C645" s="16" t="str">
        <x:f>Coder_A!C645</x:f>
        <x:v>PILOT_01_E08</x:v>
      </x:c>
      <x:c r="D645" s="16" t="str">
        <x:v>bootstrap_unit</x:v>
      </x:c>
      <x:c r="E645" s="16" t="str"/>
      <x:c r="F645" s="16" t="str"/>
      <x:c r="G645" s="16" t="str"/>
      <x:c r="H645" s="16" t="str">
        <x:v>Y</x:v>
      </x:c>
      <x:c r="I645" s="16" t="str"/>
    </x:row>
    <x:row r="646">
      <x:c r="A646" s="16" t="n">
        <x:v>645</x:v>
      </x:c>
      <x:c r="B646" s="16" t="str">
        <x:v>EXPERIMENT</x:v>
      </x:c>
      <x:c r="C646" s="16" t="str">
        <x:f>Coder_A!C646</x:f>
        <x:v>PILOT_01_E08</x:v>
      </x:c>
      <x:c r="D646" s="16" t="str">
        <x:v>statistical_test</x:v>
      </x:c>
      <x:c r="E646" s="16" t="str"/>
      <x:c r="F646" s="16" t="str"/>
      <x:c r="G646" s="16" t="str"/>
      <x:c r="H646" s="16" t="str">
        <x:v>N</x:v>
      </x:c>
      <x:c r="I646" s="16" t="str"/>
    </x:row>
    <x:row r="647">
      <x:c r="A647" s="16" t="n">
        <x:v>646</x:v>
      </x:c>
      <x:c r="B647" s="16" t="str">
        <x:v>EXPERIMENT</x:v>
      </x:c>
      <x:c r="C647" s="16" t="str">
        <x:f>Coder_A!C647</x:f>
        <x:v>PILOT_01_E08</x:v>
      </x:c>
      <x:c r="D647" s="16" t="str">
        <x:v>multiple_comparison_correction</x:v>
      </x:c>
      <x:c r="E647" s="16" t="str"/>
      <x:c r="F647" s="16" t="str"/>
      <x:c r="G647" s="16" t="str"/>
      <x:c r="H647" s="16" t="str">
        <x:v>N</x:v>
      </x:c>
      <x:c r="I647" s="16" t="str"/>
    </x:row>
    <x:row r="648">
      <x:c r="A648" s="16" t="n">
        <x:v>647</x:v>
      </x:c>
      <x:c r="B648" s="16" t="str">
        <x:v>EXPERIMENT</x:v>
      </x:c>
      <x:c r="C648" s="16" t="str">
        <x:f>Coder_A!C648</x:f>
        <x:v>PILOT_01_E08</x:v>
      </x:c>
      <x:c r="D648" s="16" t="str">
        <x:v>effect_size</x:v>
      </x:c>
      <x:c r="E648" s="16" t="str"/>
      <x:c r="F648" s="16" t="str"/>
      <x:c r="G648" s="16" t="str"/>
      <x:c r="H648" s="16" t="str">
        <x:v>N</x:v>
      </x:c>
      <x:c r="I648" s="16" t="str"/>
    </x:row>
    <x:row r="649">
      <x:c r="A649" s="16" t="n">
        <x:v>648</x:v>
      </x:c>
      <x:c r="B649" s="16" t="str">
        <x:v>EXPERIMENT</x:v>
      </x:c>
      <x:c r="C649" s="16" t="str">
        <x:f>Coder_A!C649</x:f>
        <x:v>PILOT_01_E08</x:v>
      </x:c>
      <x:c r="D649" s="16" t="str">
        <x:v>paired_design</x:v>
      </x:c>
      <x:c r="E649" s="16" t="str"/>
      <x:c r="F649" s="16" t="str"/>
      <x:c r="G649" s="16" t="str"/>
      <x:c r="H649" s="16" t="str">
        <x:v>Y</x:v>
      </x:c>
      <x:c r="I649" s="16" t="str"/>
    </x:row>
    <x:row r="650">
      <x:c r="A650" s="16" t="n">
        <x:v>649</x:v>
      </x:c>
      <x:c r="B650" s="16" t="str">
        <x:v>EXPERIMENT</x:v>
      </x:c>
      <x:c r="C650" s="16" t="str">
        <x:f>Coder_A!C650</x:f>
        <x:v>PILOT_01_E08</x:v>
      </x:c>
      <x:c r="D650" s="16" t="str">
        <x:v>significance_threshold</x:v>
      </x:c>
      <x:c r="E650" s="16" t="str"/>
      <x:c r="F650" s="16" t="str"/>
      <x:c r="G650" s="16" t="str"/>
      <x:c r="H650" s="16" t="str">
        <x:v>N</x:v>
      </x:c>
      <x:c r="I650" s="16" t="str"/>
    </x:row>
    <x:row r="651">
      <x:c r="A651" s="16" t="n">
        <x:v>650</x:v>
      </x:c>
      <x:c r="B651" s="16" t="str">
        <x:v>EXPERIMENT</x:v>
      </x:c>
      <x:c r="C651" s="16" t="str">
        <x:f>Coder_A!C651</x:f>
        <x:v>PILOT_01_E08</x:v>
      </x:c>
      <x:c r="D651" s="16" t="str">
        <x:v>parameter_count</x:v>
      </x:c>
      <x:c r="E651" s="16" t="str"/>
      <x:c r="F651" s="16" t="str"/>
      <x:c r="G651" s="16" t="str"/>
      <x:c r="H651" s="16" t="str">
        <x:v>N</x:v>
      </x:c>
      <x:c r="I651" s="16" t="str"/>
    </x:row>
    <x:row r="652">
      <x:c r="A652" s="16" t="n">
        <x:v>651</x:v>
      </x:c>
      <x:c r="B652" s="16" t="str">
        <x:v>EXPERIMENT</x:v>
      </x:c>
      <x:c r="C652" s="16" t="str">
        <x:f>Coder_A!C652</x:f>
        <x:v>PILOT_01_E08</x:v>
      </x:c>
      <x:c r="D652" s="16" t="str">
        <x:v>train_time</x:v>
      </x:c>
      <x:c r="E652" s="16" t="str"/>
      <x:c r="F652" s="16" t="str"/>
      <x:c r="G652" s="16" t="str"/>
      <x:c r="H652" s="16" t="str">
        <x:v>N</x:v>
      </x:c>
      <x:c r="I652" s="16" t="str"/>
    </x:row>
    <x:row r="653">
      <x:c r="A653" s="16" t="n">
        <x:v>652</x:v>
      </x:c>
      <x:c r="B653" s="16" t="str">
        <x:v>EXPERIMENT</x:v>
      </x:c>
      <x:c r="C653" s="16" t="str">
        <x:f>Coder_A!C653</x:f>
        <x:v>PILOT_01_E08</x:v>
      </x:c>
      <x:c r="D653" s="16" t="str">
        <x:v>time_per_epoch</x:v>
      </x:c>
      <x:c r="E653" s="16" t="str"/>
      <x:c r="F653" s="16" t="str"/>
      <x:c r="G653" s="16" t="str"/>
      <x:c r="H653" s="16" t="str">
        <x:v>N</x:v>
      </x:c>
      <x:c r="I653" s="16" t="str"/>
    </x:row>
    <x:row r="654">
      <x:c r="A654" s="16" t="n">
        <x:v>653</x:v>
      </x:c>
      <x:c r="B654" s="16" t="str">
        <x:v>EXPERIMENT</x:v>
      </x:c>
      <x:c r="C654" s="16" t="str">
        <x:f>Coder_A!C654</x:f>
        <x:v>PILOT_01_E08</x:v>
      </x:c>
      <x:c r="D654" s="16" t="str">
        <x:v>inference_latency</x:v>
      </x:c>
      <x:c r="E654" s="16" t="str"/>
      <x:c r="F654" s="16" t="str"/>
      <x:c r="G654" s="16" t="str"/>
      <x:c r="H654" s="16" t="str">
        <x:v>N</x:v>
      </x:c>
      <x:c r="I654" s="16" t="str"/>
    </x:row>
    <x:row r="655">
      <x:c r="A655" s="16" t="n">
        <x:v>654</x:v>
      </x:c>
      <x:c r="B655" s="16" t="str">
        <x:v>EXPERIMENT</x:v>
      </x:c>
      <x:c r="C655" s="16" t="str">
        <x:f>Coder_A!C655</x:f>
        <x:v>PILOT_01_E08</x:v>
      </x:c>
      <x:c r="D655" s="16" t="str">
        <x:v>throughput</x:v>
      </x:c>
      <x:c r="E655" s="16" t="str"/>
      <x:c r="F655" s="16" t="str"/>
      <x:c r="G655" s="16" t="str"/>
      <x:c r="H655" s="16" t="str">
        <x:v>N</x:v>
      </x:c>
      <x:c r="I655" s="16" t="str"/>
    </x:row>
    <x:row r="656">
      <x:c r="A656" s="16" t="n">
        <x:v>655</x:v>
      </x:c>
      <x:c r="B656" s="16" t="str">
        <x:v>EXPERIMENT</x:v>
      </x:c>
      <x:c r="C656" s="16" t="str">
        <x:f>Coder_A!C656</x:f>
        <x:v>PILOT_01_E08</x:v>
      </x:c>
      <x:c r="D656" s="16" t="str">
        <x:v>cpu_ram</x:v>
      </x:c>
      <x:c r="E656" s="16" t="str"/>
      <x:c r="F656" s="16" t="str"/>
      <x:c r="G656" s="16" t="str"/>
      <x:c r="H656" s="16" t="str">
        <x:v>N</x:v>
      </x:c>
      <x:c r="I656" s="16" t="str"/>
    </x:row>
    <x:row r="657">
      <x:c r="A657" s="16" t="n">
        <x:v>656</x:v>
      </x:c>
      <x:c r="B657" s="16" t="str">
        <x:v>EXPERIMENT</x:v>
      </x:c>
      <x:c r="C657" s="16" t="str">
        <x:f>Coder_A!C657</x:f>
        <x:v>PILOT_01_E08</x:v>
      </x:c>
      <x:c r="D657" s="16" t="str">
        <x:v>gpu_vram</x:v>
      </x:c>
      <x:c r="E657" s="16" t="str"/>
      <x:c r="F657" s="16" t="str"/>
      <x:c r="G657" s="16" t="str"/>
      <x:c r="H657" s="16" t="str">
        <x:v>N</x:v>
      </x:c>
      <x:c r="I657" s="16" t="str"/>
    </x:row>
    <x:row r="658">
      <x:c r="A658" s="16" t="n">
        <x:v>657</x:v>
      </x:c>
      <x:c r="B658" s="16" t="str">
        <x:v>EXPERIMENT</x:v>
      </x:c>
      <x:c r="C658" s="16" t="str">
        <x:f>Coder_A!C658</x:f>
        <x:v>PILOT_01_E08</x:v>
      </x:c>
      <x:c r="D658" s="16" t="str">
        <x:v>hardware</x:v>
      </x:c>
      <x:c r="E658" s="16" t="str"/>
      <x:c r="F658" s="16" t="str"/>
      <x:c r="G658" s="16" t="str"/>
      <x:c r="H658" s="16" t="str">
        <x:v>N</x:v>
      </x:c>
      <x:c r="I658" s="16" t="str"/>
    </x:row>
    <x:row r="659">
      <x:c r="A659" s="16" t="n">
        <x:v>658</x:v>
      </x:c>
      <x:c r="B659" s="16" t="str">
        <x:v>EXPERIMENT</x:v>
      </x:c>
      <x:c r="C659" s="16" t="str">
        <x:f>Coder_A!C659</x:f>
        <x:v>PILOT_01_E08</x:v>
      </x:c>
      <x:c r="D659" s="16" t="str">
        <x:v>graph_construction_time</x:v>
      </x:c>
      <x:c r="E659" s="16" t="str"/>
      <x:c r="F659" s="16" t="str"/>
      <x:c r="G659" s="16" t="str"/>
      <x:c r="H659" s="16" t="str">
        <x:v>N</x:v>
      </x:c>
      <x:c r="I659" s="16" t="str"/>
    </x:row>
    <x:row r="660">
      <x:c r="A660" s="16" t="n">
        <x:v>659</x:v>
      </x:c>
      <x:c r="B660" s="16" t="str">
        <x:v>EXPERIMENT</x:v>
      </x:c>
      <x:c r="C660" s="16" t="str">
        <x:f>Coder_A!C660</x:f>
        <x:v>PILOT_01_E08</x:v>
      </x:c>
      <x:c r="D660" s="16" t="str">
        <x:v>complexity_formula</x:v>
      </x:c>
      <x:c r="E660" s="16" t="str"/>
      <x:c r="F660" s="16" t="str"/>
      <x:c r="G660" s="16" t="str"/>
      <x:c r="H660" s="16" t="str">
        <x:v>N</x:v>
      </x:c>
      <x:c r="I660" s="16" t="str"/>
    </x:row>
    <x:row r="661">
      <x:c r="A661" s="16" t="n">
        <x:v>660</x:v>
      </x:c>
      <x:c r="B661" s="16" t="str">
        <x:v>EXPERIMENT</x:v>
      </x:c>
      <x:c r="C661" s="16" t="str">
        <x:f>Coder_A!C661</x:f>
        <x:v>PILOT_01_E08</x:v>
      </x:c>
      <x:c r="D661" s="16" t="str">
        <x:v>scale_up_experiment</x:v>
      </x:c>
      <x:c r="E661" s="16" t="str"/>
      <x:c r="F661" s="16" t="str"/>
      <x:c r="G661" s="16" t="str"/>
      <x:c r="H661" s="16" t="str">
        <x:v>Y</x:v>
      </x:c>
      <x:c r="I661" s="16" t="str"/>
    </x:row>
    <x:row r="662">
      <x:c r="A662" s="16" t="n">
        <x:v>661</x:v>
      </x:c>
      <x:c r="B662" s="16" t="str">
        <x:v>EXPERIMENT</x:v>
      </x:c>
      <x:c r="C662" s="16" t="str">
        <x:f>Coder_A!C662</x:f>
        <x:v>PILOT_01_E08</x:v>
      </x:c>
      <x:c r="D662" s="16" t="str">
        <x:v>oom_timeout_reported</x:v>
      </x:c>
      <x:c r="E662" s="16" t="str"/>
      <x:c r="F662" s="16" t="str"/>
      <x:c r="G662" s="16" t="str"/>
      <x:c r="H662" s="16" t="str">
        <x:v>Y</x:v>
      </x:c>
      <x:c r="I662" s="16" t="str"/>
    </x:row>
    <x:row r="663">
      <x:c r="A663" s="16" t="n">
        <x:v>662</x:v>
      </x:c>
      <x:c r="B663" s="16" t="str">
        <x:v>EXPERIMENT</x:v>
      </x:c>
      <x:c r="C663" s="16" t="str">
        <x:f>Coder_A!C663</x:f>
        <x:v>PILOT_01_E09</x:v>
      </x:c>
      <x:c r="D663" s="16" t="str">
        <x:v>dataset_name</x:v>
      </x:c>
      <x:c r="E663" s="16" t="str"/>
      <x:c r="F663" s="16" t="str"/>
      <x:c r="G663" s="16" t="str"/>
      <x:c r="H663" s="16" t="str">
        <x:v>N</x:v>
      </x:c>
      <x:c r="I663" s="16" t="str"/>
    </x:row>
    <x:row r="664">
      <x:c r="A664" s="16" t="n">
        <x:v>663</x:v>
      </x:c>
      <x:c r="B664" s="16" t="str">
        <x:v>EXPERIMENT</x:v>
      </x:c>
      <x:c r="C664" s="16" t="str">
        <x:f>Coder_A!C664</x:f>
        <x:v>PILOT_01_E09</x:v>
      </x:c>
      <x:c r="D664" s="16" t="str">
        <x:v>dataset_version</x:v>
      </x:c>
      <x:c r="E664" s="16" t="str"/>
      <x:c r="F664" s="16" t="str"/>
      <x:c r="G664" s="16" t="str"/>
      <x:c r="H664" s="16" t="str">
        <x:v>N</x:v>
      </x:c>
      <x:c r="I664" s="16" t="str"/>
    </x:row>
    <x:row r="665">
      <x:c r="A665" s="16" t="n">
        <x:v>664</x:v>
      </x:c>
      <x:c r="B665" s="16" t="str">
        <x:v>EXPERIMENT</x:v>
      </x:c>
      <x:c r="C665" s="16" t="str">
        <x:f>Coder_A!C665</x:f>
        <x:v>PILOT_01_E09</x:v>
      </x:c>
      <x:c r="D665" s="16" t="str">
        <x:v>n_learners_reported</x:v>
      </x:c>
      <x:c r="E665" s="16" t="str"/>
      <x:c r="F665" s="16" t="str"/>
      <x:c r="G665" s="16" t="str"/>
      <x:c r="H665" s="16" t="str">
        <x:v>N</x:v>
      </x:c>
      <x:c r="I665" s="16" t="str"/>
    </x:row>
    <x:row r="666">
      <x:c r="A666" s="16" t="n">
        <x:v>665</x:v>
      </x:c>
      <x:c r="B666" s="16" t="str">
        <x:v>EXPERIMENT</x:v>
      </x:c>
      <x:c r="C666" s="16" t="str">
        <x:f>Coder_A!C666</x:f>
        <x:v>PILOT_01_E09</x:v>
      </x:c>
      <x:c r="D666" s="16" t="str">
        <x:v>n_items_reported</x:v>
      </x:c>
      <x:c r="E666" s="16" t="str"/>
      <x:c r="F666" s="16" t="str"/>
      <x:c r="G666" s="16" t="str"/>
      <x:c r="H666" s="16" t="str">
        <x:v>N</x:v>
      </x:c>
      <x:c r="I666" s="16" t="str"/>
    </x:row>
    <x:row r="667">
      <x:c r="A667" s="16" t="n">
        <x:v>666</x:v>
      </x:c>
      <x:c r="B667" s="16" t="str">
        <x:v>EXPERIMENT</x:v>
      </x:c>
      <x:c r="C667" s="16" t="str">
        <x:f>Coder_A!C667</x:f>
        <x:v>PILOT_01_E09</x:v>
      </x:c>
      <x:c r="D667" s="16" t="str">
        <x:v>n_kcs_reported</x:v>
      </x:c>
      <x:c r="E667" s="16" t="str"/>
      <x:c r="F667" s="16" t="str"/>
      <x:c r="G667" s="16" t="str"/>
      <x:c r="H667" s="16" t="str">
        <x:v>N</x:v>
      </x:c>
      <x:c r="I667" s="16" t="str"/>
    </x:row>
    <x:row r="668">
      <x:c r="A668" s="16" t="n">
        <x:v>667</x:v>
      </x:c>
      <x:c r="B668" s="16" t="str">
        <x:v>EXPERIMENT</x:v>
      </x:c>
      <x:c r="C668" s="16" t="str">
        <x:f>Coder_A!C668</x:f>
        <x:v>PILOT_01_E09</x:v>
      </x:c>
      <x:c r="D668" s="16" t="str">
        <x:v>n_interactions_reported</x:v>
      </x:c>
      <x:c r="E668" s="16" t="str"/>
      <x:c r="F668" s="16" t="str"/>
      <x:c r="G668" s="16" t="str"/>
      <x:c r="H668" s="16" t="str">
        <x:v>N</x:v>
      </x:c>
      <x:c r="I668" s="16" t="str"/>
    </x:row>
    <x:row r="669">
      <x:c r="A669" s="16" t="n">
        <x:v>668</x:v>
      </x:c>
      <x:c r="B669" s="16" t="str">
        <x:v>EXPERIMENT</x:v>
      </x:c>
      <x:c r="C669" s="16" t="str">
        <x:f>Coder_A!C669</x:f>
        <x:v>PILOT_01_E09</x:v>
      </x:c>
      <x:c r="D669" s="16" t="str">
        <x:v>multi_skill_present</x:v>
      </x:c>
      <x:c r="E669" s="16" t="str"/>
      <x:c r="F669" s="16" t="str"/>
      <x:c r="G669" s="16" t="str"/>
      <x:c r="H669" s="16" t="str">
        <x:v>Y</x:v>
      </x:c>
      <x:c r="I669" s="16" t="str"/>
    </x:row>
    <x:row r="670">
      <x:c r="A670" s="16" t="n">
        <x:v>669</x:v>
      </x:c>
      <x:c r="B670" s="16" t="str">
        <x:v>EXPERIMENT</x:v>
      </x:c>
      <x:c r="C670" s="16" t="str">
        <x:f>Coder_A!C670</x:f>
        <x:v>PILOT_01_E09</x:v>
      </x:c>
      <x:c r="D670" s="16" t="str">
        <x:v>multi_skill_handling</x:v>
      </x:c>
      <x:c r="E670" s="16" t="str"/>
      <x:c r="F670" s="16" t="str"/>
      <x:c r="G670" s="16" t="str"/>
      <x:c r="H670" s="16" t="str">
        <x:v>N</x:v>
      </x:c>
      <x:c r="I670" s="16" t="str"/>
    </x:row>
    <x:row r="671">
      <x:c r="A671" s="16" t="n">
        <x:v>670</x:v>
      </x:c>
      <x:c r="B671" s="16" t="str">
        <x:v>EXPERIMENT</x:v>
      </x:c>
      <x:c r="C671" s="16" t="str">
        <x:f>Coder_A!C671</x:f>
        <x:v>PILOT_01_E09</x:v>
      </x:c>
      <x:c r="D671" s="16" t="str">
        <x:v>sequence_truncation</x:v>
      </x:c>
      <x:c r="E671" s="16" t="str"/>
      <x:c r="F671" s="16" t="str"/>
      <x:c r="G671" s="16" t="str"/>
      <x:c r="H671" s="16" t="str">
        <x:v>N</x:v>
      </x:c>
      <x:c r="I671" s="16" t="str"/>
    </x:row>
    <x:row r="672">
      <x:c r="A672" s="16" t="n">
        <x:v>671</x:v>
      </x:c>
      <x:c r="B672" s="16" t="str">
        <x:v>EXPERIMENT</x:v>
      </x:c>
      <x:c r="C672" s="16" t="str">
        <x:f>Coder_A!C672</x:f>
        <x:v>PILOT_01_E09</x:v>
      </x:c>
      <x:c r="D672" s="16" t="str">
        <x:v>min_sequence_filter</x:v>
      </x:c>
      <x:c r="E672" s="16" t="str"/>
      <x:c r="F672" s="16" t="str"/>
      <x:c r="G672" s="16" t="str"/>
      <x:c r="H672" s="16" t="str">
        <x:v>N</x:v>
      </x:c>
      <x:c r="I672" s="16" t="str"/>
    </x:row>
    <x:row r="673">
      <x:c r="A673" s="16" t="n">
        <x:v>672</x:v>
      </x:c>
      <x:c r="B673" s="16" t="str">
        <x:v>EXPERIMENT</x:v>
      </x:c>
      <x:c r="C673" s="16" t="str">
        <x:f>Coder_A!C673</x:f>
        <x:v>PILOT_01_E09</x:v>
      </x:c>
      <x:c r="D673" s="16" t="str">
        <x:v>timestamp_used</x:v>
      </x:c>
      <x:c r="E673" s="16" t="str"/>
      <x:c r="F673" s="16" t="str"/>
      <x:c r="G673" s="16" t="str"/>
      <x:c r="H673" s="16" t="str">
        <x:v>Y</x:v>
      </x:c>
      <x:c r="I673" s="16" t="str"/>
    </x:row>
    <x:row r="674">
      <x:c r="A674" s="16" t="n">
        <x:v>673</x:v>
      </x:c>
      <x:c r="B674" s="16" t="str">
        <x:v>EXPERIMENT</x:v>
      </x:c>
      <x:c r="C674" s="16" t="str">
        <x:f>Coder_A!C674</x:f>
        <x:v>PILOT_01_E09</x:v>
      </x:c>
      <x:c r="D674" s="16" t="str">
        <x:v>preprocessing_code_available</x:v>
      </x:c>
      <x:c r="E674" s="16" t="str"/>
      <x:c r="F674" s="16" t="str"/>
      <x:c r="G674" s="16" t="str"/>
      <x:c r="H674" s="16" t="str">
        <x:v>Y</x:v>
      </x:c>
      <x:c r="I674" s="16" t="str"/>
    </x:row>
    <x:row r="675">
      <x:c r="A675" s="16" t="n">
        <x:v>674</x:v>
      </x:c>
      <x:c r="B675" s="16" t="str">
        <x:v>EXPERIMENT</x:v>
      </x:c>
      <x:c r="C675" s="16" t="str">
        <x:f>Coder_A!C675</x:f>
        <x:v>PILOT_01_E09</x:v>
      </x:c>
      <x:c r="D675" s="16" t="str">
        <x:v>split_type</x:v>
      </x:c>
      <x:c r="E675" s="16" t="str"/>
      <x:c r="F675" s="16" t="str"/>
      <x:c r="G675" s="16" t="str"/>
      <x:c r="H675" s="16" t="str">
        <x:v>Y</x:v>
      </x:c>
      <x:c r="I675" s="16" t="str"/>
    </x:row>
    <x:row r="676">
      <x:c r="A676" s="16" t="n">
        <x:v>675</x:v>
      </x:c>
      <x:c r="B676" s="16" t="str">
        <x:v>EXPERIMENT</x:v>
      </x:c>
      <x:c r="C676" s="16" t="str">
        <x:f>Coder_A!C676</x:f>
        <x:v>PILOT_01_E09</x:v>
      </x:c>
      <x:c r="D676" s="16" t="str">
        <x:v>split_unit_original</x:v>
      </x:c>
      <x:c r="E676" s="16" t="str"/>
      <x:c r="F676" s="16" t="str"/>
      <x:c r="G676" s="16" t="str"/>
      <x:c r="H676" s="16" t="str">
        <x:v>N</x:v>
      </x:c>
      <x:c r="I676" s="16" t="str"/>
    </x:row>
    <x:row r="677">
      <x:c r="A677" s="16" t="n">
        <x:v>676</x:v>
      </x:c>
      <x:c r="B677" s="16" t="str">
        <x:v>EXPERIMENT</x:v>
      </x:c>
      <x:c r="C677" s="16" t="str">
        <x:f>Coder_A!C677</x:f>
        <x:v>PILOT_01_E09</x:v>
      </x:c>
      <x:c r="D677" s="16" t="str">
        <x:v>train_fraction</x:v>
      </x:c>
      <x:c r="E677" s="16" t="str"/>
      <x:c r="F677" s="16" t="str"/>
      <x:c r="G677" s="16" t="str"/>
      <x:c r="H677" s="16" t="str">
        <x:v>N</x:v>
      </x:c>
      <x:c r="I677" s="16" t="str"/>
    </x:row>
    <x:row r="678">
      <x:c r="A678" s="16" t="n">
        <x:v>677</x:v>
      </x:c>
      <x:c r="B678" s="16" t="str">
        <x:v>EXPERIMENT</x:v>
      </x:c>
      <x:c r="C678" s="16" t="str">
        <x:f>Coder_A!C678</x:f>
        <x:v>PILOT_01_E09</x:v>
      </x:c>
      <x:c r="D678" s="16" t="str">
        <x:v>validation_fraction</x:v>
      </x:c>
      <x:c r="E678" s="16" t="str"/>
      <x:c r="F678" s="16" t="str"/>
      <x:c r="G678" s="16" t="str"/>
      <x:c r="H678" s="16" t="str">
        <x:v>N</x:v>
      </x:c>
      <x:c r="I678" s="16" t="str"/>
    </x:row>
    <x:row r="679">
      <x:c r="A679" s="16" t="n">
        <x:v>678</x:v>
      </x:c>
      <x:c r="B679" s="16" t="str">
        <x:v>EXPERIMENT</x:v>
      </x:c>
      <x:c r="C679" s="16" t="str">
        <x:f>Coder_A!C679</x:f>
        <x:v>PILOT_01_E09</x:v>
      </x:c>
      <x:c r="D679" s="16" t="str">
        <x:v>test_fraction</x:v>
      </x:c>
      <x:c r="E679" s="16" t="str"/>
      <x:c r="F679" s="16" t="str"/>
      <x:c r="G679" s="16" t="str"/>
      <x:c r="H679" s="16" t="str">
        <x:v>N</x:v>
      </x:c>
      <x:c r="I679" s="16" t="str"/>
    </x:row>
    <x:row r="680">
      <x:c r="A680" s="16" t="n">
        <x:v>679</x:v>
      </x:c>
      <x:c r="B680" s="16" t="str">
        <x:v>EXPERIMENT</x:v>
      </x:c>
      <x:c r="C680" s="16" t="str">
        <x:f>Coder_A!C680</x:f>
        <x:v>PILOT_01_E09</x:v>
      </x:c>
      <x:c r="D680" s="16" t="str">
        <x:v>validation_set_separate</x:v>
      </x:c>
      <x:c r="E680" s="16" t="str"/>
      <x:c r="F680" s="16" t="str"/>
      <x:c r="G680" s="16" t="str"/>
      <x:c r="H680" s="16" t="str">
        <x:v>Y</x:v>
      </x:c>
      <x:c r="I680" s="16" t="str"/>
    </x:row>
    <x:row r="681">
      <x:c r="A681" s="16" t="n">
        <x:v>680</x:v>
      </x:c>
      <x:c r="B681" s="16" t="str">
        <x:v>EXPERIMENT</x:v>
      </x:c>
      <x:c r="C681" s="16" t="str">
        <x:f>Coder_A!C681</x:f>
        <x:v>PILOT_01_E09</x:v>
      </x:c>
      <x:c r="D681" s="16" t="str">
        <x:v>early_stopping_validation_only</x:v>
      </x:c>
      <x:c r="E681" s="16" t="str"/>
      <x:c r="F681" s="16" t="str"/>
      <x:c r="G681" s="16" t="str"/>
      <x:c r="H681" s="16" t="str">
        <x:v>Y</x:v>
      </x:c>
      <x:c r="I681" s="16" t="str"/>
    </x:row>
    <x:row r="682">
      <x:c r="A682" s="16" t="n">
        <x:v>681</x:v>
      </x:c>
      <x:c r="B682" s="16" t="str">
        <x:v>EXPERIMENT</x:v>
      </x:c>
      <x:c r="C682" s="16" t="str">
        <x:f>Coder_A!C682</x:f>
        <x:v>PILOT_01_E09</x:v>
      </x:c>
      <x:c r="D682" s="16" t="str">
        <x:v>graph_train_only</x:v>
      </x:c>
      <x:c r="E682" s="16" t="str"/>
      <x:c r="F682" s="16" t="str"/>
      <x:c r="G682" s="16" t="str"/>
      <x:c r="H682" s="16" t="str">
        <x:v>Y</x:v>
      </x:c>
      <x:c r="I682" s="16" t="str"/>
    </x:row>
    <x:row r="683">
      <x:c r="A683" s="16" t="n">
        <x:v>682</x:v>
      </x:c>
      <x:c r="B683" s="16" t="str">
        <x:v>EXPERIMENT</x:v>
      </x:c>
      <x:c r="C683" s="16" t="str">
        <x:f>Coder_A!C683</x:f>
        <x:v>PILOT_01_E09</x:v>
      </x:c>
      <x:c r="D683" s="16" t="str">
        <x:v>normalization_train_only</x:v>
      </x:c>
      <x:c r="E683" s="16" t="str"/>
      <x:c r="F683" s="16" t="str"/>
      <x:c r="G683" s="16" t="str"/>
      <x:c r="H683" s="16" t="str">
        <x:v>Y</x:v>
      </x:c>
      <x:c r="I683" s="16" t="str"/>
    </x:row>
    <x:row r="684">
      <x:c r="A684" s="16" t="n">
        <x:v>683</x:v>
      </x:c>
      <x:c r="B684" s="16" t="str">
        <x:v>EXPERIMENT</x:v>
      </x:c>
      <x:c r="C684" s="16" t="str">
        <x:f>Coder_A!C684</x:f>
        <x:v>PILOT_01_E09</x:v>
      </x:c>
      <x:c r="D684" s="16" t="str">
        <x:v>sparse_strata_train_only</x:v>
      </x:c>
      <x:c r="E684" s="16" t="str"/>
      <x:c r="F684" s="16" t="str"/>
      <x:c r="G684" s="16" t="str"/>
      <x:c r="H684" s="16" t="str">
        <x:v>Y</x:v>
      </x:c>
      <x:c r="I684" s="16" t="str"/>
    </x:row>
    <x:row r="685">
      <x:c r="A685" s="16" t="n">
        <x:v>684</x:v>
      </x:c>
      <x:c r="B685" s="16" t="str">
        <x:v>EXPERIMENT</x:v>
      </x:c>
      <x:c r="C685" s="16" t="str">
        <x:f>Coder_A!C685</x:f>
        <x:v>PILOT_01_E09</x:v>
      </x:c>
      <x:c r="D685" s="16" t="str">
        <x:v>temporal_alignment_audited</x:v>
      </x:c>
      <x:c r="E685" s="16" t="str"/>
      <x:c r="F685" s="16" t="str"/>
      <x:c r="G685" s="16" t="str"/>
      <x:c r="H685" s="16" t="str">
        <x:v>Y</x:v>
      </x:c>
      <x:c r="I685" s="16" t="str"/>
    </x:row>
    <x:row r="686">
      <x:c r="A686" s="16" t="n">
        <x:v>685</x:v>
      </x:c>
      <x:c r="B686" s="16" t="str">
        <x:v>EXPERIMENT</x:v>
      </x:c>
      <x:c r="C686" s="16" t="str">
        <x:f>Coder_A!C686</x:f>
        <x:v>PILOT_01_E09</x:v>
      </x:c>
      <x:c r="D686" s="16" t="str">
        <x:v>duplicate_entity_leakage_checked</x:v>
      </x:c>
      <x:c r="E686" s="16" t="str"/>
      <x:c r="F686" s="16" t="str"/>
      <x:c r="G686" s="16" t="str"/>
      <x:c r="H686" s="16" t="str">
        <x:v>Y</x:v>
      </x:c>
      <x:c r="I686" s="16" t="str"/>
    </x:row>
    <x:row r="687">
      <x:c r="A687" s="16" t="n">
        <x:v>686</x:v>
      </x:c>
      <x:c r="B687" s="16" t="str">
        <x:v>EXPERIMENT</x:v>
      </x:c>
      <x:c r="C687" s="16" t="str">
        <x:f>Coder_A!C687</x:f>
        <x:v>PILOT_01_E09</x:v>
      </x:c>
      <x:c r="D687" s="16" t="str">
        <x:v>sparsity_construct</x:v>
      </x:c>
      <x:c r="E687" s="16" t="str"/>
      <x:c r="F687" s="16" t="str"/>
      <x:c r="G687" s="16" t="str"/>
      <x:c r="H687" s="16" t="str">
        <x:v>Y</x:v>
      </x:c>
      <x:c r="I687" s="16" t="str"/>
    </x:row>
    <x:row r="688">
      <x:c r="A688" s="16" t="n">
        <x:v>687</x:v>
      </x:c>
      <x:c r="B688" s="16" t="str">
        <x:v>EXPERIMENT</x:v>
      </x:c>
      <x:c r="C688" s="16" t="str">
        <x:f>Coder_A!C688</x:f>
        <x:v>PILOT_01_E09</x:v>
      </x:c>
      <x:c r="D688" s="16" t="str">
        <x:v>sparse_definition_original</x:v>
      </x:c>
      <x:c r="E688" s="16" t="str"/>
      <x:c r="F688" s="16" t="str"/>
      <x:c r="G688" s="16" t="str"/>
      <x:c r="H688" s="16" t="str">
        <x:v>N</x:v>
      </x:c>
      <x:c r="I688" s="16" t="str"/>
    </x:row>
    <x:row r="689">
      <x:c r="A689" s="16" t="n">
        <x:v>688</x:v>
      </x:c>
      <x:c r="B689" s="16" t="str">
        <x:v>EXPERIMENT</x:v>
      </x:c>
      <x:c r="C689" s="16" t="str">
        <x:f>Coder_A!C689</x:f>
        <x:v>PILOT_01_E09</x:v>
      </x:c>
      <x:c r="D689" s="16" t="str">
        <x:v>sparse_threshold_original</x:v>
      </x:c>
      <x:c r="E689" s="16" t="str"/>
      <x:c r="F689" s="16" t="str"/>
      <x:c r="G689" s="16" t="str"/>
      <x:c r="H689" s="16" t="str">
        <x:v>N</x:v>
      </x:c>
      <x:c r="I689" s="16" t="str"/>
    </x:row>
    <x:row r="690">
      <x:c r="A690" s="16" t="n">
        <x:v>689</x:v>
      </x:c>
      <x:c r="B690" s="16" t="str">
        <x:v>EXPERIMENT</x:v>
      </x:c>
      <x:c r="C690" s="16" t="str">
        <x:f>Coder_A!C690</x:f>
        <x:v>PILOT_01_E09</x:v>
      </x:c>
      <x:c r="D690" s="16" t="str">
        <x:v>threshold_source</x:v>
      </x:c>
      <x:c r="E690" s="16" t="str"/>
      <x:c r="F690" s="16" t="str"/>
      <x:c r="G690" s="16" t="str"/>
      <x:c r="H690" s="16" t="str">
        <x:v>Y</x:v>
      </x:c>
      <x:c r="I690" s="16" t="str"/>
    </x:row>
    <x:row r="691">
      <x:c r="A691" s="16" t="n">
        <x:v>690</x:v>
      </x:c>
      <x:c r="B691" s="16" t="str">
        <x:v>EXPERIMENT</x:v>
      </x:c>
      <x:c r="C691" s="16" t="str">
        <x:f>Coder_A!C691</x:f>
        <x:v>PILOT_01_E09</x:v>
      </x:c>
      <x:c r="D691" s="16" t="str">
        <x:v>frequency_computed_on</x:v>
      </x:c>
      <x:c r="E691" s="16" t="str"/>
      <x:c r="F691" s="16" t="str"/>
      <x:c r="G691" s="16" t="str"/>
      <x:c r="H691" s="16" t="str">
        <x:v>Y</x:v>
      </x:c>
      <x:c r="I691" s="16" t="str"/>
    </x:row>
    <x:row r="692">
      <x:c r="A692" s="16" t="n">
        <x:v>691</x:v>
      </x:c>
      <x:c r="B692" s="16" t="str">
        <x:v>EXPERIMENT</x:v>
      </x:c>
      <x:c r="C692" s="16" t="str">
        <x:f>Coder_A!C692</x:f>
        <x:v>PILOT_01_E09</x:v>
      </x:c>
      <x:c r="D692" s="16" t="str">
        <x:v>strict_zero_train_verified</x:v>
      </x:c>
      <x:c r="E692" s="16" t="str"/>
      <x:c r="F692" s="16" t="str"/>
      <x:c r="G692" s="16" t="str"/>
      <x:c r="H692" s="16" t="str">
        <x:v>Y</x:v>
      </x:c>
      <x:c r="I692" s="16" t="str"/>
    </x:row>
    <x:row r="693">
      <x:c r="A693" s="16" t="n">
        <x:v>692</x:v>
      </x:c>
      <x:c r="B693" s="16" t="str">
        <x:v>EXPERIMENT</x:v>
      </x:c>
      <x:c r="C693" s="16" t="str">
        <x:f>Coder_A!C693</x:f>
        <x:v>PILOT_01_E09</x:v>
      </x:c>
      <x:c r="D693" s="16" t="str">
        <x:v>external_info_for_unseen_kc</x:v>
      </x:c>
      <x:c r="E693" s="16" t="str"/>
      <x:c r="F693" s="16" t="str"/>
      <x:c r="G693" s="16" t="str"/>
      <x:c r="H693" s="16" t="str">
        <x:v>Y</x:v>
      </x:c>
      <x:c r="I693" s="16" t="str"/>
    </x:row>
    <x:row r="694">
      <x:c r="A694" s="16" t="n">
        <x:v>693</x:v>
      </x:c>
      <x:c r="B694" s="16" t="str">
        <x:v>EXPERIMENT</x:v>
      </x:c>
      <x:c r="C694" s="16" t="str">
        <x:f>Coder_A!C694</x:f>
        <x:v>PILOT_01_E09</x:v>
      </x:c>
      <x:c r="D694" s="16" t="str">
        <x:v>support_kcs</x:v>
      </x:c>
      <x:c r="E694" s="16" t="str"/>
      <x:c r="F694" s="16" t="str"/>
      <x:c r="G694" s="16" t="str"/>
      <x:c r="H694" s="16" t="str">
        <x:v>N</x:v>
      </x:c>
      <x:c r="I694" s="16" t="str"/>
    </x:row>
    <x:row r="695">
      <x:c r="A695" s="16" t="n">
        <x:v>694</x:v>
      </x:c>
      <x:c r="B695" s="16" t="str">
        <x:v>EXPERIMENT</x:v>
      </x:c>
      <x:c r="C695" s="16" t="str">
        <x:f>Coder_A!C695</x:f>
        <x:v>PILOT_01_E09</x:v>
      </x:c>
      <x:c r="D695" s="16" t="str">
        <x:v>support_learners</x:v>
      </x:c>
      <x:c r="E695" s="16" t="str"/>
      <x:c r="F695" s="16" t="str"/>
      <x:c r="G695" s="16" t="str"/>
      <x:c r="H695" s="16" t="str">
        <x:v>N</x:v>
      </x:c>
      <x:c r="I695" s="16" t="str"/>
    </x:row>
    <x:row r="696">
      <x:c r="A696" s="16" t="n">
        <x:v>695</x:v>
      </x:c>
      <x:c r="B696" s="16" t="str">
        <x:v>EXPERIMENT</x:v>
      </x:c>
      <x:c r="C696" s="16" t="str">
        <x:f>Coder_A!C696</x:f>
        <x:v>PILOT_01_E09</x:v>
      </x:c>
      <x:c r="D696" s="16" t="str">
        <x:v>support_items</x:v>
      </x:c>
      <x:c r="E696" s="16" t="str"/>
      <x:c r="F696" s="16" t="str"/>
      <x:c r="G696" s="16" t="str"/>
      <x:c r="H696" s="16" t="str">
        <x:v>N</x:v>
      </x:c>
      <x:c r="I696" s="16" t="str"/>
    </x:row>
    <x:row r="697">
      <x:c r="A697" s="16" t="n">
        <x:v>696</x:v>
      </x:c>
      <x:c r="B697" s="16" t="str">
        <x:v>EXPERIMENT</x:v>
      </x:c>
      <x:c r="C697" s="16" t="str">
        <x:f>Coder_A!C697</x:f>
        <x:v>PILOT_01_E09</x:v>
      </x:c>
      <x:c r="D697" s="16" t="str">
        <x:v>support_test_interactions</x:v>
      </x:c>
      <x:c r="E697" s="16" t="str"/>
      <x:c r="F697" s="16" t="str"/>
      <x:c r="G697" s="16" t="str"/>
      <x:c r="H697" s="16" t="str">
        <x:v>N</x:v>
      </x:c>
      <x:c r="I697" s="16" t="str"/>
    </x:row>
    <x:row r="698">
      <x:c r="A698" s="16" t="n">
        <x:v>697</x:v>
      </x:c>
      <x:c r="B698" s="16" t="str">
        <x:v>EXPERIMENT</x:v>
      </x:c>
      <x:c r="C698" s="16" t="str">
        <x:f>Coder_A!C698</x:f>
        <x:v>PILOT_01_E09</x:v>
      </x:c>
      <x:c r="D698" s="16" t="str">
        <x:v>positive_count</x:v>
      </x:c>
      <x:c r="E698" s="16" t="str"/>
      <x:c r="F698" s="16" t="str"/>
      <x:c r="G698" s="16" t="str"/>
      <x:c r="H698" s="16" t="str">
        <x:v>N</x:v>
      </x:c>
      <x:c r="I698" s="16" t="str"/>
    </x:row>
    <x:row r="699">
      <x:c r="A699" s="16" t="n">
        <x:v>698</x:v>
      </x:c>
      <x:c r="B699" s="16" t="str">
        <x:v>EXPERIMENT</x:v>
      </x:c>
      <x:c r="C699" s="16" t="str">
        <x:f>Coder_A!C699</x:f>
        <x:v>PILOT_01_E09</x:v>
      </x:c>
      <x:c r="D699" s="16" t="str">
        <x:v>negative_count</x:v>
      </x:c>
      <x:c r="E699" s="16" t="str"/>
      <x:c r="F699" s="16" t="str"/>
      <x:c r="G699" s="16" t="str"/>
      <x:c r="H699" s="16" t="str">
        <x:v>N</x:v>
      </x:c>
      <x:c r="I699" s="16" t="str"/>
    </x:row>
    <x:row r="700">
      <x:c r="A700" s="16" t="n">
        <x:v>699</x:v>
      </x:c>
      <x:c r="B700" s="16" t="str">
        <x:v>EXPERIMENT</x:v>
      </x:c>
      <x:c r="C700" s="16" t="str">
        <x:f>Coder_A!C700</x:f>
        <x:v>PILOT_01_E09</x:v>
      </x:c>
      <x:c r="D700" s="16" t="str">
        <x:v>metric_name_original</x:v>
      </x:c>
      <x:c r="E700" s="16" t="str"/>
      <x:c r="F700" s="16" t="str"/>
      <x:c r="G700" s="16" t="str"/>
      <x:c r="H700" s="16" t="str">
        <x:v>N</x:v>
      </x:c>
      <x:c r="I700" s="16" t="str"/>
    </x:row>
    <x:row r="701">
      <x:c r="A701" s="16" t="n">
        <x:v>700</x:v>
      </x:c>
      <x:c r="B701" s="16" t="str">
        <x:v>EXPERIMENT</x:v>
      </x:c>
      <x:c r="C701" s="16" t="str">
        <x:f>Coder_A!C701</x:f>
        <x:v>PILOT_01_E09</x:v>
      </x:c>
      <x:c r="D701" s="16" t="str">
        <x:v>metric_value_original</x:v>
      </x:c>
      <x:c r="E701" s="16" t="str"/>
      <x:c r="F701" s="16" t="str"/>
      <x:c r="G701" s="16" t="str"/>
      <x:c r="H701" s="16" t="str">
        <x:v>N</x:v>
      </x:c>
      <x:c r="I701" s="16" t="str"/>
    </x:row>
    <x:row r="702">
      <x:c r="A702" s="16" t="n">
        <x:v>701</x:v>
      </x:c>
      <x:c r="B702" s="16" t="str">
        <x:v>EXPERIMENT</x:v>
      </x:c>
      <x:c r="C702" s="16" t="str">
        <x:f>Coder_A!C702</x:f>
        <x:v>PILOT_01_E09</x:v>
      </x:c>
      <x:c r="D702" s="16" t="str">
        <x:v>metric_scope</x:v>
      </x:c>
      <x:c r="E702" s="16" t="str"/>
      <x:c r="F702" s="16" t="str"/>
      <x:c r="G702" s="16" t="str"/>
      <x:c r="H702" s="16" t="str">
        <x:v>Y</x:v>
      </x:c>
      <x:c r="I702" s="16" t="str"/>
    </x:row>
    <x:row r="703">
      <x:c r="A703" s="16" t="n">
        <x:v>702</x:v>
      </x:c>
      <x:c r="B703" s="16" t="str">
        <x:v>EXPERIMENT</x:v>
      </x:c>
      <x:c r="C703" s="16" t="str">
        <x:f>Coder_A!C703</x:f>
        <x:v>PILOT_01_E09</x:v>
      </x:c>
      <x:c r="D703" s="16" t="str">
        <x:v>n_seeds</x:v>
      </x:c>
      <x:c r="E703" s="16" t="str"/>
      <x:c r="F703" s="16" t="str"/>
      <x:c r="G703" s="16" t="str"/>
      <x:c r="H703" s="16" t="str">
        <x:v>N</x:v>
      </x:c>
      <x:c r="I703" s="16" t="str"/>
    </x:row>
    <x:row r="704">
      <x:c r="A704" s="16" t="n">
        <x:v>703</x:v>
      </x:c>
      <x:c r="B704" s="16" t="str">
        <x:v>EXPERIMENT</x:v>
      </x:c>
      <x:c r="C704" s="16" t="str">
        <x:f>Coder_A!C704</x:f>
        <x:v>PILOT_01_E09</x:v>
      </x:c>
      <x:c r="D704" s="16" t="str">
        <x:v>seed_values_reported</x:v>
      </x:c>
      <x:c r="E704" s="16" t="str"/>
      <x:c r="F704" s="16" t="str"/>
      <x:c r="G704" s="16" t="str"/>
      <x:c r="H704" s="16" t="str">
        <x:v>N</x:v>
      </x:c>
      <x:c r="I704" s="16" t="str"/>
    </x:row>
    <x:row r="705">
      <x:c r="A705" s="16" t="n">
        <x:v>704</x:v>
      </x:c>
      <x:c r="B705" s="16" t="str">
        <x:v>EXPERIMENT</x:v>
      </x:c>
      <x:c r="C705" s="16" t="str">
        <x:f>Coder_A!C705</x:f>
        <x:v>PILOT_01_E09</x:v>
      </x:c>
      <x:c r="D705" s="16" t="str">
        <x:v>mean_std_reported</x:v>
      </x:c>
      <x:c r="E705" s="16" t="str"/>
      <x:c r="F705" s="16" t="str"/>
      <x:c r="G705" s="16" t="str"/>
      <x:c r="H705" s="16" t="str">
        <x:v>Y</x:v>
      </x:c>
      <x:c r="I705" s="16" t="str"/>
    </x:row>
    <x:row r="706">
      <x:c r="A706" s="16" t="n">
        <x:v>705</x:v>
      </x:c>
      <x:c r="B706" s="16" t="str">
        <x:v>EXPERIMENT</x:v>
      </x:c>
      <x:c r="C706" s="16" t="str">
        <x:f>Coder_A!C706</x:f>
        <x:v>PILOT_01_E09</x:v>
      </x:c>
      <x:c r="D706" s="16" t="str">
        <x:v>confidence_interval</x:v>
      </x:c>
      <x:c r="E706" s="16" t="str"/>
      <x:c r="F706" s="16" t="str"/>
      <x:c r="G706" s="16" t="str"/>
      <x:c r="H706" s="16" t="str">
        <x:v>N</x:v>
      </x:c>
      <x:c r="I706" s="16" t="str"/>
    </x:row>
    <x:row r="707">
      <x:c r="A707" s="16" t="n">
        <x:v>706</x:v>
      </x:c>
      <x:c r="B707" s="16" t="str">
        <x:v>EXPERIMENT</x:v>
      </x:c>
      <x:c r="C707" s="16" t="str">
        <x:f>Coder_A!C707</x:f>
        <x:v>PILOT_01_E09</x:v>
      </x:c>
      <x:c r="D707" s="16" t="str">
        <x:v>bootstrap_unit</x:v>
      </x:c>
      <x:c r="E707" s="16" t="str"/>
      <x:c r="F707" s="16" t="str"/>
      <x:c r="G707" s="16" t="str"/>
      <x:c r="H707" s="16" t="str">
        <x:v>Y</x:v>
      </x:c>
      <x:c r="I707" s="16" t="str"/>
    </x:row>
    <x:row r="708">
      <x:c r="A708" s="16" t="n">
        <x:v>707</x:v>
      </x:c>
      <x:c r="B708" s="16" t="str">
        <x:v>EXPERIMENT</x:v>
      </x:c>
      <x:c r="C708" s="16" t="str">
        <x:f>Coder_A!C708</x:f>
        <x:v>PILOT_01_E09</x:v>
      </x:c>
      <x:c r="D708" s="16" t="str">
        <x:v>statistical_test</x:v>
      </x:c>
      <x:c r="E708" s="16" t="str"/>
      <x:c r="F708" s="16" t="str"/>
      <x:c r="G708" s="16" t="str"/>
      <x:c r="H708" s="16" t="str">
        <x:v>N</x:v>
      </x:c>
      <x:c r="I708" s="16" t="str"/>
    </x:row>
    <x:row r="709">
      <x:c r="A709" s="16" t="n">
        <x:v>708</x:v>
      </x:c>
      <x:c r="B709" s="16" t="str">
        <x:v>EXPERIMENT</x:v>
      </x:c>
      <x:c r="C709" s="16" t="str">
        <x:f>Coder_A!C709</x:f>
        <x:v>PILOT_01_E09</x:v>
      </x:c>
      <x:c r="D709" s="16" t="str">
        <x:v>multiple_comparison_correction</x:v>
      </x:c>
      <x:c r="E709" s="16" t="str"/>
      <x:c r="F709" s="16" t="str"/>
      <x:c r="G709" s="16" t="str"/>
      <x:c r="H709" s="16" t="str">
        <x:v>N</x:v>
      </x:c>
      <x:c r="I709" s="16" t="str"/>
    </x:row>
    <x:row r="710">
      <x:c r="A710" s="16" t="n">
        <x:v>709</x:v>
      </x:c>
      <x:c r="B710" s="16" t="str">
        <x:v>EXPERIMENT</x:v>
      </x:c>
      <x:c r="C710" s="16" t="str">
        <x:f>Coder_A!C710</x:f>
        <x:v>PILOT_01_E09</x:v>
      </x:c>
      <x:c r="D710" s="16" t="str">
        <x:v>effect_size</x:v>
      </x:c>
      <x:c r="E710" s="16" t="str"/>
      <x:c r="F710" s="16" t="str"/>
      <x:c r="G710" s="16" t="str"/>
      <x:c r="H710" s="16" t="str">
        <x:v>N</x:v>
      </x:c>
      <x:c r="I710" s="16" t="str"/>
    </x:row>
    <x:row r="711">
      <x:c r="A711" s="16" t="n">
        <x:v>710</x:v>
      </x:c>
      <x:c r="B711" s="16" t="str">
        <x:v>EXPERIMENT</x:v>
      </x:c>
      <x:c r="C711" s="16" t="str">
        <x:f>Coder_A!C711</x:f>
        <x:v>PILOT_01_E09</x:v>
      </x:c>
      <x:c r="D711" s="16" t="str">
        <x:v>paired_design</x:v>
      </x:c>
      <x:c r="E711" s="16" t="str"/>
      <x:c r="F711" s="16" t="str"/>
      <x:c r="G711" s="16" t="str"/>
      <x:c r="H711" s="16" t="str">
        <x:v>Y</x:v>
      </x:c>
      <x:c r="I711" s="16" t="str"/>
    </x:row>
    <x:row r="712">
      <x:c r="A712" s="16" t="n">
        <x:v>711</x:v>
      </x:c>
      <x:c r="B712" s="16" t="str">
        <x:v>EXPERIMENT</x:v>
      </x:c>
      <x:c r="C712" s="16" t="str">
        <x:f>Coder_A!C712</x:f>
        <x:v>PILOT_01_E09</x:v>
      </x:c>
      <x:c r="D712" s="16" t="str">
        <x:v>significance_threshold</x:v>
      </x:c>
      <x:c r="E712" s="16" t="str"/>
      <x:c r="F712" s="16" t="str"/>
      <x:c r="G712" s="16" t="str"/>
      <x:c r="H712" s="16" t="str">
        <x:v>N</x:v>
      </x:c>
      <x:c r="I712" s="16" t="str"/>
    </x:row>
    <x:row r="713">
      <x:c r="A713" s="16" t="n">
        <x:v>712</x:v>
      </x:c>
      <x:c r="B713" s="16" t="str">
        <x:v>EXPERIMENT</x:v>
      </x:c>
      <x:c r="C713" s="16" t="str">
        <x:f>Coder_A!C713</x:f>
        <x:v>PILOT_01_E09</x:v>
      </x:c>
      <x:c r="D713" s="16" t="str">
        <x:v>parameter_count</x:v>
      </x:c>
      <x:c r="E713" s="16" t="str"/>
      <x:c r="F713" s="16" t="str"/>
      <x:c r="G713" s="16" t="str"/>
      <x:c r="H713" s="16" t="str">
        <x:v>N</x:v>
      </x:c>
      <x:c r="I713" s="16" t="str"/>
    </x:row>
    <x:row r="714">
      <x:c r="A714" s="16" t="n">
        <x:v>713</x:v>
      </x:c>
      <x:c r="B714" s="16" t="str">
        <x:v>EXPERIMENT</x:v>
      </x:c>
      <x:c r="C714" s="16" t="str">
        <x:f>Coder_A!C714</x:f>
        <x:v>PILOT_01_E09</x:v>
      </x:c>
      <x:c r="D714" s="16" t="str">
        <x:v>train_time</x:v>
      </x:c>
      <x:c r="E714" s="16" t="str"/>
      <x:c r="F714" s="16" t="str"/>
      <x:c r="G714" s="16" t="str"/>
      <x:c r="H714" s="16" t="str">
        <x:v>N</x:v>
      </x:c>
      <x:c r="I714" s="16" t="str"/>
    </x:row>
    <x:row r="715">
      <x:c r="A715" s="16" t="n">
        <x:v>714</x:v>
      </x:c>
      <x:c r="B715" s="16" t="str">
        <x:v>EXPERIMENT</x:v>
      </x:c>
      <x:c r="C715" s="16" t="str">
        <x:f>Coder_A!C715</x:f>
        <x:v>PILOT_01_E09</x:v>
      </x:c>
      <x:c r="D715" s="16" t="str">
        <x:v>time_per_epoch</x:v>
      </x:c>
      <x:c r="E715" s="16" t="str"/>
      <x:c r="F715" s="16" t="str"/>
      <x:c r="G715" s="16" t="str"/>
      <x:c r="H715" s="16" t="str">
        <x:v>N</x:v>
      </x:c>
      <x:c r="I715" s="16" t="str"/>
    </x:row>
    <x:row r="716">
      <x:c r="A716" s="16" t="n">
        <x:v>715</x:v>
      </x:c>
      <x:c r="B716" s="16" t="str">
        <x:v>EXPERIMENT</x:v>
      </x:c>
      <x:c r="C716" s="16" t="str">
        <x:f>Coder_A!C716</x:f>
        <x:v>PILOT_01_E09</x:v>
      </x:c>
      <x:c r="D716" s="16" t="str">
        <x:v>inference_latency</x:v>
      </x:c>
      <x:c r="E716" s="16" t="str"/>
      <x:c r="F716" s="16" t="str"/>
      <x:c r="G716" s="16" t="str"/>
      <x:c r="H716" s="16" t="str">
        <x:v>N</x:v>
      </x:c>
      <x:c r="I716" s="16" t="str"/>
    </x:row>
    <x:row r="717">
      <x:c r="A717" s="16" t="n">
        <x:v>716</x:v>
      </x:c>
      <x:c r="B717" s="16" t="str">
        <x:v>EXPERIMENT</x:v>
      </x:c>
      <x:c r="C717" s="16" t="str">
        <x:f>Coder_A!C717</x:f>
        <x:v>PILOT_01_E09</x:v>
      </x:c>
      <x:c r="D717" s="16" t="str">
        <x:v>throughput</x:v>
      </x:c>
      <x:c r="E717" s="16" t="str"/>
      <x:c r="F717" s="16" t="str"/>
      <x:c r="G717" s="16" t="str"/>
      <x:c r="H717" s="16" t="str">
        <x:v>N</x:v>
      </x:c>
      <x:c r="I717" s="16" t="str"/>
    </x:row>
    <x:row r="718">
      <x:c r="A718" s="16" t="n">
        <x:v>717</x:v>
      </x:c>
      <x:c r="B718" s="16" t="str">
        <x:v>EXPERIMENT</x:v>
      </x:c>
      <x:c r="C718" s="16" t="str">
        <x:f>Coder_A!C718</x:f>
        <x:v>PILOT_01_E09</x:v>
      </x:c>
      <x:c r="D718" s="16" t="str">
        <x:v>cpu_ram</x:v>
      </x:c>
      <x:c r="E718" s="16" t="str"/>
      <x:c r="F718" s="16" t="str"/>
      <x:c r="G718" s="16" t="str"/>
      <x:c r="H718" s="16" t="str">
        <x:v>N</x:v>
      </x:c>
      <x:c r="I718" s="16" t="str"/>
    </x:row>
    <x:row r="719">
      <x:c r="A719" s="16" t="n">
        <x:v>718</x:v>
      </x:c>
      <x:c r="B719" s="16" t="str">
        <x:v>EXPERIMENT</x:v>
      </x:c>
      <x:c r="C719" s="16" t="str">
        <x:f>Coder_A!C719</x:f>
        <x:v>PILOT_01_E09</x:v>
      </x:c>
      <x:c r="D719" s="16" t="str">
        <x:v>gpu_vram</x:v>
      </x:c>
      <x:c r="E719" s="16" t="str"/>
      <x:c r="F719" s="16" t="str"/>
      <x:c r="G719" s="16" t="str"/>
      <x:c r="H719" s="16" t="str">
        <x:v>N</x:v>
      </x:c>
      <x:c r="I719" s="16" t="str"/>
    </x:row>
    <x:row r="720">
      <x:c r="A720" s="16" t="n">
        <x:v>719</x:v>
      </x:c>
      <x:c r="B720" s="16" t="str">
        <x:v>EXPERIMENT</x:v>
      </x:c>
      <x:c r="C720" s="16" t="str">
        <x:f>Coder_A!C720</x:f>
        <x:v>PILOT_01_E09</x:v>
      </x:c>
      <x:c r="D720" s="16" t="str">
        <x:v>hardware</x:v>
      </x:c>
      <x:c r="E720" s="16" t="str"/>
      <x:c r="F720" s="16" t="str"/>
      <x:c r="G720" s="16" t="str"/>
      <x:c r="H720" s="16" t="str">
        <x:v>N</x:v>
      </x:c>
      <x:c r="I720" s="16" t="str"/>
    </x:row>
    <x:row r="721">
      <x:c r="A721" s="16" t="n">
        <x:v>720</x:v>
      </x:c>
      <x:c r="B721" s="16" t="str">
        <x:v>EXPERIMENT</x:v>
      </x:c>
      <x:c r="C721" s="16" t="str">
        <x:f>Coder_A!C721</x:f>
        <x:v>PILOT_01_E09</x:v>
      </x:c>
      <x:c r="D721" s="16" t="str">
        <x:v>graph_construction_time</x:v>
      </x:c>
      <x:c r="E721" s="16" t="str"/>
      <x:c r="F721" s="16" t="str"/>
      <x:c r="G721" s="16" t="str"/>
      <x:c r="H721" s="16" t="str">
        <x:v>N</x:v>
      </x:c>
      <x:c r="I721" s="16" t="str"/>
    </x:row>
    <x:row r="722">
      <x:c r="A722" s="16" t="n">
        <x:v>721</x:v>
      </x:c>
      <x:c r="B722" s="16" t="str">
        <x:v>EXPERIMENT</x:v>
      </x:c>
      <x:c r="C722" s="16" t="str">
        <x:f>Coder_A!C722</x:f>
        <x:v>PILOT_01_E09</x:v>
      </x:c>
      <x:c r="D722" s="16" t="str">
        <x:v>complexity_formula</x:v>
      </x:c>
      <x:c r="E722" s="16" t="str"/>
      <x:c r="F722" s="16" t="str"/>
      <x:c r="G722" s="16" t="str"/>
      <x:c r="H722" s="16" t="str">
        <x:v>N</x:v>
      </x:c>
      <x:c r="I722" s="16" t="str"/>
    </x:row>
    <x:row r="723">
      <x:c r="A723" s="16" t="n">
        <x:v>722</x:v>
      </x:c>
      <x:c r="B723" s="16" t="str">
        <x:v>EXPERIMENT</x:v>
      </x:c>
      <x:c r="C723" s="16" t="str">
        <x:f>Coder_A!C723</x:f>
        <x:v>PILOT_01_E09</x:v>
      </x:c>
      <x:c r="D723" s="16" t="str">
        <x:v>scale_up_experiment</x:v>
      </x:c>
      <x:c r="E723" s="16" t="str"/>
      <x:c r="F723" s="16" t="str"/>
      <x:c r="G723" s="16" t="str"/>
      <x:c r="H723" s="16" t="str">
        <x:v>Y</x:v>
      </x:c>
      <x:c r="I723" s="16" t="str"/>
    </x:row>
    <x:row r="724">
      <x:c r="A724" s="16" t="n">
        <x:v>723</x:v>
      </x:c>
      <x:c r="B724" s="16" t="str">
        <x:v>EXPERIMENT</x:v>
      </x:c>
      <x:c r="C724" s="16" t="str">
        <x:f>Coder_A!C724</x:f>
        <x:v>PILOT_01_E09</x:v>
      </x:c>
      <x:c r="D724" s="16" t="str">
        <x:v>oom_timeout_reported</x:v>
      </x:c>
      <x:c r="E724" s="16" t="str"/>
      <x:c r="F724" s="16" t="str"/>
      <x:c r="G724" s="16" t="str"/>
      <x:c r="H724" s="16" t="str">
        <x:v>Y</x:v>
      </x:c>
      <x:c r="I724" s="16" t="str"/>
    </x:row>
    <x:row r="725">
      <x:c r="A725" s="16" t="n">
        <x:v>724</x:v>
      </x:c>
      <x:c r="B725" s="16" t="str">
        <x:v>EXPERIMENT</x:v>
      </x:c>
      <x:c r="C725" s="16" t="str">
        <x:f>Coder_A!C725</x:f>
        <x:v>PILOT_01_E10</x:v>
      </x:c>
      <x:c r="D725" s="16" t="str">
        <x:v>dataset_name</x:v>
      </x:c>
      <x:c r="E725" s="16" t="str"/>
      <x:c r="F725" s="16" t="str"/>
      <x:c r="G725" s="16" t="str"/>
      <x:c r="H725" s="16" t="str">
        <x:v>N</x:v>
      </x:c>
      <x:c r="I725" s="16" t="str"/>
    </x:row>
    <x:row r="726">
      <x:c r="A726" s="16" t="n">
        <x:v>725</x:v>
      </x:c>
      <x:c r="B726" s="16" t="str">
        <x:v>EXPERIMENT</x:v>
      </x:c>
      <x:c r="C726" s="16" t="str">
        <x:f>Coder_A!C726</x:f>
        <x:v>PILOT_01_E10</x:v>
      </x:c>
      <x:c r="D726" s="16" t="str">
        <x:v>dataset_version</x:v>
      </x:c>
      <x:c r="E726" s="16" t="str"/>
      <x:c r="F726" s="16" t="str"/>
      <x:c r="G726" s="16" t="str"/>
      <x:c r="H726" s="16" t="str">
        <x:v>N</x:v>
      </x:c>
      <x:c r="I726" s="16" t="str"/>
    </x:row>
    <x:row r="727">
      <x:c r="A727" s="16" t="n">
        <x:v>726</x:v>
      </x:c>
      <x:c r="B727" s="16" t="str">
        <x:v>EXPERIMENT</x:v>
      </x:c>
      <x:c r="C727" s="16" t="str">
        <x:f>Coder_A!C727</x:f>
        <x:v>PILOT_01_E10</x:v>
      </x:c>
      <x:c r="D727" s="16" t="str">
        <x:v>n_learners_reported</x:v>
      </x:c>
      <x:c r="E727" s="16" t="str"/>
      <x:c r="F727" s="16" t="str"/>
      <x:c r="G727" s="16" t="str"/>
      <x:c r="H727" s="16" t="str">
        <x:v>N</x:v>
      </x:c>
      <x:c r="I727" s="16" t="str"/>
    </x:row>
    <x:row r="728">
      <x:c r="A728" s="16" t="n">
        <x:v>727</x:v>
      </x:c>
      <x:c r="B728" s="16" t="str">
        <x:v>EXPERIMENT</x:v>
      </x:c>
      <x:c r="C728" s="16" t="str">
        <x:f>Coder_A!C728</x:f>
        <x:v>PILOT_01_E10</x:v>
      </x:c>
      <x:c r="D728" s="16" t="str">
        <x:v>n_items_reported</x:v>
      </x:c>
      <x:c r="E728" s="16" t="str"/>
      <x:c r="F728" s="16" t="str"/>
      <x:c r="G728" s="16" t="str"/>
      <x:c r="H728" s="16" t="str">
        <x:v>N</x:v>
      </x:c>
      <x:c r="I728" s="16" t="str"/>
    </x:row>
    <x:row r="729">
      <x:c r="A729" s="16" t="n">
        <x:v>728</x:v>
      </x:c>
      <x:c r="B729" s="16" t="str">
        <x:v>EXPERIMENT</x:v>
      </x:c>
      <x:c r="C729" s="16" t="str">
        <x:f>Coder_A!C729</x:f>
        <x:v>PILOT_01_E10</x:v>
      </x:c>
      <x:c r="D729" s="16" t="str">
        <x:v>n_kcs_reported</x:v>
      </x:c>
      <x:c r="E729" s="16" t="str"/>
      <x:c r="F729" s="16" t="str"/>
      <x:c r="G729" s="16" t="str"/>
      <x:c r="H729" s="16" t="str">
        <x:v>N</x:v>
      </x:c>
      <x:c r="I729" s="16" t="str"/>
    </x:row>
    <x:row r="730">
      <x:c r="A730" s="16" t="n">
        <x:v>729</x:v>
      </x:c>
      <x:c r="B730" s="16" t="str">
        <x:v>EXPERIMENT</x:v>
      </x:c>
      <x:c r="C730" s="16" t="str">
        <x:f>Coder_A!C730</x:f>
        <x:v>PILOT_01_E10</x:v>
      </x:c>
      <x:c r="D730" s="16" t="str">
        <x:v>n_interactions_reported</x:v>
      </x:c>
      <x:c r="E730" s="16" t="str"/>
      <x:c r="F730" s="16" t="str"/>
      <x:c r="G730" s="16" t="str"/>
      <x:c r="H730" s="16" t="str">
        <x:v>N</x:v>
      </x:c>
      <x:c r="I730" s="16" t="str"/>
    </x:row>
    <x:row r="731">
      <x:c r="A731" s="16" t="n">
        <x:v>730</x:v>
      </x:c>
      <x:c r="B731" s="16" t="str">
        <x:v>EXPERIMENT</x:v>
      </x:c>
      <x:c r="C731" s="16" t="str">
        <x:f>Coder_A!C731</x:f>
        <x:v>PILOT_01_E10</x:v>
      </x:c>
      <x:c r="D731" s="16" t="str">
        <x:v>multi_skill_present</x:v>
      </x:c>
      <x:c r="E731" s="16" t="str"/>
      <x:c r="F731" s="16" t="str"/>
      <x:c r="G731" s="16" t="str"/>
      <x:c r="H731" s="16" t="str">
        <x:v>Y</x:v>
      </x:c>
      <x:c r="I731" s="16" t="str"/>
    </x:row>
    <x:row r="732">
      <x:c r="A732" s="16" t="n">
        <x:v>731</x:v>
      </x:c>
      <x:c r="B732" s="16" t="str">
        <x:v>EXPERIMENT</x:v>
      </x:c>
      <x:c r="C732" s="16" t="str">
        <x:f>Coder_A!C732</x:f>
        <x:v>PILOT_01_E10</x:v>
      </x:c>
      <x:c r="D732" s="16" t="str">
        <x:v>multi_skill_handling</x:v>
      </x:c>
      <x:c r="E732" s="16" t="str"/>
      <x:c r="F732" s="16" t="str"/>
      <x:c r="G732" s="16" t="str"/>
      <x:c r="H732" s="16" t="str">
        <x:v>N</x:v>
      </x:c>
      <x:c r="I732" s="16" t="str"/>
    </x:row>
    <x:row r="733">
      <x:c r="A733" s="16" t="n">
        <x:v>732</x:v>
      </x:c>
      <x:c r="B733" s="16" t="str">
        <x:v>EXPERIMENT</x:v>
      </x:c>
      <x:c r="C733" s="16" t="str">
        <x:f>Coder_A!C733</x:f>
        <x:v>PILOT_01_E10</x:v>
      </x:c>
      <x:c r="D733" s="16" t="str">
        <x:v>sequence_truncation</x:v>
      </x:c>
      <x:c r="E733" s="16" t="str"/>
      <x:c r="F733" s="16" t="str"/>
      <x:c r="G733" s="16" t="str"/>
      <x:c r="H733" s="16" t="str">
        <x:v>N</x:v>
      </x:c>
      <x:c r="I733" s="16" t="str"/>
    </x:row>
    <x:row r="734">
      <x:c r="A734" s="16" t="n">
        <x:v>733</x:v>
      </x:c>
      <x:c r="B734" s="16" t="str">
        <x:v>EXPERIMENT</x:v>
      </x:c>
      <x:c r="C734" s="16" t="str">
        <x:f>Coder_A!C734</x:f>
        <x:v>PILOT_01_E10</x:v>
      </x:c>
      <x:c r="D734" s="16" t="str">
        <x:v>min_sequence_filter</x:v>
      </x:c>
      <x:c r="E734" s="16" t="str"/>
      <x:c r="F734" s="16" t="str"/>
      <x:c r="G734" s="16" t="str"/>
      <x:c r="H734" s="16" t="str">
        <x:v>N</x:v>
      </x:c>
      <x:c r="I734" s="16" t="str"/>
    </x:row>
    <x:row r="735">
      <x:c r="A735" s="16" t="n">
        <x:v>734</x:v>
      </x:c>
      <x:c r="B735" s="16" t="str">
        <x:v>EXPERIMENT</x:v>
      </x:c>
      <x:c r="C735" s="16" t="str">
        <x:f>Coder_A!C735</x:f>
        <x:v>PILOT_01_E10</x:v>
      </x:c>
      <x:c r="D735" s="16" t="str">
        <x:v>timestamp_used</x:v>
      </x:c>
      <x:c r="E735" s="16" t="str"/>
      <x:c r="F735" s="16" t="str"/>
      <x:c r="G735" s="16" t="str"/>
      <x:c r="H735" s="16" t="str">
        <x:v>Y</x:v>
      </x:c>
      <x:c r="I735" s="16" t="str"/>
    </x:row>
    <x:row r="736">
      <x:c r="A736" s="16" t="n">
        <x:v>735</x:v>
      </x:c>
      <x:c r="B736" s="16" t="str">
        <x:v>EXPERIMENT</x:v>
      </x:c>
      <x:c r="C736" s="16" t="str">
        <x:f>Coder_A!C736</x:f>
        <x:v>PILOT_01_E10</x:v>
      </x:c>
      <x:c r="D736" s="16" t="str">
        <x:v>preprocessing_code_available</x:v>
      </x:c>
      <x:c r="E736" s="16" t="str"/>
      <x:c r="F736" s="16" t="str"/>
      <x:c r="G736" s="16" t="str"/>
      <x:c r="H736" s="16" t="str">
        <x:v>Y</x:v>
      </x:c>
      <x:c r="I736" s="16" t="str"/>
    </x:row>
    <x:row r="737">
      <x:c r="A737" s="16" t="n">
        <x:v>736</x:v>
      </x:c>
      <x:c r="B737" s="16" t="str">
        <x:v>EXPERIMENT</x:v>
      </x:c>
      <x:c r="C737" s="16" t="str">
        <x:f>Coder_A!C737</x:f>
        <x:v>PILOT_01_E10</x:v>
      </x:c>
      <x:c r="D737" s="16" t="str">
        <x:v>split_type</x:v>
      </x:c>
      <x:c r="E737" s="16" t="str"/>
      <x:c r="F737" s="16" t="str"/>
      <x:c r="G737" s="16" t="str"/>
      <x:c r="H737" s="16" t="str">
        <x:v>Y</x:v>
      </x:c>
      <x:c r="I737" s="16" t="str"/>
    </x:row>
    <x:row r="738">
      <x:c r="A738" s="16" t="n">
        <x:v>737</x:v>
      </x:c>
      <x:c r="B738" s="16" t="str">
        <x:v>EXPERIMENT</x:v>
      </x:c>
      <x:c r="C738" s="16" t="str">
        <x:f>Coder_A!C738</x:f>
        <x:v>PILOT_01_E10</x:v>
      </x:c>
      <x:c r="D738" s="16" t="str">
        <x:v>split_unit_original</x:v>
      </x:c>
      <x:c r="E738" s="16" t="str"/>
      <x:c r="F738" s="16" t="str"/>
      <x:c r="G738" s="16" t="str"/>
      <x:c r="H738" s="16" t="str">
        <x:v>N</x:v>
      </x:c>
      <x:c r="I738" s="16" t="str"/>
    </x:row>
    <x:row r="739">
      <x:c r="A739" s="16" t="n">
        <x:v>738</x:v>
      </x:c>
      <x:c r="B739" s="16" t="str">
        <x:v>EXPERIMENT</x:v>
      </x:c>
      <x:c r="C739" s="16" t="str">
        <x:f>Coder_A!C739</x:f>
        <x:v>PILOT_01_E10</x:v>
      </x:c>
      <x:c r="D739" s="16" t="str">
        <x:v>train_fraction</x:v>
      </x:c>
      <x:c r="E739" s="16" t="str"/>
      <x:c r="F739" s="16" t="str"/>
      <x:c r="G739" s="16" t="str"/>
      <x:c r="H739" s="16" t="str">
        <x:v>N</x:v>
      </x:c>
      <x:c r="I739" s="16" t="str"/>
    </x:row>
    <x:row r="740">
      <x:c r="A740" s="16" t="n">
        <x:v>739</x:v>
      </x:c>
      <x:c r="B740" s="16" t="str">
        <x:v>EXPERIMENT</x:v>
      </x:c>
      <x:c r="C740" s="16" t="str">
        <x:f>Coder_A!C740</x:f>
        <x:v>PILOT_01_E10</x:v>
      </x:c>
      <x:c r="D740" s="16" t="str">
        <x:v>validation_fraction</x:v>
      </x:c>
      <x:c r="E740" s="16" t="str"/>
      <x:c r="F740" s="16" t="str"/>
      <x:c r="G740" s="16" t="str"/>
      <x:c r="H740" s="16" t="str">
        <x:v>N</x:v>
      </x:c>
      <x:c r="I740" s="16" t="str"/>
    </x:row>
    <x:row r="741">
      <x:c r="A741" s="16" t="n">
        <x:v>740</x:v>
      </x:c>
      <x:c r="B741" s="16" t="str">
        <x:v>EXPERIMENT</x:v>
      </x:c>
      <x:c r="C741" s="16" t="str">
        <x:f>Coder_A!C741</x:f>
        <x:v>PILOT_01_E10</x:v>
      </x:c>
      <x:c r="D741" s="16" t="str">
        <x:v>test_fraction</x:v>
      </x:c>
      <x:c r="E741" s="16" t="str"/>
      <x:c r="F741" s="16" t="str"/>
      <x:c r="G741" s="16" t="str"/>
      <x:c r="H741" s="16" t="str">
        <x:v>N</x:v>
      </x:c>
      <x:c r="I741" s="16" t="str"/>
    </x:row>
    <x:row r="742">
      <x:c r="A742" s="16" t="n">
        <x:v>741</x:v>
      </x:c>
      <x:c r="B742" s="16" t="str">
        <x:v>EXPERIMENT</x:v>
      </x:c>
      <x:c r="C742" s="16" t="str">
        <x:f>Coder_A!C742</x:f>
        <x:v>PILOT_01_E10</x:v>
      </x:c>
      <x:c r="D742" s="16" t="str">
        <x:v>validation_set_separate</x:v>
      </x:c>
      <x:c r="E742" s="16" t="str"/>
      <x:c r="F742" s="16" t="str"/>
      <x:c r="G742" s="16" t="str"/>
      <x:c r="H742" s="16" t="str">
        <x:v>Y</x:v>
      </x:c>
      <x:c r="I742" s="16" t="str"/>
    </x:row>
    <x:row r="743">
      <x:c r="A743" s="16" t="n">
        <x:v>742</x:v>
      </x:c>
      <x:c r="B743" s="16" t="str">
        <x:v>EXPERIMENT</x:v>
      </x:c>
      <x:c r="C743" s="16" t="str">
        <x:f>Coder_A!C743</x:f>
        <x:v>PILOT_01_E10</x:v>
      </x:c>
      <x:c r="D743" s="16" t="str">
        <x:v>early_stopping_validation_only</x:v>
      </x:c>
      <x:c r="E743" s="16" t="str"/>
      <x:c r="F743" s="16" t="str"/>
      <x:c r="G743" s="16" t="str"/>
      <x:c r="H743" s="16" t="str">
        <x:v>Y</x:v>
      </x:c>
      <x:c r="I743" s="16" t="str"/>
    </x:row>
    <x:row r="744">
      <x:c r="A744" s="16" t="n">
        <x:v>743</x:v>
      </x:c>
      <x:c r="B744" s="16" t="str">
        <x:v>EXPERIMENT</x:v>
      </x:c>
      <x:c r="C744" s="16" t="str">
        <x:f>Coder_A!C744</x:f>
        <x:v>PILOT_01_E10</x:v>
      </x:c>
      <x:c r="D744" s="16" t="str">
        <x:v>graph_train_only</x:v>
      </x:c>
      <x:c r="E744" s="16" t="str"/>
      <x:c r="F744" s="16" t="str"/>
      <x:c r="G744" s="16" t="str"/>
      <x:c r="H744" s="16" t="str">
        <x:v>Y</x:v>
      </x:c>
      <x:c r="I744" s="16" t="str"/>
    </x:row>
    <x:row r="745">
      <x:c r="A745" s="16" t="n">
        <x:v>744</x:v>
      </x:c>
      <x:c r="B745" s="16" t="str">
        <x:v>EXPERIMENT</x:v>
      </x:c>
      <x:c r="C745" s="16" t="str">
        <x:f>Coder_A!C745</x:f>
        <x:v>PILOT_01_E10</x:v>
      </x:c>
      <x:c r="D745" s="16" t="str">
        <x:v>normalization_train_only</x:v>
      </x:c>
      <x:c r="E745" s="16" t="str"/>
      <x:c r="F745" s="16" t="str"/>
      <x:c r="G745" s="16" t="str"/>
      <x:c r="H745" s="16" t="str">
        <x:v>Y</x:v>
      </x:c>
      <x:c r="I745" s="16" t="str"/>
    </x:row>
    <x:row r="746">
      <x:c r="A746" s="16" t="n">
        <x:v>745</x:v>
      </x:c>
      <x:c r="B746" s="16" t="str">
        <x:v>EXPERIMENT</x:v>
      </x:c>
      <x:c r="C746" s="16" t="str">
        <x:f>Coder_A!C746</x:f>
        <x:v>PILOT_01_E10</x:v>
      </x:c>
      <x:c r="D746" s="16" t="str">
        <x:v>sparse_strata_train_only</x:v>
      </x:c>
      <x:c r="E746" s="16" t="str"/>
      <x:c r="F746" s="16" t="str"/>
      <x:c r="G746" s="16" t="str"/>
      <x:c r="H746" s="16" t="str">
        <x:v>Y</x:v>
      </x:c>
      <x:c r="I746" s="16" t="str"/>
    </x:row>
    <x:row r="747">
      <x:c r="A747" s="16" t="n">
        <x:v>746</x:v>
      </x:c>
      <x:c r="B747" s="16" t="str">
        <x:v>EXPERIMENT</x:v>
      </x:c>
      <x:c r="C747" s="16" t="str">
        <x:f>Coder_A!C747</x:f>
        <x:v>PILOT_01_E10</x:v>
      </x:c>
      <x:c r="D747" s="16" t="str">
        <x:v>temporal_alignment_audited</x:v>
      </x:c>
      <x:c r="E747" s="16" t="str"/>
      <x:c r="F747" s="16" t="str"/>
      <x:c r="G747" s="16" t="str"/>
      <x:c r="H747" s="16" t="str">
        <x:v>Y</x:v>
      </x:c>
      <x:c r="I747" s="16" t="str"/>
    </x:row>
    <x:row r="748">
      <x:c r="A748" s="16" t="n">
        <x:v>747</x:v>
      </x:c>
      <x:c r="B748" s="16" t="str">
        <x:v>EXPERIMENT</x:v>
      </x:c>
      <x:c r="C748" s="16" t="str">
        <x:f>Coder_A!C748</x:f>
        <x:v>PILOT_01_E10</x:v>
      </x:c>
      <x:c r="D748" s="16" t="str">
        <x:v>duplicate_entity_leakage_checked</x:v>
      </x:c>
      <x:c r="E748" s="16" t="str"/>
      <x:c r="F748" s="16" t="str"/>
      <x:c r="G748" s="16" t="str"/>
      <x:c r="H748" s="16" t="str">
        <x:v>Y</x:v>
      </x:c>
      <x:c r="I748" s="16" t="str"/>
    </x:row>
    <x:row r="749">
      <x:c r="A749" s="16" t="n">
        <x:v>748</x:v>
      </x:c>
      <x:c r="B749" s="16" t="str">
        <x:v>EXPERIMENT</x:v>
      </x:c>
      <x:c r="C749" s="16" t="str">
        <x:f>Coder_A!C749</x:f>
        <x:v>PILOT_01_E10</x:v>
      </x:c>
      <x:c r="D749" s="16" t="str">
        <x:v>sparsity_construct</x:v>
      </x:c>
      <x:c r="E749" s="16" t="str"/>
      <x:c r="F749" s="16" t="str"/>
      <x:c r="G749" s="16" t="str"/>
      <x:c r="H749" s="16" t="str">
        <x:v>Y</x:v>
      </x:c>
      <x:c r="I749" s="16" t="str"/>
    </x:row>
    <x:row r="750">
      <x:c r="A750" s="16" t="n">
        <x:v>749</x:v>
      </x:c>
      <x:c r="B750" s="16" t="str">
        <x:v>EXPERIMENT</x:v>
      </x:c>
      <x:c r="C750" s="16" t="str">
        <x:f>Coder_A!C750</x:f>
        <x:v>PILOT_01_E10</x:v>
      </x:c>
      <x:c r="D750" s="16" t="str">
        <x:v>sparse_definition_original</x:v>
      </x:c>
      <x:c r="E750" s="16" t="str"/>
      <x:c r="F750" s="16" t="str"/>
      <x:c r="G750" s="16" t="str"/>
      <x:c r="H750" s="16" t="str">
        <x:v>N</x:v>
      </x:c>
      <x:c r="I750" s="16" t="str"/>
    </x:row>
    <x:row r="751">
      <x:c r="A751" s="16" t="n">
        <x:v>750</x:v>
      </x:c>
      <x:c r="B751" s="16" t="str">
        <x:v>EXPERIMENT</x:v>
      </x:c>
      <x:c r="C751" s="16" t="str">
        <x:f>Coder_A!C751</x:f>
        <x:v>PILOT_01_E10</x:v>
      </x:c>
      <x:c r="D751" s="16" t="str">
        <x:v>sparse_threshold_original</x:v>
      </x:c>
      <x:c r="E751" s="16" t="str"/>
      <x:c r="F751" s="16" t="str"/>
      <x:c r="G751" s="16" t="str"/>
      <x:c r="H751" s="16" t="str">
        <x:v>N</x:v>
      </x:c>
      <x:c r="I751" s="16" t="str"/>
    </x:row>
    <x:row r="752">
      <x:c r="A752" s="16" t="n">
        <x:v>751</x:v>
      </x:c>
      <x:c r="B752" s="16" t="str">
        <x:v>EXPERIMENT</x:v>
      </x:c>
      <x:c r="C752" s="16" t="str">
        <x:f>Coder_A!C752</x:f>
        <x:v>PILOT_01_E10</x:v>
      </x:c>
      <x:c r="D752" s="16" t="str">
        <x:v>threshold_source</x:v>
      </x:c>
      <x:c r="E752" s="16" t="str"/>
      <x:c r="F752" s="16" t="str"/>
      <x:c r="G752" s="16" t="str"/>
      <x:c r="H752" s="16" t="str">
        <x:v>Y</x:v>
      </x:c>
      <x:c r="I752" s="16" t="str"/>
    </x:row>
    <x:row r="753">
      <x:c r="A753" s="16" t="n">
        <x:v>752</x:v>
      </x:c>
      <x:c r="B753" s="16" t="str">
        <x:v>EXPERIMENT</x:v>
      </x:c>
      <x:c r="C753" s="16" t="str">
        <x:f>Coder_A!C753</x:f>
        <x:v>PILOT_01_E10</x:v>
      </x:c>
      <x:c r="D753" s="16" t="str">
        <x:v>frequency_computed_on</x:v>
      </x:c>
      <x:c r="E753" s="16" t="str"/>
      <x:c r="F753" s="16" t="str"/>
      <x:c r="G753" s="16" t="str"/>
      <x:c r="H753" s="16" t="str">
        <x:v>Y</x:v>
      </x:c>
      <x:c r="I753" s="16" t="str"/>
    </x:row>
    <x:row r="754">
      <x:c r="A754" s="16" t="n">
        <x:v>753</x:v>
      </x:c>
      <x:c r="B754" s="16" t="str">
        <x:v>EXPERIMENT</x:v>
      </x:c>
      <x:c r="C754" s="16" t="str">
        <x:f>Coder_A!C754</x:f>
        <x:v>PILOT_01_E10</x:v>
      </x:c>
      <x:c r="D754" s="16" t="str">
        <x:v>strict_zero_train_verified</x:v>
      </x:c>
      <x:c r="E754" s="16" t="str"/>
      <x:c r="F754" s="16" t="str"/>
      <x:c r="G754" s="16" t="str"/>
      <x:c r="H754" s="16" t="str">
        <x:v>Y</x:v>
      </x:c>
      <x:c r="I754" s="16" t="str"/>
    </x:row>
    <x:row r="755">
      <x:c r="A755" s="16" t="n">
        <x:v>754</x:v>
      </x:c>
      <x:c r="B755" s="16" t="str">
        <x:v>EXPERIMENT</x:v>
      </x:c>
      <x:c r="C755" s="16" t="str">
        <x:f>Coder_A!C755</x:f>
        <x:v>PILOT_01_E10</x:v>
      </x:c>
      <x:c r="D755" s="16" t="str">
        <x:v>external_info_for_unseen_kc</x:v>
      </x:c>
      <x:c r="E755" s="16" t="str"/>
      <x:c r="F755" s="16" t="str"/>
      <x:c r="G755" s="16" t="str"/>
      <x:c r="H755" s="16" t="str">
        <x:v>Y</x:v>
      </x:c>
      <x:c r="I755" s="16" t="str"/>
    </x:row>
    <x:row r="756">
      <x:c r="A756" s="16" t="n">
        <x:v>755</x:v>
      </x:c>
      <x:c r="B756" s="16" t="str">
        <x:v>EXPERIMENT</x:v>
      </x:c>
      <x:c r="C756" s="16" t="str">
        <x:f>Coder_A!C756</x:f>
        <x:v>PILOT_01_E10</x:v>
      </x:c>
      <x:c r="D756" s="16" t="str">
        <x:v>support_kcs</x:v>
      </x:c>
      <x:c r="E756" s="16" t="str"/>
      <x:c r="F756" s="16" t="str"/>
      <x:c r="G756" s="16" t="str"/>
      <x:c r="H756" s="16" t="str">
        <x:v>N</x:v>
      </x:c>
      <x:c r="I756" s="16" t="str"/>
    </x:row>
    <x:row r="757">
      <x:c r="A757" s="16" t="n">
        <x:v>756</x:v>
      </x:c>
      <x:c r="B757" s="16" t="str">
        <x:v>EXPERIMENT</x:v>
      </x:c>
      <x:c r="C757" s="16" t="str">
        <x:f>Coder_A!C757</x:f>
        <x:v>PILOT_01_E10</x:v>
      </x:c>
      <x:c r="D757" s="16" t="str">
        <x:v>support_learners</x:v>
      </x:c>
      <x:c r="E757" s="16" t="str"/>
      <x:c r="F757" s="16" t="str"/>
      <x:c r="G757" s="16" t="str"/>
      <x:c r="H757" s="16" t="str">
        <x:v>N</x:v>
      </x:c>
      <x:c r="I757" s="16" t="str"/>
    </x:row>
    <x:row r="758">
      <x:c r="A758" s="16" t="n">
        <x:v>757</x:v>
      </x:c>
      <x:c r="B758" s="16" t="str">
        <x:v>EXPERIMENT</x:v>
      </x:c>
      <x:c r="C758" s="16" t="str">
        <x:f>Coder_A!C758</x:f>
        <x:v>PILOT_01_E10</x:v>
      </x:c>
      <x:c r="D758" s="16" t="str">
        <x:v>support_items</x:v>
      </x:c>
      <x:c r="E758" s="16" t="str"/>
      <x:c r="F758" s="16" t="str"/>
      <x:c r="G758" s="16" t="str"/>
      <x:c r="H758" s="16" t="str">
        <x:v>N</x:v>
      </x:c>
      <x:c r="I758" s="16" t="str"/>
    </x:row>
    <x:row r="759">
      <x:c r="A759" s="16" t="n">
        <x:v>758</x:v>
      </x:c>
      <x:c r="B759" s="16" t="str">
        <x:v>EXPERIMENT</x:v>
      </x:c>
      <x:c r="C759" s="16" t="str">
        <x:f>Coder_A!C759</x:f>
        <x:v>PILOT_01_E10</x:v>
      </x:c>
      <x:c r="D759" s="16" t="str">
        <x:v>support_test_interactions</x:v>
      </x:c>
      <x:c r="E759" s="16" t="str"/>
      <x:c r="F759" s="16" t="str"/>
      <x:c r="G759" s="16" t="str"/>
      <x:c r="H759" s="16" t="str">
        <x:v>N</x:v>
      </x:c>
      <x:c r="I759" s="16" t="str"/>
    </x:row>
    <x:row r="760">
      <x:c r="A760" s="16" t="n">
        <x:v>759</x:v>
      </x:c>
      <x:c r="B760" s="16" t="str">
        <x:v>EXPERIMENT</x:v>
      </x:c>
      <x:c r="C760" s="16" t="str">
        <x:f>Coder_A!C760</x:f>
        <x:v>PILOT_01_E10</x:v>
      </x:c>
      <x:c r="D760" s="16" t="str">
        <x:v>positive_count</x:v>
      </x:c>
      <x:c r="E760" s="16" t="str"/>
      <x:c r="F760" s="16" t="str"/>
      <x:c r="G760" s="16" t="str"/>
      <x:c r="H760" s="16" t="str">
        <x:v>N</x:v>
      </x:c>
      <x:c r="I760" s="16" t="str"/>
    </x:row>
    <x:row r="761">
      <x:c r="A761" s="16" t="n">
        <x:v>760</x:v>
      </x:c>
      <x:c r="B761" s="16" t="str">
        <x:v>EXPERIMENT</x:v>
      </x:c>
      <x:c r="C761" s="16" t="str">
        <x:f>Coder_A!C761</x:f>
        <x:v>PILOT_01_E10</x:v>
      </x:c>
      <x:c r="D761" s="16" t="str">
        <x:v>negative_count</x:v>
      </x:c>
      <x:c r="E761" s="16" t="str"/>
      <x:c r="F761" s="16" t="str"/>
      <x:c r="G761" s="16" t="str"/>
      <x:c r="H761" s="16" t="str">
        <x:v>N</x:v>
      </x:c>
      <x:c r="I761" s="16" t="str"/>
    </x:row>
    <x:row r="762">
      <x:c r="A762" s="16" t="n">
        <x:v>761</x:v>
      </x:c>
      <x:c r="B762" s="16" t="str">
        <x:v>EXPERIMENT</x:v>
      </x:c>
      <x:c r="C762" s="16" t="str">
        <x:f>Coder_A!C762</x:f>
        <x:v>PILOT_01_E10</x:v>
      </x:c>
      <x:c r="D762" s="16" t="str">
        <x:v>metric_name_original</x:v>
      </x:c>
      <x:c r="E762" s="16" t="str"/>
      <x:c r="F762" s="16" t="str"/>
      <x:c r="G762" s="16" t="str"/>
      <x:c r="H762" s="16" t="str">
        <x:v>N</x:v>
      </x:c>
      <x:c r="I762" s="16" t="str"/>
    </x:row>
    <x:row r="763">
      <x:c r="A763" s="16" t="n">
        <x:v>762</x:v>
      </x:c>
      <x:c r="B763" s="16" t="str">
        <x:v>EXPERIMENT</x:v>
      </x:c>
      <x:c r="C763" s="16" t="str">
        <x:f>Coder_A!C763</x:f>
        <x:v>PILOT_01_E10</x:v>
      </x:c>
      <x:c r="D763" s="16" t="str">
        <x:v>metric_value_original</x:v>
      </x:c>
      <x:c r="E763" s="16" t="str"/>
      <x:c r="F763" s="16" t="str"/>
      <x:c r="G763" s="16" t="str"/>
      <x:c r="H763" s="16" t="str">
        <x:v>N</x:v>
      </x:c>
      <x:c r="I763" s="16" t="str"/>
    </x:row>
    <x:row r="764">
      <x:c r="A764" s="16" t="n">
        <x:v>763</x:v>
      </x:c>
      <x:c r="B764" s="16" t="str">
        <x:v>EXPERIMENT</x:v>
      </x:c>
      <x:c r="C764" s="16" t="str">
        <x:f>Coder_A!C764</x:f>
        <x:v>PILOT_01_E10</x:v>
      </x:c>
      <x:c r="D764" s="16" t="str">
        <x:v>metric_scope</x:v>
      </x:c>
      <x:c r="E764" s="16" t="str"/>
      <x:c r="F764" s="16" t="str"/>
      <x:c r="G764" s="16" t="str"/>
      <x:c r="H764" s="16" t="str">
        <x:v>Y</x:v>
      </x:c>
      <x:c r="I764" s="16" t="str"/>
    </x:row>
    <x:row r="765">
      <x:c r="A765" s="16" t="n">
        <x:v>764</x:v>
      </x:c>
      <x:c r="B765" s="16" t="str">
        <x:v>EXPERIMENT</x:v>
      </x:c>
      <x:c r="C765" s="16" t="str">
        <x:f>Coder_A!C765</x:f>
        <x:v>PILOT_01_E10</x:v>
      </x:c>
      <x:c r="D765" s="16" t="str">
        <x:v>n_seeds</x:v>
      </x:c>
      <x:c r="E765" s="16" t="str"/>
      <x:c r="F765" s="16" t="str"/>
      <x:c r="G765" s="16" t="str"/>
      <x:c r="H765" s="16" t="str">
        <x:v>N</x:v>
      </x:c>
      <x:c r="I765" s="16" t="str"/>
    </x:row>
    <x:row r="766">
      <x:c r="A766" s="16" t="n">
        <x:v>765</x:v>
      </x:c>
      <x:c r="B766" s="16" t="str">
        <x:v>EXPERIMENT</x:v>
      </x:c>
      <x:c r="C766" s="16" t="str">
        <x:f>Coder_A!C766</x:f>
        <x:v>PILOT_01_E10</x:v>
      </x:c>
      <x:c r="D766" s="16" t="str">
        <x:v>seed_values_reported</x:v>
      </x:c>
      <x:c r="E766" s="16" t="str"/>
      <x:c r="F766" s="16" t="str"/>
      <x:c r="G766" s="16" t="str"/>
      <x:c r="H766" s="16" t="str">
        <x:v>N</x:v>
      </x:c>
      <x:c r="I766" s="16" t="str"/>
    </x:row>
    <x:row r="767">
      <x:c r="A767" s="16" t="n">
        <x:v>766</x:v>
      </x:c>
      <x:c r="B767" s="16" t="str">
        <x:v>EXPERIMENT</x:v>
      </x:c>
      <x:c r="C767" s="16" t="str">
        <x:f>Coder_A!C767</x:f>
        <x:v>PILOT_01_E10</x:v>
      </x:c>
      <x:c r="D767" s="16" t="str">
        <x:v>mean_std_reported</x:v>
      </x:c>
      <x:c r="E767" s="16" t="str"/>
      <x:c r="F767" s="16" t="str"/>
      <x:c r="G767" s="16" t="str"/>
      <x:c r="H767" s="16" t="str">
        <x:v>Y</x:v>
      </x:c>
      <x:c r="I767" s="16" t="str"/>
    </x:row>
    <x:row r="768">
      <x:c r="A768" s="16" t="n">
        <x:v>767</x:v>
      </x:c>
      <x:c r="B768" s="16" t="str">
        <x:v>EXPERIMENT</x:v>
      </x:c>
      <x:c r="C768" s="16" t="str">
        <x:f>Coder_A!C768</x:f>
        <x:v>PILOT_01_E10</x:v>
      </x:c>
      <x:c r="D768" s="16" t="str">
        <x:v>confidence_interval</x:v>
      </x:c>
      <x:c r="E768" s="16" t="str"/>
      <x:c r="F768" s="16" t="str"/>
      <x:c r="G768" s="16" t="str"/>
      <x:c r="H768" s="16" t="str">
        <x:v>N</x:v>
      </x:c>
      <x:c r="I768" s="16" t="str"/>
    </x:row>
    <x:row r="769">
      <x:c r="A769" s="16" t="n">
        <x:v>768</x:v>
      </x:c>
      <x:c r="B769" s="16" t="str">
        <x:v>EXPERIMENT</x:v>
      </x:c>
      <x:c r="C769" s="16" t="str">
        <x:f>Coder_A!C769</x:f>
        <x:v>PILOT_01_E10</x:v>
      </x:c>
      <x:c r="D769" s="16" t="str">
        <x:v>bootstrap_unit</x:v>
      </x:c>
      <x:c r="E769" s="16" t="str"/>
      <x:c r="F769" s="16" t="str"/>
      <x:c r="G769" s="16" t="str"/>
      <x:c r="H769" s="16" t="str">
        <x:v>Y</x:v>
      </x:c>
      <x:c r="I769" s="16" t="str"/>
    </x:row>
    <x:row r="770">
      <x:c r="A770" s="16" t="n">
        <x:v>769</x:v>
      </x:c>
      <x:c r="B770" s="16" t="str">
        <x:v>EXPERIMENT</x:v>
      </x:c>
      <x:c r="C770" s="16" t="str">
        <x:f>Coder_A!C770</x:f>
        <x:v>PILOT_01_E10</x:v>
      </x:c>
      <x:c r="D770" s="16" t="str">
        <x:v>statistical_test</x:v>
      </x:c>
      <x:c r="E770" s="16" t="str"/>
      <x:c r="F770" s="16" t="str"/>
      <x:c r="G770" s="16" t="str"/>
      <x:c r="H770" s="16" t="str">
        <x:v>N</x:v>
      </x:c>
      <x:c r="I770" s="16" t="str"/>
    </x:row>
    <x:row r="771">
      <x:c r="A771" s="16" t="n">
        <x:v>770</x:v>
      </x:c>
      <x:c r="B771" s="16" t="str">
        <x:v>EXPERIMENT</x:v>
      </x:c>
      <x:c r="C771" s="16" t="str">
        <x:f>Coder_A!C771</x:f>
        <x:v>PILOT_01_E10</x:v>
      </x:c>
      <x:c r="D771" s="16" t="str">
        <x:v>multiple_comparison_correction</x:v>
      </x:c>
      <x:c r="E771" s="16" t="str"/>
      <x:c r="F771" s="16" t="str"/>
      <x:c r="G771" s="16" t="str"/>
      <x:c r="H771" s="16" t="str">
        <x:v>N</x:v>
      </x:c>
      <x:c r="I771" s="16" t="str"/>
    </x:row>
    <x:row r="772">
      <x:c r="A772" s="16" t="n">
        <x:v>771</x:v>
      </x:c>
      <x:c r="B772" s="16" t="str">
        <x:v>EXPERIMENT</x:v>
      </x:c>
      <x:c r="C772" s="16" t="str">
        <x:f>Coder_A!C772</x:f>
        <x:v>PILOT_01_E10</x:v>
      </x:c>
      <x:c r="D772" s="16" t="str">
        <x:v>effect_size</x:v>
      </x:c>
      <x:c r="E772" s="16" t="str"/>
      <x:c r="F772" s="16" t="str"/>
      <x:c r="G772" s="16" t="str"/>
      <x:c r="H772" s="16" t="str">
        <x:v>N</x:v>
      </x:c>
      <x:c r="I772" s="16" t="str"/>
    </x:row>
    <x:row r="773">
      <x:c r="A773" s="16" t="n">
        <x:v>772</x:v>
      </x:c>
      <x:c r="B773" s="16" t="str">
        <x:v>EXPERIMENT</x:v>
      </x:c>
      <x:c r="C773" s="16" t="str">
        <x:f>Coder_A!C773</x:f>
        <x:v>PILOT_01_E10</x:v>
      </x:c>
      <x:c r="D773" s="16" t="str">
        <x:v>paired_design</x:v>
      </x:c>
      <x:c r="E773" s="16" t="str"/>
      <x:c r="F773" s="16" t="str"/>
      <x:c r="G773" s="16" t="str"/>
      <x:c r="H773" s="16" t="str">
        <x:v>Y</x:v>
      </x:c>
      <x:c r="I773" s="16" t="str"/>
    </x:row>
    <x:row r="774">
      <x:c r="A774" s="16" t="n">
        <x:v>773</x:v>
      </x:c>
      <x:c r="B774" s="16" t="str">
        <x:v>EXPERIMENT</x:v>
      </x:c>
      <x:c r="C774" s="16" t="str">
        <x:f>Coder_A!C774</x:f>
        <x:v>PILOT_01_E10</x:v>
      </x:c>
      <x:c r="D774" s="16" t="str">
        <x:v>significance_threshold</x:v>
      </x:c>
      <x:c r="E774" s="16" t="str"/>
      <x:c r="F774" s="16" t="str"/>
      <x:c r="G774" s="16" t="str"/>
      <x:c r="H774" s="16" t="str">
        <x:v>N</x:v>
      </x:c>
      <x:c r="I774" s="16" t="str"/>
    </x:row>
    <x:row r="775">
      <x:c r="A775" s="16" t="n">
        <x:v>774</x:v>
      </x:c>
      <x:c r="B775" s="16" t="str">
        <x:v>EXPERIMENT</x:v>
      </x:c>
      <x:c r="C775" s="16" t="str">
        <x:f>Coder_A!C775</x:f>
        <x:v>PILOT_01_E10</x:v>
      </x:c>
      <x:c r="D775" s="16" t="str">
        <x:v>parameter_count</x:v>
      </x:c>
      <x:c r="E775" s="16" t="str"/>
      <x:c r="F775" s="16" t="str"/>
      <x:c r="G775" s="16" t="str"/>
      <x:c r="H775" s="16" t="str">
        <x:v>N</x:v>
      </x:c>
      <x:c r="I775" s="16" t="str"/>
    </x:row>
    <x:row r="776">
      <x:c r="A776" s="16" t="n">
        <x:v>775</x:v>
      </x:c>
      <x:c r="B776" s="16" t="str">
        <x:v>EXPERIMENT</x:v>
      </x:c>
      <x:c r="C776" s="16" t="str">
        <x:f>Coder_A!C776</x:f>
        <x:v>PILOT_01_E10</x:v>
      </x:c>
      <x:c r="D776" s="16" t="str">
        <x:v>train_time</x:v>
      </x:c>
      <x:c r="E776" s="16" t="str"/>
      <x:c r="F776" s="16" t="str"/>
      <x:c r="G776" s="16" t="str"/>
      <x:c r="H776" s="16" t="str">
        <x:v>N</x:v>
      </x:c>
      <x:c r="I776" s="16" t="str"/>
    </x:row>
    <x:row r="777">
      <x:c r="A777" s="16" t="n">
        <x:v>776</x:v>
      </x:c>
      <x:c r="B777" s="16" t="str">
        <x:v>EXPERIMENT</x:v>
      </x:c>
      <x:c r="C777" s="16" t="str">
        <x:f>Coder_A!C777</x:f>
        <x:v>PILOT_01_E10</x:v>
      </x:c>
      <x:c r="D777" s="16" t="str">
        <x:v>time_per_epoch</x:v>
      </x:c>
      <x:c r="E777" s="16" t="str"/>
      <x:c r="F777" s="16" t="str"/>
      <x:c r="G777" s="16" t="str"/>
      <x:c r="H777" s="16" t="str">
        <x:v>N</x:v>
      </x:c>
      <x:c r="I777" s="16" t="str"/>
    </x:row>
    <x:row r="778">
      <x:c r="A778" s="16" t="n">
        <x:v>777</x:v>
      </x:c>
      <x:c r="B778" s="16" t="str">
        <x:v>EXPERIMENT</x:v>
      </x:c>
      <x:c r="C778" s="16" t="str">
        <x:f>Coder_A!C778</x:f>
        <x:v>PILOT_01_E10</x:v>
      </x:c>
      <x:c r="D778" s="16" t="str">
        <x:v>inference_latency</x:v>
      </x:c>
      <x:c r="E778" s="16" t="str"/>
      <x:c r="F778" s="16" t="str"/>
      <x:c r="G778" s="16" t="str"/>
      <x:c r="H778" s="16" t="str">
        <x:v>N</x:v>
      </x:c>
      <x:c r="I778" s="16" t="str"/>
    </x:row>
    <x:row r="779">
      <x:c r="A779" s="16" t="n">
        <x:v>778</x:v>
      </x:c>
      <x:c r="B779" s="16" t="str">
        <x:v>EXPERIMENT</x:v>
      </x:c>
      <x:c r="C779" s="16" t="str">
        <x:f>Coder_A!C779</x:f>
        <x:v>PILOT_01_E10</x:v>
      </x:c>
      <x:c r="D779" s="16" t="str">
        <x:v>throughput</x:v>
      </x:c>
      <x:c r="E779" s="16" t="str"/>
      <x:c r="F779" s="16" t="str"/>
      <x:c r="G779" s="16" t="str"/>
      <x:c r="H779" s="16" t="str">
        <x:v>N</x:v>
      </x:c>
      <x:c r="I779" s="16" t="str"/>
    </x:row>
    <x:row r="780">
      <x:c r="A780" s="16" t="n">
        <x:v>779</x:v>
      </x:c>
      <x:c r="B780" s="16" t="str">
        <x:v>EXPERIMENT</x:v>
      </x:c>
      <x:c r="C780" s="16" t="str">
        <x:f>Coder_A!C780</x:f>
        <x:v>PILOT_01_E10</x:v>
      </x:c>
      <x:c r="D780" s="16" t="str">
        <x:v>cpu_ram</x:v>
      </x:c>
      <x:c r="E780" s="16" t="str"/>
      <x:c r="F780" s="16" t="str"/>
      <x:c r="G780" s="16" t="str"/>
      <x:c r="H780" s="16" t="str">
        <x:v>N</x:v>
      </x:c>
      <x:c r="I780" s="16" t="str"/>
    </x:row>
    <x:row r="781">
      <x:c r="A781" s="16" t="n">
        <x:v>780</x:v>
      </x:c>
      <x:c r="B781" s="16" t="str">
        <x:v>EXPERIMENT</x:v>
      </x:c>
      <x:c r="C781" s="16" t="str">
        <x:f>Coder_A!C781</x:f>
        <x:v>PILOT_01_E10</x:v>
      </x:c>
      <x:c r="D781" s="16" t="str">
        <x:v>gpu_vram</x:v>
      </x:c>
      <x:c r="E781" s="16" t="str"/>
      <x:c r="F781" s="16" t="str"/>
      <x:c r="G781" s="16" t="str"/>
      <x:c r="H781" s="16" t="str">
        <x:v>N</x:v>
      </x:c>
      <x:c r="I781" s="16" t="str"/>
    </x:row>
    <x:row r="782">
      <x:c r="A782" s="16" t="n">
        <x:v>781</x:v>
      </x:c>
      <x:c r="B782" s="16" t="str">
        <x:v>EXPERIMENT</x:v>
      </x:c>
      <x:c r="C782" s="16" t="str">
        <x:f>Coder_A!C782</x:f>
        <x:v>PILOT_01_E10</x:v>
      </x:c>
      <x:c r="D782" s="16" t="str">
        <x:v>hardware</x:v>
      </x:c>
      <x:c r="E782" s="16" t="str"/>
      <x:c r="F782" s="16" t="str"/>
      <x:c r="G782" s="16" t="str"/>
      <x:c r="H782" s="16" t="str">
        <x:v>N</x:v>
      </x:c>
      <x:c r="I782" s="16" t="str"/>
    </x:row>
    <x:row r="783">
      <x:c r="A783" s="16" t="n">
        <x:v>782</x:v>
      </x:c>
      <x:c r="B783" s="16" t="str">
        <x:v>EXPERIMENT</x:v>
      </x:c>
      <x:c r="C783" s="16" t="str">
        <x:f>Coder_A!C783</x:f>
        <x:v>PILOT_01_E10</x:v>
      </x:c>
      <x:c r="D783" s="16" t="str">
        <x:v>graph_construction_time</x:v>
      </x:c>
      <x:c r="E783" s="16" t="str"/>
      <x:c r="F783" s="16" t="str"/>
      <x:c r="G783" s="16" t="str"/>
      <x:c r="H783" s="16" t="str">
        <x:v>N</x:v>
      </x:c>
      <x:c r="I783" s="16" t="str"/>
    </x:row>
    <x:row r="784">
      <x:c r="A784" s="16" t="n">
        <x:v>783</x:v>
      </x:c>
      <x:c r="B784" s="16" t="str">
        <x:v>EXPERIMENT</x:v>
      </x:c>
      <x:c r="C784" s="16" t="str">
        <x:f>Coder_A!C784</x:f>
        <x:v>PILOT_01_E10</x:v>
      </x:c>
      <x:c r="D784" s="16" t="str">
        <x:v>complexity_formula</x:v>
      </x:c>
      <x:c r="E784" s="16" t="str"/>
      <x:c r="F784" s="16" t="str"/>
      <x:c r="G784" s="16" t="str"/>
      <x:c r="H784" s="16" t="str">
        <x:v>N</x:v>
      </x:c>
      <x:c r="I784" s="16" t="str"/>
    </x:row>
    <x:row r="785">
      <x:c r="A785" s="16" t="n">
        <x:v>784</x:v>
      </x:c>
      <x:c r="B785" s="16" t="str">
        <x:v>EXPERIMENT</x:v>
      </x:c>
      <x:c r="C785" s="16" t="str">
        <x:f>Coder_A!C785</x:f>
        <x:v>PILOT_01_E10</x:v>
      </x:c>
      <x:c r="D785" s="16" t="str">
        <x:v>scale_up_experiment</x:v>
      </x:c>
      <x:c r="E785" s="16" t="str"/>
      <x:c r="F785" s="16" t="str"/>
      <x:c r="G785" s="16" t="str"/>
      <x:c r="H785" s="16" t="str">
        <x:v>Y</x:v>
      </x:c>
      <x:c r="I785" s="16" t="str"/>
    </x:row>
    <x:row r="786">
      <x:c r="A786" s="16" t="n">
        <x:v>785</x:v>
      </x:c>
      <x:c r="B786" s="16" t="str">
        <x:v>EXPERIMENT</x:v>
      </x:c>
      <x:c r="C786" s="16" t="str">
        <x:f>Coder_A!C786</x:f>
        <x:v>PILOT_01_E10</x:v>
      </x:c>
      <x:c r="D786" s="16" t="str">
        <x:v>oom_timeout_reported</x:v>
      </x:c>
      <x:c r="E786" s="16" t="str"/>
      <x:c r="F786" s="16" t="str"/>
      <x:c r="G786" s="16" t="str"/>
      <x:c r="H786" s="16" t="str">
        <x:v>Y</x:v>
      </x:c>
      <x:c r="I786" s="16" t="str"/>
    </x:row>
    <x:row r="787">
      <x:c r="A787" s="16" t="n">
        <x:v>786</x:v>
      </x:c>
      <x:c r="B787" s="16" t="str">
        <x:v>EXPERIMENT</x:v>
      </x:c>
      <x:c r="C787" s="16" t="str">
        <x:f>Coder_A!C787</x:f>
        <x:v>PILOT_01_E11</x:v>
      </x:c>
      <x:c r="D787" s="16" t="str">
        <x:v>dataset_name</x:v>
      </x:c>
      <x:c r="E787" s="16" t="str"/>
      <x:c r="F787" s="16" t="str"/>
      <x:c r="G787" s="16" t="str"/>
      <x:c r="H787" s="16" t="str">
        <x:v>N</x:v>
      </x:c>
      <x:c r="I787" s="16" t="str"/>
    </x:row>
    <x:row r="788">
      <x:c r="A788" s="16" t="n">
        <x:v>787</x:v>
      </x:c>
      <x:c r="B788" s="16" t="str">
        <x:v>EXPERIMENT</x:v>
      </x:c>
      <x:c r="C788" s="16" t="str">
        <x:f>Coder_A!C788</x:f>
        <x:v>PILOT_01_E11</x:v>
      </x:c>
      <x:c r="D788" s="16" t="str">
        <x:v>dataset_version</x:v>
      </x:c>
      <x:c r="E788" s="16" t="str"/>
      <x:c r="F788" s="16" t="str"/>
      <x:c r="G788" s="16" t="str"/>
      <x:c r="H788" s="16" t="str">
        <x:v>N</x:v>
      </x:c>
      <x:c r="I788" s="16" t="str"/>
    </x:row>
    <x:row r="789">
      <x:c r="A789" s="16" t="n">
        <x:v>788</x:v>
      </x:c>
      <x:c r="B789" s="16" t="str">
        <x:v>EXPERIMENT</x:v>
      </x:c>
      <x:c r="C789" s="16" t="str">
        <x:f>Coder_A!C789</x:f>
        <x:v>PILOT_01_E11</x:v>
      </x:c>
      <x:c r="D789" s="16" t="str">
        <x:v>n_learners_reported</x:v>
      </x:c>
      <x:c r="E789" s="16" t="str"/>
      <x:c r="F789" s="16" t="str"/>
      <x:c r="G789" s="16" t="str"/>
      <x:c r="H789" s="16" t="str">
        <x:v>N</x:v>
      </x:c>
      <x:c r="I789" s="16" t="str"/>
    </x:row>
    <x:row r="790">
      <x:c r="A790" s="16" t="n">
        <x:v>789</x:v>
      </x:c>
      <x:c r="B790" s="16" t="str">
        <x:v>EXPERIMENT</x:v>
      </x:c>
      <x:c r="C790" s="16" t="str">
        <x:f>Coder_A!C790</x:f>
        <x:v>PILOT_01_E11</x:v>
      </x:c>
      <x:c r="D790" s="16" t="str">
        <x:v>n_items_reported</x:v>
      </x:c>
      <x:c r="E790" s="16" t="str"/>
      <x:c r="F790" s="16" t="str"/>
      <x:c r="G790" s="16" t="str"/>
      <x:c r="H790" s="16" t="str">
        <x:v>N</x:v>
      </x:c>
      <x:c r="I790" s="16" t="str"/>
    </x:row>
    <x:row r="791">
      <x:c r="A791" s="16" t="n">
        <x:v>790</x:v>
      </x:c>
      <x:c r="B791" s="16" t="str">
        <x:v>EXPERIMENT</x:v>
      </x:c>
      <x:c r="C791" s="16" t="str">
        <x:f>Coder_A!C791</x:f>
        <x:v>PILOT_01_E11</x:v>
      </x:c>
      <x:c r="D791" s="16" t="str">
        <x:v>n_kcs_reported</x:v>
      </x:c>
      <x:c r="E791" s="16" t="str"/>
      <x:c r="F791" s="16" t="str"/>
      <x:c r="G791" s="16" t="str"/>
      <x:c r="H791" s="16" t="str">
        <x:v>N</x:v>
      </x:c>
      <x:c r="I791" s="16" t="str"/>
    </x:row>
    <x:row r="792">
      <x:c r="A792" s="16" t="n">
        <x:v>791</x:v>
      </x:c>
      <x:c r="B792" s="16" t="str">
        <x:v>EXPERIMENT</x:v>
      </x:c>
      <x:c r="C792" s="16" t="str">
        <x:f>Coder_A!C792</x:f>
        <x:v>PILOT_01_E11</x:v>
      </x:c>
      <x:c r="D792" s="16" t="str">
        <x:v>n_interactions_reported</x:v>
      </x:c>
      <x:c r="E792" s="16" t="str"/>
      <x:c r="F792" s="16" t="str"/>
      <x:c r="G792" s="16" t="str"/>
      <x:c r="H792" s="16" t="str">
        <x:v>N</x:v>
      </x:c>
      <x:c r="I792" s="16" t="str"/>
    </x:row>
    <x:row r="793">
      <x:c r="A793" s="16" t="n">
        <x:v>792</x:v>
      </x:c>
      <x:c r="B793" s="16" t="str">
        <x:v>EXPERIMENT</x:v>
      </x:c>
      <x:c r="C793" s="16" t="str">
        <x:f>Coder_A!C793</x:f>
        <x:v>PILOT_01_E11</x:v>
      </x:c>
      <x:c r="D793" s="16" t="str">
        <x:v>multi_skill_present</x:v>
      </x:c>
      <x:c r="E793" s="16" t="str"/>
      <x:c r="F793" s="16" t="str"/>
      <x:c r="G793" s="16" t="str"/>
      <x:c r="H793" s="16" t="str">
        <x:v>Y</x:v>
      </x:c>
      <x:c r="I793" s="16" t="str"/>
    </x:row>
    <x:row r="794">
      <x:c r="A794" s="16" t="n">
        <x:v>793</x:v>
      </x:c>
      <x:c r="B794" s="16" t="str">
        <x:v>EXPERIMENT</x:v>
      </x:c>
      <x:c r="C794" s="16" t="str">
        <x:f>Coder_A!C794</x:f>
        <x:v>PILOT_01_E11</x:v>
      </x:c>
      <x:c r="D794" s="16" t="str">
        <x:v>multi_skill_handling</x:v>
      </x:c>
      <x:c r="E794" s="16" t="str"/>
      <x:c r="F794" s="16" t="str"/>
      <x:c r="G794" s="16" t="str"/>
      <x:c r="H794" s="16" t="str">
        <x:v>N</x:v>
      </x:c>
      <x:c r="I794" s="16" t="str"/>
    </x:row>
    <x:row r="795">
      <x:c r="A795" s="16" t="n">
        <x:v>794</x:v>
      </x:c>
      <x:c r="B795" s="16" t="str">
        <x:v>EXPERIMENT</x:v>
      </x:c>
      <x:c r="C795" s="16" t="str">
        <x:f>Coder_A!C795</x:f>
        <x:v>PILOT_01_E11</x:v>
      </x:c>
      <x:c r="D795" s="16" t="str">
        <x:v>sequence_truncation</x:v>
      </x:c>
      <x:c r="E795" s="16" t="str"/>
      <x:c r="F795" s="16" t="str"/>
      <x:c r="G795" s="16" t="str"/>
      <x:c r="H795" s="16" t="str">
        <x:v>N</x:v>
      </x:c>
      <x:c r="I795" s="16" t="str"/>
    </x:row>
    <x:row r="796">
      <x:c r="A796" s="16" t="n">
        <x:v>795</x:v>
      </x:c>
      <x:c r="B796" s="16" t="str">
        <x:v>EXPERIMENT</x:v>
      </x:c>
      <x:c r="C796" s="16" t="str">
        <x:f>Coder_A!C796</x:f>
        <x:v>PILOT_01_E11</x:v>
      </x:c>
      <x:c r="D796" s="16" t="str">
        <x:v>min_sequence_filter</x:v>
      </x:c>
      <x:c r="E796" s="16" t="str"/>
      <x:c r="F796" s="16" t="str"/>
      <x:c r="G796" s="16" t="str"/>
      <x:c r="H796" s="16" t="str">
        <x:v>N</x:v>
      </x:c>
      <x:c r="I796" s="16" t="str"/>
    </x:row>
    <x:row r="797">
      <x:c r="A797" s="16" t="n">
        <x:v>796</x:v>
      </x:c>
      <x:c r="B797" s="16" t="str">
        <x:v>EXPERIMENT</x:v>
      </x:c>
      <x:c r="C797" s="16" t="str">
        <x:f>Coder_A!C797</x:f>
        <x:v>PILOT_01_E11</x:v>
      </x:c>
      <x:c r="D797" s="16" t="str">
        <x:v>timestamp_used</x:v>
      </x:c>
      <x:c r="E797" s="16" t="str"/>
      <x:c r="F797" s="16" t="str"/>
      <x:c r="G797" s="16" t="str"/>
      <x:c r="H797" s="16" t="str">
        <x:v>Y</x:v>
      </x:c>
      <x:c r="I797" s="16" t="str"/>
    </x:row>
    <x:row r="798">
      <x:c r="A798" s="16" t="n">
        <x:v>797</x:v>
      </x:c>
      <x:c r="B798" s="16" t="str">
        <x:v>EXPERIMENT</x:v>
      </x:c>
      <x:c r="C798" s="16" t="str">
        <x:f>Coder_A!C798</x:f>
        <x:v>PILOT_01_E11</x:v>
      </x:c>
      <x:c r="D798" s="16" t="str">
        <x:v>preprocessing_code_available</x:v>
      </x:c>
      <x:c r="E798" s="16" t="str"/>
      <x:c r="F798" s="16" t="str"/>
      <x:c r="G798" s="16" t="str"/>
      <x:c r="H798" s="16" t="str">
        <x:v>Y</x:v>
      </x:c>
      <x:c r="I798" s="16" t="str"/>
    </x:row>
    <x:row r="799">
      <x:c r="A799" s="16" t="n">
        <x:v>798</x:v>
      </x:c>
      <x:c r="B799" s="16" t="str">
        <x:v>EXPERIMENT</x:v>
      </x:c>
      <x:c r="C799" s="16" t="str">
        <x:f>Coder_A!C799</x:f>
        <x:v>PILOT_01_E11</x:v>
      </x:c>
      <x:c r="D799" s="16" t="str">
        <x:v>split_type</x:v>
      </x:c>
      <x:c r="E799" s="16" t="str"/>
      <x:c r="F799" s="16" t="str"/>
      <x:c r="G799" s="16" t="str"/>
      <x:c r="H799" s="16" t="str">
        <x:v>Y</x:v>
      </x:c>
      <x:c r="I799" s="16" t="str"/>
    </x:row>
    <x:row r="800">
      <x:c r="A800" s="16" t="n">
        <x:v>799</x:v>
      </x:c>
      <x:c r="B800" s="16" t="str">
        <x:v>EXPERIMENT</x:v>
      </x:c>
      <x:c r="C800" s="16" t="str">
        <x:f>Coder_A!C800</x:f>
        <x:v>PILOT_01_E11</x:v>
      </x:c>
      <x:c r="D800" s="16" t="str">
        <x:v>split_unit_original</x:v>
      </x:c>
      <x:c r="E800" s="16" t="str"/>
      <x:c r="F800" s="16" t="str"/>
      <x:c r="G800" s="16" t="str"/>
      <x:c r="H800" s="16" t="str">
        <x:v>N</x:v>
      </x:c>
      <x:c r="I800" s="16" t="str"/>
    </x:row>
    <x:row r="801">
      <x:c r="A801" s="16" t="n">
        <x:v>800</x:v>
      </x:c>
      <x:c r="B801" s="16" t="str">
        <x:v>EXPERIMENT</x:v>
      </x:c>
      <x:c r="C801" s="16" t="str">
        <x:f>Coder_A!C801</x:f>
        <x:v>PILOT_01_E11</x:v>
      </x:c>
      <x:c r="D801" s="16" t="str">
        <x:v>train_fraction</x:v>
      </x:c>
      <x:c r="E801" s="16" t="str"/>
      <x:c r="F801" s="16" t="str"/>
      <x:c r="G801" s="16" t="str"/>
      <x:c r="H801" s="16" t="str">
        <x:v>N</x:v>
      </x:c>
      <x:c r="I801" s="16" t="str"/>
    </x:row>
    <x:row r="802">
      <x:c r="A802" s="16" t="n">
        <x:v>801</x:v>
      </x:c>
      <x:c r="B802" s="16" t="str">
        <x:v>EXPERIMENT</x:v>
      </x:c>
      <x:c r="C802" s="16" t="str">
        <x:f>Coder_A!C802</x:f>
        <x:v>PILOT_01_E11</x:v>
      </x:c>
      <x:c r="D802" s="16" t="str">
        <x:v>validation_fraction</x:v>
      </x:c>
      <x:c r="E802" s="16" t="str"/>
      <x:c r="F802" s="16" t="str"/>
      <x:c r="G802" s="16" t="str"/>
      <x:c r="H802" s="16" t="str">
        <x:v>N</x:v>
      </x:c>
      <x:c r="I802" s="16" t="str"/>
    </x:row>
    <x:row r="803">
      <x:c r="A803" s="16" t="n">
        <x:v>802</x:v>
      </x:c>
      <x:c r="B803" s="16" t="str">
        <x:v>EXPERIMENT</x:v>
      </x:c>
      <x:c r="C803" s="16" t="str">
        <x:f>Coder_A!C803</x:f>
        <x:v>PILOT_01_E11</x:v>
      </x:c>
      <x:c r="D803" s="16" t="str">
        <x:v>test_fraction</x:v>
      </x:c>
      <x:c r="E803" s="16" t="str"/>
      <x:c r="F803" s="16" t="str"/>
      <x:c r="G803" s="16" t="str"/>
      <x:c r="H803" s="16" t="str">
        <x:v>N</x:v>
      </x:c>
      <x:c r="I803" s="16" t="str"/>
    </x:row>
    <x:row r="804">
      <x:c r="A804" s="16" t="n">
        <x:v>803</x:v>
      </x:c>
      <x:c r="B804" s="16" t="str">
        <x:v>EXPERIMENT</x:v>
      </x:c>
      <x:c r="C804" s="16" t="str">
        <x:f>Coder_A!C804</x:f>
        <x:v>PILOT_01_E11</x:v>
      </x:c>
      <x:c r="D804" s="16" t="str">
        <x:v>validation_set_separate</x:v>
      </x:c>
      <x:c r="E804" s="16" t="str"/>
      <x:c r="F804" s="16" t="str"/>
      <x:c r="G804" s="16" t="str"/>
      <x:c r="H804" s="16" t="str">
        <x:v>Y</x:v>
      </x:c>
      <x:c r="I804" s="16" t="str"/>
    </x:row>
    <x:row r="805">
      <x:c r="A805" s="16" t="n">
        <x:v>804</x:v>
      </x:c>
      <x:c r="B805" s="16" t="str">
        <x:v>EXPERIMENT</x:v>
      </x:c>
      <x:c r="C805" s="16" t="str">
        <x:f>Coder_A!C805</x:f>
        <x:v>PILOT_01_E11</x:v>
      </x:c>
      <x:c r="D805" s="16" t="str">
        <x:v>early_stopping_validation_only</x:v>
      </x:c>
      <x:c r="E805" s="16" t="str"/>
      <x:c r="F805" s="16" t="str"/>
      <x:c r="G805" s="16" t="str"/>
      <x:c r="H805" s="16" t="str">
        <x:v>Y</x:v>
      </x:c>
      <x:c r="I805" s="16" t="str"/>
    </x:row>
    <x:row r="806">
      <x:c r="A806" s="16" t="n">
        <x:v>805</x:v>
      </x:c>
      <x:c r="B806" s="16" t="str">
        <x:v>EXPERIMENT</x:v>
      </x:c>
      <x:c r="C806" s="16" t="str">
        <x:f>Coder_A!C806</x:f>
        <x:v>PILOT_01_E11</x:v>
      </x:c>
      <x:c r="D806" s="16" t="str">
        <x:v>graph_train_only</x:v>
      </x:c>
      <x:c r="E806" s="16" t="str"/>
      <x:c r="F806" s="16" t="str"/>
      <x:c r="G806" s="16" t="str"/>
      <x:c r="H806" s="16" t="str">
        <x:v>Y</x:v>
      </x:c>
      <x:c r="I806" s="16" t="str"/>
    </x:row>
    <x:row r="807">
      <x:c r="A807" s="16" t="n">
        <x:v>806</x:v>
      </x:c>
      <x:c r="B807" s="16" t="str">
        <x:v>EXPERIMENT</x:v>
      </x:c>
      <x:c r="C807" s="16" t="str">
        <x:f>Coder_A!C807</x:f>
        <x:v>PILOT_01_E11</x:v>
      </x:c>
      <x:c r="D807" s="16" t="str">
        <x:v>normalization_train_only</x:v>
      </x:c>
      <x:c r="E807" s="16" t="str"/>
      <x:c r="F807" s="16" t="str"/>
      <x:c r="G807" s="16" t="str"/>
      <x:c r="H807" s="16" t="str">
        <x:v>Y</x:v>
      </x:c>
      <x:c r="I807" s="16" t="str"/>
    </x:row>
    <x:row r="808">
      <x:c r="A808" s="16" t="n">
        <x:v>807</x:v>
      </x:c>
      <x:c r="B808" s="16" t="str">
        <x:v>EXPERIMENT</x:v>
      </x:c>
      <x:c r="C808" s="16" t="str">
        <x:f>Coder_A!C808</x:f>
        <x:v>PILOT_01_E11</x:v>
      </x:c>
      <x:c r="D808" s="16" t="str">
        <x:v>sparse_strata_train_only</x:v>
      </x:c>
      <x:c r="E808" s="16" t="str"/>
      <x:c r="F808" s="16" t="str"/>
      <x:c r="G808" s="16" t="str"/>
      <x:c r="H808" s="16" t="str">
        <x:v>Y</x:v>
      </x:c>
      <x:c r="I808" s="16" t="str"/>
    </x:row>
    <x:row r="809">
      <x:c r="A809" s="16" t="n">
        <x:v>808</x:v>
      </x:c>
      <x:c r="B809" s="16" t="str">
        <x:v>EXPERIMENT</x:v>
      </x:c>
      <x:c r="C809" s="16" t="str">
        <x:f>Coder_A!C809</x:f>
        <x:v>PILOT_01_E11</x:v>
      </x:c>
      <x:c r="D809" s="16" t="str">
        <x:v>temporal_alignment_audited</x:v>
      </x:c>
      <x:c r="E809" s="16" t="str"/>
      <x:c r="F809" s="16" t="str"/>
      <x:c r="G809" s="16" t="str"/>
      <x:c r="H809" s="16" t="str">
        <x:v>Y</x:v>
      </x:c>
      <x:c r="I809" s="16" t="str"/>
    </x:row>
    <x:row r="810">
      <x:c r="A810" s="16" t="n">
        <x:v>809</x:v>
      </x:c>
      <x:c r="B810" s="16" t="str">
        <x:v>EXPERIMENT</x:v>
      </x:c>
      <x:c r="C810" s="16" t="str">
        <x:f>Coder_A!C810</x:f>
        <x:v>PILOT_01_E11</x:v>
      </x:c>
      <x:c r="D810" s="16" t="str">
        <x:v>duplicate_entity_leakage_checked</x:v>
      </x:c>
      <x:c r="E810" s="16" t="str"/>
      <x:c r="F810" s="16" t="str"/>
      <x:c r="G810" s="16" t="str"/>
      <x:c r="H810" s="16" t="str">
        <x:v>Y</x:v>
      </x:c>
      <x:c r="I810" s="16" t="str"/>
    </x:row>
    <x:row r="811">
      <x:c r="A811" s="16" t="n">
        <x:v>810</x:v>
      </x:c>
      <x:c r="B811" s="16" t="str">
        <x:v>EXPERIMENT</x:v>
      </x:c>
      <x:c r="C811" s="16" t="str">
        <x:f>Coder_A!C811</x:f>
        <x:v>PILOT_01_E11</x:v>
      </x:c>
      <x:c r="D811" s="16" t="str">
        <x:v>sparsity_construct</x:v>
      </x:c>
      <x:c r="E811" s="16" t="str"/>
      <x:c r="F811" s="16" t="str"/>
      <x:c r="G811" s="16" t="str"/>
      <x:c r="H811" s="16" t="str">
        <x:v>Y</x:v>
      </x:c>
      <x:c r="I811" s="16" t="str"/>
    </x:row>
    <x:row r="812">
      <x:c r="A812" s="16" t="n">
        <x:v>811</x:v>
      </x:c>
      <x:c r="B812" s="16" t="str">
        <x:v>EXPERIMENT</x:v>
      </x:c>
      <x:c r="C812" s="16" t="str">
        <x:f>Coder_A!C812</x:f>
        <x:v>PILOT_01_E11</x:v>
      </x:c>
      <x:c r="D812" s="16" t="str">
        <x:v>sparse_definition_original</x:v>
      </x:c>
      <x:c r="E812" s="16" t="str"/>
      <x:c r="F812" s="16" t="str"/>
      <x:c r="G812" s="16" t="str"/>
      <x:c r="H812" s="16" t="str">
        <x:v>N</x:v>
      </x:c>
      <x:c r="I812" s="16" t="str"/>
    </x:row>
    <x:row r="813">
      <x:c r="A813" s="16" t="n">
        <x:v>812</x:v>
      </x:c>
      <x:c r="B813" s="16" t="str">
        <x:v>EXPERIMENT</x:v>
      </x:c>
      <x:c r="C813" s="16" t="str">
        <x:f>Coder_A!C813</x:f>
        <x:v>PILOT_01_E11</x:v>
      </x:c>
      <x:c r="D813" s="16" t="str">
        <x:v>sparse_threshold_original</x:v>
      </x:c>
      <x:c r="E813" s="16" t="str"/>
      <x:c r="F813" s="16" t="str"/>
      <x:c r="G813" s="16" t="str"/>
      <x:c r="H813" s="16" t="str">
        <x:v>N</x:v>
      </x:c>
      <x:c r="I813" s="16" t="str"/>
    </x:row>
    <x:row r="814">
      <x:c r="A814" s="16" t="n">
        <x:v>813</x:v>
      </x:c>
      <x:c r="B814" s="16" t="str">
        <x:v>EXPERIMENT</x:v>
      </x:c>
      <x:c r="C814" s="16" t="str">
        <x:f>Coder_A!C814</x:f>
        <x:v>PILOT_01_E11</x:v>
      </x:c>
      <x:c r="D814" s="16" t="str">
        <x:v>threshold_source</x:v>
      </x:c>
      <x:c r="E814" s="16" t="str"/>
      <x:c r="F814" s="16" t="str"/>
      <x:c r="G814" s="16" t="str"/>
      <x:c r="H814" s="16" t="str">
        <x:v>Y</x:v>
      </x:c>
      <x:c r="I814" s="16" t="str"/>
    </x:row>
    <x:row r="815">
      <x:c r="A815" s="16" t="n">
        <x:v>814</x:v>
      </x:c>
      <x:c r="B815" s="16" t="str">
        <x:v>EXPERIMENT</x:v>
      </x:c>
      <x:c r="C815" s="16" t="str">
        <x:f>Coder_A!C815</x:f>
        <x:v>PILOT_01_E11</x:v>
      </x:c>
      <x:c r="D815" s="16" t="str">
        <x:v>frequency_computed_on</x:v>
      </x:c>
      <x:c r="E815" s="16" t="str"/>
      <x:c r="F815" s="16" t="str"/>
      <x:c r="G815" s="16" t="str"/>
      <x:c r="H815" s="16" t="str">
        <x:v>Y</x:v>
      </x:c>
      <x:c r="I815" s="16" t="str"/>
    </x:row>
    <x:row r="816">
      <x:c r="A816" s="16" t="n">
        <x:v>815</x:v>
      </x:c>
      <x:c r="B816" s="16" t="str">
        <x:v>EXPERIMENT</x:v>
      </x:c>
      <x:c r="C816" s="16" t="str">
        <x:f>Coder_A!C816</x:f>
        <x:v>PILOT_01_E11</x:v>
      </x:c>
      <x:c r="D816" s="16" t="str">
        <x:v>strict_zero_train_verified</x:v>
      </x:c>
      <x:c r="E816" s="16" t="str"/>
      <x:c r="F816" s="16" t="str"/>
      <x:c r="G816" s="16" t="str"/>
      <x:c r="H816" s="16" t="str">
        <x:v>Y</x:v>
      </x:c>
      <x:c r="I816" s="16" t="str"/>
    </x:row>
    <x:row r="817">
      <x:c r="A817" s="16" t="n">
        <x:v>816</x:v>
      </x:c>
      <x:c r="B817" s="16" t="str">
        <x:v>EXPERIMENT</x:v>
      </x:c>
      <x:c r="C817" s="16" t="str">
        <x:f>Coder_A!C817</x:f>
        <x:v>PILOT_01_E11</x:v>
      </x:c>
      <x:c r="D817" s="16" t="str">
        <x:v>external_info_for_unseen_kc</x:v>
      </x:c>
      <x:c r="E817" s="16" t="str"/>
      <x:c r="F817" s="16" t="str"/>
      <x:c r="G817" s="16" t="str"/>
      <x:c r="H817" s="16" t="str">
        <x:v>Y</x:v>
      </x:c>
      <x:c r="I817" s="16" t="str"/>
    </x:row>
    <x:row r="818">
      <x:c r="A818" s="16" t="n">
        <x:v>817</x:v>
      </x:c>
      <x:c r="B818" s="16" t="str">
        <x:v>EXPERIMENT</x:v>
      </x:c>
      <x:c r="C818" s="16" t="str">
        <x:f>Coder_A!C818</x:f>
        <x:v>PILOT_01_E11</x:v>
      </x:c>
      <x:c r="D818" s="16" t="str">
        <x:v>support_kcs</x:v>
      </x:c>
      <x:c r="E818" s="16" t="str"/>
      <x:c r="F818" s="16" t="str"/>
      <x:c r="G818" s="16" t="str"/>
      <x:c r="H818" s="16" t="str">
        <x:v>N</x:v>
      </x:c>
      <x:c r="I818" s="16" t="str"/>
    </x:row>
    <x:row r="819">
      <x:c r="A819" s="16" t="n">
        <x:v>818</x:v>
      </x:c>
      <x:c r="B819" s="16" t="str">
        <x:v>EXPERIMENT</x:v>
      </x:c>
      <x:c r="C819" s="16" t="str">
        <x:f>Coder_A!C819</x:f>
        <x:v>PILOT_01_E11</x:v>
      </x:c>
      <x:c r="D819" s="16" t="str">
        <x:v>support_learners</x:v>
      </x:c>
      <x:c r="E819" s="16" t="str"/>
      <x:c r="F819" s="16" t="str"/>
      <x:c r="G819" s="16" t="str"/>
      <x:c r="H819" s="16" t="str">
        <x:v>N</x:v>
      </x:c>
      <x:c r="I819" s="16" t="str"/>
    </x:row>
    <x:row r="820">
      <x:c r="A820" s="16" t="n">
        <x:v>819</x:v>
      </x:c>
      <x:c r="B820" s="16" t="str">
        <x:v>EXPERIMENT</x:v>
      </x:c>
      <x:c r="C820" s="16" t="str">
        <x:f>Coder_A!C820</x:f>
        <x:v>PILOT_01_E11</x:v>
      </x:c>
      <x:c r="D820" s="16" t="str">
        <x:v>support_items</x:v>
      </x:c>
      <x:c r="E820" s="16" t="str"/>
      <x:c r="F820" s="16" t="str"/>
      <x:c r="G820" s="16" t="str"/>
      <x:c r="H820" s="16" t="str">
        <x:v>N</x:v>
      </x:c>
      <x:c r="I820" s="16" t="str"/>
    </x:row>
    <x:row r="821">
      <x:c r="A821" s="16" t="n">
        <x:v>820</x:v>
      </x:c>
      <x:c r="B821" s="16" t="str">
        <x:v>EXPERIMENT</x:v>
      </x:c>
      <x:c r="C821" s="16" t="str">
        <x:f>Coder_A!C821</x:f>
        <x:v>PILOT_01_E11</x:v>
      </x:c>
      <x:c r="D821" s="16" t="str">
        <x:v>support_test_interactions</x:v>
      </x:c>
      <x:c r="E821" s="16" t="str"/>
      <x:c r="F821" s="16" t="str"/>
      <x:c r="G821" s="16" t="str"/>
      <x:c r="H821" s="16" t="str">
        <x:v>N</x:v>
      </x:c>
      <x:c r="I821" s="16" t="str"/>
    </x:row>
    <x:row r="822">
      <x:c r="A822" s="16" t="n">
        <x:v>821</x:v>
      </x:c>
      <x:c r="B822" s="16" t="str">
        <x:v>EXPERIMENT</x:v>
      </x:c>
      <x:c r="C822" s="16" t="str">
        <x:f>Coder_A!C822</x:f>
        <x:v>PILOT_01_E11</x:v>
      </x:c>
      <x:c r="D822" s="16" t="str">
        <x:v>positive_count</x:v>
      </x:c>
      <x:c r="E822" s="16" t="str"/>
      <x:c r="F822" s="16" t="str"/>
      <x:c r="G822" s="16" t="str"/>
      <x:c r="H822" s="16" t="str">
        <x:v>N</x:v>
      </x:c>
      <x:c r="I822" s="16" t="str"/>
    </x:row>
    <x:row r="823">
      <x:c r="A823" s="16" t="n">
        <x:v>822</x:v>
      </x:c>
      <x:c r="B823" s="16" t="str">
        <x:v>EXPERIMENT</x:v>
      </x:c>
      <x:c r="C823" s="16" t="str">
        <x:f>Coder_A!C823</x:f>
        <x:v>PILOT_01_E11</x:v>
      </x:c>
      <x:c r="D823" s="16" t="str">
        <x:v>negative_count</x:v>
      </x:c>
      <x:c r="E823" s="16" t="str"/>
      <x:c r="F823" s="16" t="str"/>
      <x:c r="G823" s="16" t="str"/>
      <x:c r="H823" s="16" t="str">
        <x:v>N</x:v>
      </x:c>
      <x:c r="I823" s="16" t="str"/>
    </x:row>
    <x:row r="824">
      <x:c r="A824" s="16" t="n">
        <x:v>823</x:v>
      </x:c>
      <x:c r="B824" s="16" t="str">
        <x:v>EXPERIMENT</x:v>
      </x:c>
      <x:c r="C824" s="16" t="str">
        <x:f>Coder_A!C824</x:f>
        <x:v>PILOT_01_E11</x:v>
      </x:c>
      <x:c r="D824" s="16" t="str">
        <x:v>metric_name_original</x:v>
      </x:c>
      <x:c r="E824" s="16" t="str"/>
      <x:c r="F824" s="16" t="str"/>
      <x:c r="G824" s="16" t="str"/>
      <x:c r="H824" s="16" t="str">
        <x:v>N</x:v>
      </x:c>
      <x:c r="I824" s="16" t="str"/>
    </x:row>
    <x:row r="825">
      <x:c r="A825" s="16" t="n">
        <x:v>824</x:v>
      </x:c>
      <x:c r="B825" s="16" t="str">
        <x:v>EXPERIMENT</x:v>
      </x:c>
      <x:c r="C825" s="16" t="str">
        <x:f>Coder_A!C825</x:f>
        <x:v>PILOT_01_E11</x:v>
      </x:c>
      <x:c r="D825" s="16" t="str">
        <x:v>metric_value_original</x:v>
      </x:c>
      <x:c r="E825" s="16" t="str"/>
      <x:c r="F825" s="16" t="str"/>
      <x:c r="G825" s="16" t="str"/>
      <x:c r="H825" s="16" t="str">
        <x:v>N</x:v>
      </x:c>
      <x:c r="I825" s="16" t="str"/>
    </x:row>
    <x:row r="826">
      <x:c r="A826" s="16" t="n">
        <x:v>825</x:v>
      </x:c>
      <x:c r="B826" s="16" t="str">
        <x:v>EXPERIMENT</x:v>
      </x:c>
      <x:c r="C826" s="16" t="str">
        <x:f>Coder_A!C826</x:f>
        <x:v>PILOT_01_E11</x:v>
      </x:c>
      <x:c r="D826" s="16" t="str">
        <x:v>metric_scope</x:v>
      </x:c>
      <x:c r="E826" s="16" t="str"/>
      <x:c r="F826" s="16" t="str"/>
      <x:c r="G826" s="16" t="str"/>
      <x:c r="H826" s="16" t="str">
        <x:v>Y</x:v>
      </x:c>
      <x:c r="I826" s="16" t="str"/>
    </x:row>
    <x:row r="827">
      <x:c r="A827" s="16" t="n">
        <x:v>826</x:v>
      </x:c>
      <x:c r="B827" s="16" t="str">
        <x:v>EXPERIMENT</x:v>
      </x:c>
      <x:c r="C827" s="16" t="str">
        <x:f>Coder_A!C827</x:f>
        <x:v>PILOT_01_E11</x:v>
      </x:c>
      <x:c r="D827" s="16" t="str">
        <x:v>n_seeds</x:v>
      </x:c>
      <x:c r="E827" s="16" t="str"/>
      <x:c r="F827" s="16" t="str"/>
      <x:c r="G827" s="16" t="str"/>
      <x:c r="H827" s="16" t="str">
        <x:v>N</x:v>
      </x:c>
      <x:c r="I827" s="16" t="str"/>
    </x:row>
    <x:row r="828">
      <x:c r="A828" s="16" t="n">
        <x:v>827</x:v>
      </x:c>
      <x:c r="B828" s="16" t="str">
        <x:v>EXPERIMENT</x:v>
      </x:c>
      <x:c r="C828" s="16" t="str">
        <x:f>Coder_A!C828</x:f>
        <x:v>PILOT_01_E11</x:v>
      </x:c>
      <x:c r="D828" s="16" t="str">
        <x:v>seed_values_reported</x:v>
      </x:c>
      <x:c r="E828" s="16" t="str"/>
      <x:c r="F828" s="16" t="str"/>
      <x:c r="G828" s="16" t="str"/>
      <x:c r="H828" s="16" t="str">
        <x:v>N</x:v>
      </x:c>
      <x:c r="I828" s="16" t="str"/>
    </x:row>
    <x:row r="829">
      <x:c r="A829" s="16" t="n">
        <x:v>828</x:v>
      </x:c>
      <x:c r="B829" s="16" t="str">
        <x:v>EXPERIMENT</x:v>
      </x:c>
      <x:c r="C829" s="16" t="str">
        <x:f>Coder_A!C829</x:f>
        <x:v>PILOT_01_E11</x:v>
      </x:c>
      <x:c r="D829" s="16" t="str">
        <x:v>mean_std_reported</x:v>
      </x:c>
      <x:c r="E829" s="16" t="str"/>
      <x:c r="F829" s="16" t="str"/>
      <x:c r="G829" s="16" t="str"/>
      <x:c r="H829" s="16" t="str">
        <x:v>Y</x:v>
      </x:c>
      <x:c r="I829" s="16" t="str"/>
    </x:row>
    <x:row r="830">
      <x:c r="A830" s="16" t="n">
        <x:v>829</x:v>
      </x:c>
      <x:c r="B830" s="16" t="str">
        <x:v>EXPERIMENT</x:v>
      </x:c>
      <x:c r="C830" s="16" t="str">
        <x:f>Coder_A!C830</x:f>
        <x:v>PILOT_01_E11</x:v>
      </x:c>
      <x:c r="D830" s="16" t="str">
        <x:v>confidence_interval</x:v>
      </x:c>
      <x:c r="E830" s="16" t="str"/>
      <x:c r="F830" s="16" t="str"/>
      <x:c r="G830" s="16" t="str"/>
      <x:c r="H830" s="16" t="str">
        <x:v>N</x:v>
      </x:c>
      <x:c r="I830" s="16" t="str"/>
    </x:row>
    <x:row r="831">
      <x:c r="A831" s="16" t="n">
        <x:v>830</x:v>
      </x:c>
      <x:c r="B831" s="16" t="str">
        <x:v>EXPERIMENT</x:v>
      </x:c>
      <x:c r="C831" s="16" t="str">
        <x:f>Coder_A!C831</x:f>
        <x:v>PILOT_01_E11</x:v>
      </x:c>
      <x:c r="D831" s="16" t="str">
        <x:v>bootstrap_unit</x:v>
      </x:c>
      <x:c r="E831" s="16" t="str"/>
      <x:c r="F831" s="16" t="str"/>
      <x:c r="G831" s="16" t="str"/>
      <x:c r="H831" s="16" t="str">
        <x:v>Y</x:v>
      </x:c>
      <x:c r="I831" s="16" t="str"/>
    </x:row>
    <x:row r="832">
      <x:c r="A832" s="16" t="n">
        <x:v>831</x:v>
      </x:c>
      <x:c r="B832" s="16" t="str">
        <x:v>EXPERIMENT</x:v>
      </x:c>
      <x:c r="C832" s="16" t="str">
        <x:f>Coder_A!C832</x:f>
        <x:v>PILOT_01_E11</x:v>
      </x:c>
      <x:c r="D832" s="16" t="str">
        <x:v>statistical_test</x:v>
      </x:c>
      <x:c r="E832" s="16" t="str"/>
      <x:c r="F832" s="16" t="str"/>
      <x:c r="G832" s="16" t="str"/>
      <x:c r="H832" s="16" t="str">
        <x:v>N</x:v>
      </x:c>
      <x:c r="I832" s="16" t="str"/>
    </x:row>
    <x:row r="833">
      <x:c r="A833" s="16" t="n">
        <x:v>832</x:v>
      </x:c>
      <x:c r="B833" s="16" t="str">
        <x:v>EXPERIMENT</x:v>
      </x:c>
      <x:c r="C833" s="16" t="str">
        <x:f>Coder_A!C833</x:f>
        <x:v>PILOT_01_E11</x:v>
      </x:c>
      <x:c r="D833" s="16" t="str">
        <x:v>multiple_comparison_correction</x:v>
      </x:c>
      <x:c r="E833" s="16" t="str"/>
      <x:c r="F833" s="16" t="str"/>
      <x:c r="G833" s="16" t="str"/>
      <x:c r="H833" s="16" t="str">
        <x:v>N</x:v>
      </x:c>
      <x:c r="I833" s="16" t="str"/>
    </x:row>
    <x:row r="834">
      <x:c r="A834" s="16" t="n">
        <x:v>833</x:v>
      </x:c>
      <x:c r="B834" s="16" t="str">
        <x:v>EXPERIMENT</x:v>
      </x:c>
      <x:c r="C834" s="16" t="str">
        <x:f>Coder_A!C834</x:f>
        <x:v>PILOT_01_E11</x:v>
      </x:c>
      <x:c r="D834" s="16" t="str">
        <x:v>effect_size</x:v>
      </x:c>
      <x:c r="E834" s="16" t="str"/>
      <x:c r="F834" s="16" t="str"/>
      <x:c r="G834" s="16" t="str"/>
      <x:c r="H834" s="16" t="str">
        <x:v>N</x:v>
      </x:c>
      <x:c r="I834" s="16" t="str"/>
    </x:row>
    <x:row r="835">
      <x:c r="A835" s="16" t="n">
        <x:v>834</x:v>
      </x:c>
      <x:c r="B835" s="16" t="str">
        <x:v>EXPERIMENT</x:v>
      </x:c>
      <x:c r="C835" s="16" t="str">
        <x:f>Coder_A!C835</x:f>
        <x:v>PILOT_01_E11</x:v>
      </x:c>
      <x:c r="D835" s="16" t="str">
        <x:v>paired_design</x:v>
      </x:c>
      <x:c r="E835" s="16" t="str"/>
      <x:c r="F835" s="16" t="str"/>
      <x:c r="G835" s="16" t="str"/>
      <x:c r="H835" s="16" t="str">
        <x:v>Y</x:v>
      </x:c>
      <x:c r="I835" s="16" t="str"/>
    </x:row>
    <x:row r="836">
      <x:c r="A836" s="16" t="n">
        <x:v>835</x:v>
      </x:c>
      <x:c r="B836" s="16" t="str">
        <x:v>EXPERIMENT</x:v>
      </x:c>
      <x:c r="C836" s="16" t="str">
        <x:f>Coder_A!C836</x:f>
        <x:v>PILOT_01_E11</x:v>
      </x:c>
      <x:c r="D836" s="16" t="str">
        <x:v>significance_threshold</x:v>
      </x:c>
      <x:c r="E836" s="16" t="str"/>
      <x:c r="F836" s="16" t="str"/>
      <x:c r="G836" s="16" t="str"/>
      <x:c r="H836" s="16" t="str">
        <x:v>N</x:v>
      </x:c>
      <x:c r="I836" s="16" t="str"/>
    </x:row>
    <x:row r="837">
      <x:c r="A837" s="16" t="n">
        <x:v>836</x:v>
      </x:c>
      <x:c r="B837" s="16" t="str">
        <x:v>EXPERIMENT</x:v>
      </x:c>
      <x:c r="C837" s="16" t="str">
        <x:f>Coder_A!C837</x:f>
        <x:v>PILOT_01_E11</x:v>
      </x:c>
      <x:c r="D837" s="16" t="str">
        <x:v>parameter_count</x:v>
      </x:c>
      <x:c r="E837" s="16" t="str"/>
      <x:c r="F837" s="16" t="str"/>
      <x:c r="G837" s="16" t="str"/>
      <x:c r="H837" s="16" t="str">
        <x:v>N</x:v>
      </x:c>
      <x:c r="I837" s="16" t="str"/>
    </x:row>
    <x:row r="838">
      <x:c r="A838" s="16" t="n">
        <x:v>837</x:v>
      </x:c>
      <x:c r="B838" s="16" t="str">
        <x:v>EXPERIMENT</x:v>
      </x:c>
      <x:c r="C838" s="16" t="str">
        <x:f>Coder_A!C838</x:f>
        <x:v>PILOT_01_E11</x:v>
      </x:c>
      <x:c r="D838" s="16" t="str">
        <x:v>train_time</x:v>
      </x:c>
      <x:c r="E838" s="16" t="str"/>
      <x:c r="F838" s="16" t="str"/>
      <x:c r="G838" s="16" t="str"/>
      <x:c r="H838" s="16" t="str">
        <x:v>N</x:v>
      </x:c>
      <x:c r="I838" s="16" t="str"/>
    </x:row>
    <x:row r="839">
      <x:c r="A839" s="16" t="n">
        <x:v>838</x:v>
      </x:c>
      <x:c r="B839" s="16" t="str">
        <x:v>EXPERIMENT</x:v>
      </x:c>
      <x:c r="C839" s="16" t="str">
        <x:f>Coder_A!C839</x:f>
        <x:v>PILOT_01_E11</x:v>
      </x:c>
      <x:c r="D839" s="16" t="str">
        <x:v>time_per_epoch</x:v>
      </x:c>
      <x:c r="E839" s="16" t="str"/>
      <x:c r="F839" s="16" t="str"/>
      <x:c r="G839" s="16" t="str"/>
      <x:c r="H839" s="16" t="str">
        <x:v>N</x:v>
      </x:c>
      <x:c r="I839" s="16" t="str"/>
    </x:row>
    <x:row r="840">
      <x:c r="A840" s="16" t="n">
        <x:v>839</x:v>
      </x:c>
      <x:c r="B840" s="16" t="str">
        <x:v>EXPERIMENT</x:v>
      </x:c>
      <x:c r="C840" s="16" t="str">
        <x:f>Coder_A!C840</x:f>
        <x:v>PILOT_01_E11</x:v>
      </x:c>
      <x:c r="D840" s="16" t="str">
        <x:v>inference_latency</x:v>
      </x:c>
      <x:c r="E840" s="16" t="str"/>
      <x:c r="F840" s="16" t="str"/>
      <x:c r="G840" s="16" t="str"/>
      <x:c r="H840" s="16" t="str">
        <x:v>N</x:v>
      </x:c>
      <x:c r="I840" s="16" t="str"/>
    </x:row>
    <x:row r="841">
      <x:c r="A841" s="16" t="n">
        <x:v>840</x:v>
      </x:c>
      <x:c r="B841" s="16" t="str">
        <x:v>EXPERIMENT</x:v>
      </x:c>
      <x:c r="C841" s="16" t="str">
        <x:f>Coder_A!C841</x:f>
        <x:v>PILOT_01_E11</x:v>
      </x:c>
      <x:c r="D841" s="16" t="str">
        <x:v>throughput</x:v>
      </x:c>
      <x:c r="E841" s="16" t="str"/>
      <x:c r="F841" s="16" t="str"/>
      <x:c r="G841" s="16" t="str"/>
      <x:c r="H841" s="16" t="str">
        <x:v>N</x:v>
      </x:c>
      <x:c r="I841" s="16" t="str"/>
    </x:row>
    <x:row r="842">
      <x:c r="A842" s="16" t="n">
        <x:v>841</x:v>
      </x:c>
      <x:c r="B842" s="16" t="str">
        <x:v>EXPERIMENT</x:v>
      </x:c>
      <x:c r="C842" s="16" t="str">
        <x:f>Coder_A!C842</x:f>
        <x:v>PILOT_01_E11</x:v>
      </x:c>
      <x:c r="D842" s="16" t="str">
        <x:v>cpu_ram</x:v>
      </x:c>
      <x:c r="E842" s="16" t="str"/>
      <x:c r="F842" s="16" t="str"/>
      <x:c r="G842" s="16" t="str"/>
      <x:c r="H842" s="16" t="str">
        <x:v>N</x:v>
      </x:c>
      <x:c r="I842" s="16" t="str"/>
    </x:row>
    <x:row r="843">
      <x:c r="A843" s="16" t="n">
        <x:v>842</x:v>
      </x:c>
      <x:c r="B843" s="16" t="str">
        <x:v>EXPERIMENT</x:v>
      </x:c>
      <x:c r="C843" s="16" t="str">
        <x:f>Coder_A!C843</x:f>
        <x:v>PILOT_01_E11</x:v>
      </x:c>
      <x:c r="D843" s="16" t="str">
        <x:v>gpu_vram</x:v>
      </x:c>
      <x:c r="E843" s="16" t="str"/>
      <x:c r="F843" s="16" t="str"/>
      <x:c r="G843" s="16" t="str"/>
      <x:c r="H843" s="16" t="str">
        <x:v>N</x:v>
      </x:c>
      <x:c r="I843" s="16" t="str"/>
    </x:row>
    <x:row r="844">
      <x:c r="A844" s="16" t="n">
        <x:v>843</x:v>
      </x:c>
      <x:c r="B844" s="16" t="str">
        <x:v>EXPERIMENT</x:v>
      </x:c>
      <x:c r="C844" s="16" t="str">
        <x:f>Coder_A!C844</x:f>
        <x:v>PILOT_01_E11</x:v>
      </x:c>
      <x:c r="D844" s="16" t="str">
        <x:v>hardware</x:v>
      </x:c>
      <x:c r="E844" s="16" t="str"/>
      <x:c r="F844" s="16" t="str"/>
      <x:c r="G844" s="16" t="str"/>
      <x:c r="H844" s="16" t="str">
        <x:v>N</x:v>
      </x:c>
      <x:c r="I844" s="16" t="str"/>
    </x:row>
    <x:row r="845">
      <x:c r="A845" s="16" t="n">
        <x:v>844</x:v>
      </x:c>
      <x:c r="B845" s="16" t="str">
        <x:v>EXPERIMENT</x:v>
      </x:c>
      <x:c r="C845" s="16" t="str">
        <x:f>Coder_A!C845</x:f>
        <x:v>PILOT_01_E11</x:v>
      </x:c>
      <x:c r="D845" s="16" t="str">
        <x:v>graph_construction_time</x:v>
      </x:c>
      <x:c r="E845" s="16" t="str"/>
      <x:c r="F845" s="16" t="str"/>
      <x:c r="G845" s="16" t="str"/>
      <x:c r="H845" s="16" t="str">
        <x:v>N</x:v>
      </x:c>
      <x:c r="I845" s="16" t="str"/>
    </x:row>
    <x:row r="846">
      <x:c r="A846" s="16" t="n">
        <x:v>845</x:v>
      </x:c>
      <x:c r="B846" s="16" t="str">
        <x:v>EXPERIMENT</x:v>
      </x:c>
      <x:c r="C846" s="16" t="str">
        <x:f>Coder_A!C846</x:f>
        <x:v>PILOT_01_E11</x:v>
      </x:c>
      <x:c r="D846" s="16" t="str">
        <x:v>complexity_formula</x:v>
      </x:c>
      <x:c r="E846" s="16" t="str"/>
      <x:c r="F846" s="16" t="str"/>
      <x:c r="G846" s="16" t="str"/>
      <x:c r="H846" s="16" t="str">
        <x:v>N</x:v>
      </x:c>
      <x:c r="I846" s="16" t="str"/>
    </x:row>
    <x:row r="847">
      <x:c r="A847" s="16" t="n">
        <x:v>846</x:v>
      </x:c>
      <x:c r="B847" s="16" t="str">
        <x:v>EXPERIMENT</x:v>
      </x:c>
      <x:c r="C847" s="16" t="str">
        <x:f>Coder_A!C847</x:f>
        <x:v>PILOT_01_E11</x:v>
      </x:c>
      <x:c r="D847" s="16" t="str">
        <x:v>scale_up_experiment</x:v>
      </x:c>
      <x:c r="E847" s="16" t="str"/>
      <x:c r="F847" s="16" t="str"/>
      <x:c r="G847" s="16" t="str"/>
      <x:c r="H847" s="16" t="str">
        <x:v>Y</x:v>
      </x:c>
      <x:c r="I847" s="16" t="str"/>
    </x:row>
    <x:row r="848">
      <x:c r="A848" s="16" t="n">
        <x:v>847</x:v>
      </x:c>
      <x:c r="B848" s="16" t="str">
        <x:v>EXPERIMENT</x:v>
      </x:c>
      <x:c r="C848" s="16" t="str">
        <x:f>Coder_A!C848</x:f>
        <x:v>PILOT_01_E11</x:v>
      </x:c>
      <x:c r="D848" s="16" t="str">
        <x:v>oom_timeout_reported</x:v>
      </x:c>
      <x:c r="E848" s="16" t="str"/>
      <x:c r="F848" s="16" t="str"/>
      <x:c r="G848" s="16" t="str"/>
      <x:c r="H848" s="16" t="str">
        <x:v>Y</x:v>
      </x:c>
      <x:c r="I848" s="16" t="str"/>
    </x:row>
    <x:row r="849">
      <x:c r="A849" s="16" t="n">
        <x:v>848</x:v>
      </x:c>
      <x:c r="B849" s="16" t="str">
        <x:v>EXPERIMENT</x:v>
      </x:c>
      <x:c r="C849" s="16" t="str">
        <x:f>Coder_A!C849</x:f>
        <x:v>PILOT_01_E12</x:v>
      </x:c>
      <x:c r="D849" s="16" t="str">
        <x:v>dataset_name</x:v>
      </x:c>
      <x:c r="E849" s="16" t="str"/>
      <x:c r="F849" s="16" t="str"/>
      <x:c r="G849" s="16" t="str"/>
      <x:c r="H849" s="16" t="str">
        <x:v>N</x:v>
      </x:c>
      <x:c r="I849" s="16" t="str"/>
    </x:row>
    <x:row r="850">
      <x:c r="A850" s="16" t="n">
        <x:v>849</x:v>
      </x:c>
      <x:c r="B850" s="16" t="str">
        <x:v>EXPERIMENT</x:v>
      </x:c>
      <x:c r="C850" s="16" t="str">
        <x:f>Coder_A!C850</x:f>
        <x:v>PILOT_01_E12</x:v>
      </x:c>
      <x:c r="D850" s="16" t="str">
        <x:v>dataset_version</x:v>
      </x:c>
      <x:c r="E850" s="16" t="str"/>
      <x:c r="F850" s="16" t="str"/>
      <x:c r="G850" s="16" t="str"/>
      <x:c r="H850" s="16" t="str">
        <x:v>N</x:v>
      </x:c>
      <x:c r="I850" s="16" t="str"/>
    </x:row>
    <x:row r="851">
      <x:c r="A851" s="16" t="n">
        <x:v>850</x:v>
      </x:c>
      <x:c r="B851" s="16" t="str">
        <x:v>EXPERIMENT</x:v>
      </x:c>
      <x:c r="C851" s="16" t="str">
        <x:f>Coder_A!C851</x:f>
        <x:v>PILOT_01_E12</x:v>
      </x:c>
      <x:c r="D851" s="16" t="str">
        <x:v>n_learners_reported</x:v>
      </x:c>
      <x:c r="E851" s="16" t="str"/>
      <x:c r="F851" s="16" t="str"/>
      <x:c r="G851" s="16" t="str"/>
      <x:c r="H851" s="16" t="str">
        <x:v>N</x:v>
      </x:c>
      <x:c r="I851" s="16" t="str"/>
    </x:row>
    <x:row r="852">
      <x:c r="A852" s="16" t="n">
        <x:v>851</x:v>
      </x:c>
      <x:c r="B852" s="16" t="str">
        <x:v>EXPERIMENT</x:v>
      </x:c>
      <x:c r="C852" s="16" t="str">
        <x:f>Coder_A!C852</x:f>
        <x:v>PILOT_01_E12</x:v>
      </x:c>
      <x:c r="D852" s="16" t="str">
        <x:v>n_items_reported</x:v>
      </x:c>
      <x:c r="E852" s="16" t="str"/>
      <x:c r="F852" s="16" t="str"/>
      <x:c r="G852" s="16" t="str"/>
      <x:c r="H852" s="16" t="str">
        <x:v>N</x:v>
      </x:c>
      <x:c r="I852" s="16" t="str"/>
    </x:row>
    <x:row r="853">
      <x:c r="A853" s="16" t="n">
        <x:v>852</x:v>
      </x:c>
      <x:c r="B853" s="16" t="str">
        <x:v>EXPERIMENT</x:v>
      </x:c>
      <x:c r="C853" s="16" t="str">
        <x:f>Coder_A!C853</x:f>
        <x:v>PILOT_01_E12</x:v>
      </x:c>
      <x:c r="D853" s="16" t="str">
        <x:v>n_kcs_reported</x:v>
      </x:c>
      <x:c r="E853" s="16" t="str"/>
      <x:c r="F853" s="16" t="str"/>
      <x:c r="G853" s="16" t="str"/>
      <x:c r="H853" s="16" t="str">
        <x:v>N</x:v>
      </x:c>
      <x:c r="I853" s="16" t="str"/>
    </x:row>
    <x:row r="854">
      <x:c r="A854" s="16" t="n">
        <x:v>853</x:v>
      </x:c>
      <x:c r="B854" s="16" t="str">
        <x:v>EXPERIMENT</x:v>
      </x:c>
      <x:c r="C854" s="16" t="str">
        <x:f>Coder_A!C854</x:f>
        <x:v>PILOT_01_E12</x:v>
      </x:c>
      <x:c r="D854" s="16" t="str">
        <x:v>n_interactions_reported</x:v>
      </x:c>
      <x:c r="E854" s="16" t="str"/>
      <x:c r="F854" s="16" t="str"/>
      <x:c r="G854" s="16" t="str"/>
      <x:c r="H854" s="16" t="str">
        <x:v>N</x:v>
      </x:c>
      <x:c r="I854" s="16" t="str"/>
    </x:row>
    <x:row r="855">
      <x:c r="A855" s="16" t="n">
        <x:v>854</x:v>
      </x:c>
      <x:c r="B855" s="16" t="str">
        <x:v>EXPERIMENT</x:v>
      </x:c>
      <x:c r="C855" s="16" t="str">
        <x:f>Coder_A!C855</x:f>
        <x:v>PILOT_01_E12</x:v>
      </x:c>
      <x:c r="D855" s="16" t="str">
        <x:v>multi_skill_present</x:v>
      </x:c>
      <x:c r="E855" s="16" t="str"/>
      <x:c r="F855" s="16" t="str"/>
      <x:c r="G855" s="16" t="str"/>
      <x:c r="H855" s="16" t="str">
        <x:v>Y</x:v>
      </x:c>
      <x:c r="I855" s="16" t="str"/>
    </x:row>
    <x:row r="856">
      <x:c r="A856" s="16" t="n">
        <x:v>855</x:v>
      </x:c>
      <x:c r="B856" s="16" t="str">
        <x:v>EXPERIMENT</x:v>
      </x:c>
      <x:c r="C856" s="16" t="str">
        <x:f>Coder_A!C856</x:f>
        <x:v>PILOT_01_E12</x:v>
      </x:c>
      <x:c r="D856" s="16" t="str">
        <x:v>multi_skill_handling</x:v>
      </x:c>
      <x:c r="E856" s="16" t="str"/>
      <x:c r="F856" s="16" t="str"/>
      <x:c r="G856" s="16" t="str"/>
      <x:c r="H856" s="16" t="str">
        <x:v>N</x:v>
      </x:c>
      <x:c r="I856" s="16" t="str"/>
    </x:row>
    <x:row r="857">
      <x:c r="A857" s="16" t="n">
        <x:v>856</x:v>
      </x:c>
      <x:c r="B857" s="16" t="str">
        <x:v>EXPERIMENT</x:v>
      </x:c>
      <x:c r="C857" s="16" t="str">
        <x:f>Coder_A!C857</x:f>
        <x:v>PILOT_01_E12</x:v>
      </x:c>
      <x:c r="D857" s="16" t="str">
        <x:v>sequence_truncation</x:v>
      </x:c>
      <x:c r="E857" s="16" t="str"/>
      <x:c r="F857" s="16" t="str"/>
      <x:c r="G857" s="16" t="str"/>
      <x:c r="H857" s="16" t="str">
        <x:v>N</x:v>
      </x:c>
      <x:c r="I857" s="16" t="str"/>
    </x:row>
    <x:row r="858">
      <x:c r="A858" s="16" t="n">
        <x:v>857</x:v>
      </x:c>
      <x:c r="B858" s="16" t="str">
        <x:v>EXPERIMENT</x:v>
      </x:c>
      <x:c r="C858" s="16" t="str">
        <x:f>Coder_A!C858</x:f>
        <x:v>PILOT_01_E12</x:v>
      </x:c>
      <x:c r="D858" s="16" t="str">
        <x:v>min_sequence_filter</x:v>
      </x:c>
      <x:c r="E858" s="16" t="str"/>
      <x:c r="F858" s="16" t="str"/>
      <x:c r="G858" s="16" t="str"/>
      <x:c r="H858" s="16" t="str">
        <x:v>N</x:v>
      </x:c>
      <x:c r="I858" s="16" t="str"/>
    </x:row>
    <x:row r="859">
      <x:c r="A859" s="16" t="n">
        <x:v>858</x:v>
      </x:c>
      <x:c r="B859" s="16" t="str">
        <x:v>EXPERIMENT</x:v>
      </x:c>
      <x:c r="C859" s="16" t="str">
        <x:f>Coder_A!C859</x:f>
        <x:v>PILOT_01_E12</x:v>
      </x:c>
      <x:c r="D859" s="16" t="str">
        <x:v>timestamp_used</x:v>
      </x:c>
      <x:c r="E859" s="16" t="str"/>
      <x:c r="F859" s="16" t="str"/>
      <x:c r="G859" s="16" t="str"/>
      <x:c r="H859" s="16" t="str">
        <x:v>Y</x:v>
      </x:c>
      <x:c r="I859" s="16" t="str"/>
    </x:row>
    <x:row r="860">
      <x:c r="A860" s="16" t="n">
        <x:v>859</x:v>
      </x:c>
      <x:c r="B860" s="16" t="str">
        <x:v>EXPERIMENT</x:v>
      </x:c>
      <x:c r="C860" s="16" t="str">
        <x:f>Coder_A!C860</x:f>
        <x:v>PILOT_01_E12</x:v>
      </x:c>
      <x:c r="D860" s="16" t="str">
        <x:v>preprocessing_code_available</x:v>
      </x:c>
      <x:c r="E860" s="16" t="str"/>
      <x:c r="F860" s="16" t="str"/>
      <x:c r="G860" s="16" t="str"/>
      <x:c r="H860" s="16" t="str">
        <x:v>Y</x:v>
      </x:c>
      <x:c r="I860" s="16" t="str"/>
    </x:row>
    <x:row r="861">
      <x:c r="A861" s="16" t="n">
        <x:v>860</x:v>
      </x:c>
      <x:c r="B861" s="16" t="str">
        <x:v>EXPERIMENT</x:v>
      </x:c>
      <x:c r="C861" s="16" t="str">
        <x:f>Coder_A!C861</x:f>
        <x:v>PILOT_01_E12</x:v>
      </x:c>
      <x:c r="D861" s="16" t="str">
        <x:v>split_type</x:v>
      </x:c>
      <x:c r="E861" s="16" t="str"/>
      <x:c r="F861" s="16" t="str"/>
      <x:c r="G861" s="16" t="str"/>
      <x:c r="H861" s="16" t="str">
        <x:v>Y</x:v>
      </x:c>
      <x:c r="I861" s="16" t="str"/>
    </x:row>
    <x:row r="862">
      <x:c r="A862" s="16" t="n">
        <x:v>861</x:v>
      </x:c>
      <x:c r="B862" s="16" t="str">
        <x:v>EXPERIMENT</x:v>
      </x:c>
      <x:c r="C862" s="16" t="str">
        <x:f>Coder_A!C862</x:f>
        <x:v>PILOT_01_E12</x:v>
      </x:c>
      <x:c r="D862" s="16" t="str">
        <x:v>split_unit_original</x:v>
      </x:c>
      <x:c r="E862" s="16" t="str"/>
      <x:c r="F862" s="16" t="str"/>
      <x:c r="G862" s="16" t="str"/>
      <x:c r="H862" s="16" t="str">
        <x:v>N</x:v>
      </x:c>
      <x:c r="I862" s="16" t="str"/>
    </x:row>
    <x:row r="863">
      <x:c r="A863" s="16" t="n">
        <x:v>862</x:v>
      </x:c>
      <x:c r="B863" s="16" t="str">
        <x:v>EXPERIMENT</x:v>
      </x:c>
      <x:c r="C863" s="16" t="str">
        <x:f>Coder_A!C863</x:f>
        <x:v>PILOT_01_E12</x:v>
      </x:c>
      <x:c r="D863" s="16" t="str">
        <x:v>train_fraction</x:v>
      </x:c>
      <x:c r="E863" s="16" t="str"/>
      <x:c r="F863" s="16" t="str"/>
      <x:c r="G863" s="16" t="str"/>
      <x:c r="H863" s="16" t="str">
        <x:v>N</x:v>
      </x:c>
      <x:c r="I863" s="16" t="str"/>
    </x:row>
    <x:row r="864">
      <x:c r="A864" s="16" t="n">
        <x:v>863</x:v>
      </x:c>
      <x:c r="B864" s="16" t="str">
        <x:v>EXPERIMENT</x:v>
      </x:c>
      <x:c r="C864" s="16" t="str">
        <x:f>Coder_A!C864</x:f>
        <x:v>PILOT_01_E12</x:v>
      </x:c>
      <x:c r="D864" s="16" t="str">
        <x:v>validation_fraction</x:v>
      </x:c>
      <x:c r="E864" s="16" t="str"/>
      <x:c r="F864" s="16" t="str"/>
      <x:c r="G864" s="16" t="str"/>
      <x:c r="H864" s="16" t="str">
        <x:v>N</x:v>
      </x:c>
      <x:c r="I864" s="16" t="str"/>
    </x:row>
    <x:row r="865">
      <x:c r="A865" s="16" t="n">
        <x:v>864</x:v>
      </x:c>
      <x:c r="B865" s="16" t="str">
        <x:v>EXPERIMENT</x:v>
      </x:c>
      <x:c r="C865" s="16" t="str">
        <x:f>Coder_A!C865</x:f>
        <x:v>PILOT_01_E12</x:v>
      </x:c>
      <x:c r="D865" s="16" t="str">
        <x:v>test_fraction</x:v>
      </x:c>
      <x:c r="E865" s="16" t="str"/>
      <x:c r="F865" s="16" t="str"/>
      <x:c r="G865" s="16" t="str"/>
      <x:c r="H865" s="16" t="str">
        <x:v>N</x:v>
      </x:c>
      <x:c r="I865" s="16" t="str"/>
    </x:row>
    <x:row r="866">
      <x:c r="A866" s="16" t="n">
        <x:v>865</x:v>
      </x:c>
      <x:c r="B866" s="16" t="str">
        <x:v>EXPERIMENT</x:v>
      </x:c>
      <x:c r="C866" s="16" t="str">
        <x:f>Coder_A!C866</x:f>
        <x:v>PILOT_01_E12</x:v>
      </x:c>
      <x:c r="D866" s="16" t="str">
        <x:v>validation_set_separate</x:v>
      </x:c>
      <x:c r="E866" s="16" t="str"/>
      <x:c r="F866" s="16" t="str"/>
      <x:c r="G866" s="16" t="str"/>
      <x:c r="H866" s="16" t="str">
        <x:v>Y</x:v>
      </x:c>
      <x:c r="I866" s="16" t="str"/>
    </x:row>
    <x:row r="867">
      <x:c r="A867" s="16" t="n">
        <x:v>866</x:v>
      </x:c>
      <x:c r="B867" s="16" t="str">
        <x:v>EXPERIMENT</x:v>
      </x:c>
      <x:c r="C867" s="16" t="str">
        <x:f>Coder_A!C867</x:f>
        <x:v>PILOT_01_E12</x:v>
      </x:c>
      <x:c r="D867" s="16" t="str">
        <x:v>early_stopping_validation_only</x:v>
      </x:c>
      <x:c r="E867" s="16" t="str"/>
      <x:c r="F867" s="16" t="str"/>
      <x:c r="G867" s="16" t="str"/>
      <x:c r="H867" s="16" t="str">
        <x:v>Y</x:v>
      </x:c>
      <x:c r="I867" s="16" t="str"/>
    </x:row>
    <x:row r="868">
      <x:c r="A868" s="16" t="n">
        <x:v>867</x:v>
      </x:c>
      <x:c r="B868" s="16" t="str">
        <x:v>EXPERIMENT</x:v>
      </x:c>
      <x:c r="C868" s="16" t="str">
        <x:f>Coder_A!C868</x:f>
        <x:v>PILOT_01_E12</x:v>
      </x:c>
      <x:c r="D868" s="16" t="str">
        <x:v>graph_train_only</x:v>
      </x:c>
      <x:c r="E868" s="16" t="str"/>
      <x:c r="F868" s="16" t="str"/>
      <x:c r="G868" s="16" t="str"/>
      <x:c r="H868" s="16" t="str">
        <x:v>Y</x:v>
      </x:c>
      <x:c r="I868" s="16" t="str"/>
    </x:row>
    <x:row r="869">
      <x:c r="A869" s="16" t="n">
        <x:v>868</x:v>
      </x:c>
      <x:c r="B869" s="16" t="str">
        <x:v>EXPERIMENT</x:v>
      </x:c>
      <x:c r="C869" s="16" t="str">
        <x:f>Coder_A!C869</x:f>
        <x:v>PILOT_01_E12</x:v>
      </x:c>
      <x:c r="D869" s="16" t="str">
        <x:v>normalization_train_only</x:v>
      </x:c>
      <x:c r="E869" s="16" t="str"/>
      <x:c r="F869" s="16" t="str"/>
      <x:c r="G869" s="16" t="str"/>
      <x:c r="H869" s="16" t="str">
        <x:v>Y</x:v>
      </x:c>
      <x:c r="I869" s="16" t="str"/>
    </x:row>
    <x:row r="870">
      <x:c r="A870" s="16" t="n">
        <x:v>869</x:v>
      </x:c>
      <x:c r="B870" s="16" t="str">
        <x:v>EXPERIMENT</x:v>
      </x:c>
      <x:c r="C870" s="16" t="str">
        <x:f>Coder_A!C870</x:f>
        <x:v>PILOT_01_E12</x:v>
      </x:c>
      <x:c r="D870" s="16" t="str">
        <x:v>sparse_strata_train_only</x:v>
      </x:c>
      <x:c r="E870" s="16" t="str"/>
      <x:c r="F870" s="16" t="str"/>
      <x:c r="G870" s="16" t="str"/>
      <x:c r="H870" s="16" t="str">
        <x:v>Y</x:v>
      </x:c>
      <x:c r="I870" s="16" t="str"/>
    </x:row>
    <x:row r="871">
      <x:c r="A871" s="16" t="n">
        <x:v>870</x:v>
      </x:c>
      <x:c r="B871" s="16" t="str">
        <x:v>EXPERIMENT</x:v>
      </x:c>
      <x:c r="C871" s="16" t="str">
        <x:f>Coder_A!C871</x:f>
        <x:v>PILOT_01_E12</x:v>
      </x:c>
      <x:c r="D871" s="16" t="str">
        <x:v>temporal_alignment_audited</x:v>
      </x:c>
      <x:c r="E871" s="16" t="str"/>
      <x:c r="F871" s="16" t="str"/>
      <x:c r="G871" s="16" t="str"/>
      <x:c r="H871" s="16" t="str">
        <x:v>Y</x:v>
      </x:c>
      <x:c r="I871" s="16" t="str"/>
    </x:row>
    <x:row r="872">
      <x:c r="A872" s="16" t="n">
        <x:v>871</x:v>
      </x:c>
      <x:c r="B872" s="16" t="str">
        <x:v>EXPERIMENT</x:v>
      </x:c>
      <x:c r="C872" s="16" t="str">
        <x:f>Coder_A!C872</x:f>
        <x:v>PILOT_01_E12</x:v>
      </x:c>
      <x:c r="D872" s="16" t="str">
        <x:v>duplicate_entity_leakage_checked</x:v>
      </x:c>
      <x:c r="E872" s="16" t="str"/>
      <x:c r="F872" s="16" t="str"/>
      <x:c r="G872" s="16" t="str"/>
      <x:c r="H872" s="16" t="str">
        <x:v>Y</x:v>
      </x:c>
      <x:c r="I872" s="16" t="str"/>
    </x:row>
    <x:row r="873">
      <x:c r="A873" s="16" t="n">
        <x:v>872</x:v>
      </x:c>
      <x:c r="B873" s="16" t="str">
        <x:v>EXPERIMENT</x:v>
      </x:c>
      <x:c r="C873" s="16" t="str">
        <x:f>Coder_A!C873</x:f>
        <x:v>PILOT_01_E12</x:v>
      </x:c>
      <x:c r="D873" s="16" t="str">
        <x:v>sparsity_construct</x:v>
      </x:c>
      <x:c r="E873" s="16" t="str"/>
      <x:c r="F873" s="16" t="str"/>
      <x:c r="G873" s="16" t="str"/>
      <x:c r="H873" s="16" t="str">
        <x:v>Y</x:v>
      </x:c>
      <x:c r="I873" s="16" t="str"/>
    </x:row>
    <x:row r="874">
      <x:c r="A874" s="16" t="n">
        <x:v>873</x:v>
      </x:c>
      <x:c r="B874" s="16" t="str">
        <x:v>EXPERIMENT</x:v>
      </x:c>
      <x:c r="C874" s="16" t="str">
        <x:f>Coder_A!C874</x:f>
        <x:v>PILOT_01_E12</x:v>
      </x:c>
      <x:c r="D874" s="16" t="str">
        <x:v>sparse_definition_original</x:v>
      </x:c>
      <x:c r="E874" s="16" t="str"/>
      <x:c r="F874" s="16" t="str"/>
      <x:c r="G874" s="16" t="str"/>
      <x:c r="H874" s="16" t="str">
        <x:v>N</x:v>
      </x:c>
      <x:c r="I874" s="16" t="str"/>
    </x:row>
    <x:row r="875">
      <x:c r="A875" s="16" t="n">
        <x:v>874</x:v>
      </x:c>
      <x:c r="B875" s="16" t="str">
        <x:v>EXPERIMENT</x:v>
      </x:c>
      <x:c r="C875" s="16" t="str">
        <x:f>Coder_A!C875</x:f>
        <x:v>PILOT_01_E12</x:v>
      </x:c>
      <x:c r="D875" s="16" t="str">
        <x:v>sparse_threshold_original</x:v>
      </x:c>
      <x:c r="E875" s="16" t="str"/>
      <x:c r="F875" s="16" t="str"/>
      <x:c r="G875" s="16" t="str"/>
      <x:c r="H875" s="16" t="str">
        <x:v>N</x:v>
      </x:c>
      <x:c r="I875" s="16" t="str"/>
    </x:row>
    <x:row r="876">
      <x:c r="A876" s="16" t="n">
        <x:v>875</x:v>
      </x:c>
      <x:c r="B876" s="16" t="str">
        <x:v>EXPERIMENT</x:v>
      </x:c>
      <x:c r="C876" s="16" t="str">
        <x:f>Coder_A!C876</x:f>
        <x:v>PILOT_01_E12</x:v>
      </x:c>
      <x:c r="D876" s="16" t="str">
        <x:v>threshold_source</x:v>
      </x:c>
      <x:c r="E876" s="16" t="str"/>
      <x:c r="F876" s="16" t="str"/>
      <x:c r="G876" s="16" t="str"/>
      <x:c r="H876" s="16" t="str">
        <x:v>Y</x:v>
      </x:c>
      <x:c r="I876" s="16" t="str"/>
    </x:row>
    <x:row r="877">
      <x:c r="A877" s="16" t="n">
        <x:v>876</x:v>
      </x:c>
      <x:c r="B877" s="16" t="str">
        <x:v>EXPERIMENT</x:v>
      </x:c>
      <x:c r="C877" s="16" t="str">
        <x:f>Coder_A!C877</x:f>
        <x:v>PILOT_01_E12</x:v>
      </x:c>
      <x:c r="D877" s="16" t="str">
        <x:v>frequency_computed_on</x:v>
      </x:c>
      <x:c r="E877" s="16" t="str"/>
      <x:c r="F877" s="16" t="str"/>
      <x:c r="G877" s="16" t="str"/>
      <x:c r="H877" s="16" t="str">
        <x:v>Y</x:v>
      </x:c>
      <x:c r="I877" s="16" t="str"/>
    </x:row>
    <x:row r="878">
      <x:c r="A878" s="16" t="n">
        <x:v>877</x:v>
      </x:c>
      <x:c r="B878" s="16" t="str">
        <x:v>EXPERIMENT</x:v>
      </x:c>
      <x:c r="C878" s="16" t="str">
        <x:f>Coder_A!C878</x:f>
        <x:v>PILOT_01_E12</x:v>
      </x:c>
      <x:c r="D878" s="16" t="str">
        <x:v>strict_zero_train_verified</x:v>
      </x:c>
      <x:c r="E878" s="16" t="str"/>
      <x:c r="F878" s="16" t="str"/>
      <x:c r="G878" s="16" t="str"/>
      <x:c r="H878" s="16" t="str">
        <x:v>Y</x:v>
      </x:c>
      <x:c r="I878" s="16" t="str"/>
    </x:row>
    <x:row r="879">
      <x:c r="A879" s="16" t="n">
        <x:v>878</x:v>
      </x:c>
      <x:c r="B879" s="16" t="str">
        <x:v>EXPERIMENT</x:v>
      </x:c>
      <x:c r="C879" s="16" t="str">
        <x:f>Coder_A!C879</x:f>
        <x:v>PILOT_01_E12</x:v>
      </x:c>
      <x:c r="D879" s="16" t="str">
        <x:v>external_info_for_unseen_kc</x:v>
      </x:c>
      <x:c r="E879" s="16" t="str"/>
      <x:c r="F879" s="16" t="str"/>
      <x:c r="G879" s="16" t="str"/>
      <x:c r="H879" s="16" t="str">
        <x:v>Y</x:v>
      </x:c>
      <x:c r="I879" s="16" t="str"/>
    </x:row>
    <x:row r="880">
      <x:c r="A880" s="16" t="n">
        <x:v>879</x:v>
      </x:c>
      <x:c r="B880" s="16" t="str">
        <x:v>EXPERIMENT</x:v>
      </x:c>
      <x:c r="C880" s="16" t="str">
        <x:f>Coder_A!C880</x:f>
        <x:v>PILOT_01_E12</x:v>
      </x:c>
      <x:c r="D880" s="16" t="str">
        <x:v>support_kcs</x:v>
      </x:c>
      <x:c r="E880" s="16" t="str"/>
      <x:c r="F880" s="16" t="str"/>
      <x:c r="G880" s="16" t="str"/>
      <x:c r="H880" s="16" t="str">
        <x:v>N</x:v>
      </x:c>
      <x:c r="I880" s="16" t="str"/>
    </x:row>
    <x:row r="881">
      <x:c r="A881" s="16" t="n">
        <x:v>880</x:v>
      </x:c>
      <x:c r="B881" s="16" t="str">
        <x:v>EXPERIMENT</x:v>
      </x:c>
      <x:c r="C881" s="16" t="str">
        <x:f>Coder_A!C881</x:f>
        <x:v>PILOT_01_E12</x:v>
      </x:c>
      <x:c r="D881" s="16" t="str">
        <x:v>support_learners</x:v>
      </x:c>
      <x:c r="E881" s="16" t="str"/>
      <x:c r="F881" s="16" t="str"/>
      <x:c r="G881" s="16" t="str"/>
      <x:c r="H881" s="16" t="str">
        <x:v>N</x:v>
      </x:c>
      <x:c r="I881" s="16" t="str"/>
    </x:row>
    <x:row r="882">
      <x:c r="A882" s="16" t="n">
        <x:v>881</x:v>
      </x:c>
      <x:c r="B882" s="16" t="str">
        <x:v>EXPERIMENT</x:v>
      </x:c>
      <x:c r="C882" s="16" t="str">
        <x:f>Coder_A!C882</x:f>
        <x:v>PILOT_01_E12</x:v>
      </x:c>
      <x:c r="D882" s="16" t="str">
        <x:v>support_items</x:v>
      </x:c>
      <x:c r="E882" s="16" t="str"/>
      <x:c r="F882" s="16" t="str"/>
      <x:c r="G882" s="16" t="str"/>
      <x:c r="H882" s="16" t="str">
        <x:v>N</x:v>
      </x:c>
      <x:c r="I882" s="16" t="str"/>
    </x:row>
    <x:row r="883">
      <x:c r="A883" s="16" t="n">
        <x:v>882</x:v>
      </x:c>
      <x:c r="B883" s="16" t="str">
        <x:v>EXPERIMENT</x:v>
      </x:c>
      <x:c r="C883" s="16" t="str">
        <x:f>Coder_A!C883</x:f>
        <x:v>PILOT_01_E12</x:v>
      </x:c>
      <x:c r="D883" s="16" t="str">
        <x:v>support_test_interactions</x:v>
      </x:c>
      <x:c r="E883" s="16" t="str"/>
      <x:c r="F883" s="16" t="str"/>
      <x:c r="G883" s="16" t="str"/>
      <x:c r="H883" s="16" t="str">
        <x:v>N</x:v>
      </x:c>
      <x:c r="I883" s="16" t="str"/>
    </x:row>
    <x:row r="884">
      <x:c r="A884" s="16" t="n">
        <x:v>883</x:v>
      </x:c>
      <x:c r="B884" s="16" t="str">
        <x:v>EXPERIMENT</x:v>
      </x:c>
      <x:c r="C884" s="16" t="str">
        <x:f>Coder_A!C884</x:f>
        <x:v>PILOT_01_E12</x:v>
      </x:c>
      <x:c r="D884" s="16" t="str">
        <x:v>positive_count</x:v>
      </x:c>
      <x:c r="E884" s="16" t="str"/>
      <x:c r="F884" s="16" t="str"/>
      <x:c r="G884" s="16" t="str"/>
      <x:c r="H884" s="16" t="str">
        <x:v>N</x:v>
      </x:c>
      <x:c r="I884" s="16" t="str"/>
    </x:row>
    <x:row r="885">
      <x:c r="A885" s="16" t="n">
        <x:v>884</x:v>
      </x:c>
      <x:c r="B885" s="16" t="str">
        <x:v>EXPERIMENT</x:v>
      </x:c>
      <x:c r="C885" s="16" t="str">
        <x:f>Coder_A!C885</x:f>
        <x:v>PILOT_01_E12</x:v>
      </x:c>
      <x:c r="D885" s="16" t="str">
        <x:v>negative_count</x:v>
      </x:c>
      <x:c r="E885" s="16" t="str"/>
      <x:c r="F885" s="16" t="str"/>
      <x:c r="G885" s="16" t="str"/>
      <x:c r="H885" s="16" t="str">
        <x:v>N</x:v>
      </x:c>
      <x:c r="I885" s="16" t="str"/>
    </x:row>
    <x:row r="886">
      <x:c r="A886" s="16" t="n">
        <x:v>885</x:v>
      </x:c>
      <x:c r="B886" s="16" t="str">
        <x:v>EXPERIMENT</x:v>
      </x:c>
      <x:c r="C886" s="16" t="str">
        <x:f>Coder_A!C886</x:f>
        <x:v>PILOT_01_E12</x:v>
      </x:c>
      <x:c r="D886" s="16" t="str">
        <x:v>metric_name_original</x:v>
      </x:c>
      <x:c r="E886" s="16" t="str"/>
      <x:c r="F886" s="16" t="str"/>
      <x:c r="G886" s="16" t="str"/>
      <x:c r="H886" s="16" t="str">
        <x:v>N</x:v>
      </x:c>
      <x:c r="I886" s="16" t="str"/>
    </x:row>
    <x:row r="887">
      <x:c r="A887" s="16" t="n">
        <x:v>886</x:v>
      </x:c>
      <x:c r="B887" s="16" t="str">
        <x:v>EXPERIMENT</x:v>
      </x:c>
      <x:c r="C887" s="16" t="str">
        <x:f>Coder_A!C887</x:f>
        <x:v>PILOT_01_E12</x:v>
      </x:c>
      <x:c r="D887" s="16" t="str">
        <x:v>metric_value_original</x:v>
      </x:c>
      <x:c r="E887" s="16" t="str"/>
      <x:c r="F887" s="16" t="str"/>
      <x:c r="G887" s="16" t="str"/>
      <x:c r="H887" s="16" t="str">
        <x:v>N</x:v>
      </x:c>
      <x:c r="I887" s="16" t="str"/>
    </x:row>
    <x:row r="888">
      <x:c r="A888" s="16" t="n">
        <x:v>887</x:v>
      </x:c>
      <x:c r="B888" s="16" t="str">
        <x:v>EXPERIMENT</x:v>
      </x:c>
      <x:c r="C888" s="16" t="str">
        <x:f>Coder_A!C888</x:f>
        <x:v>PILOT_01_E12</x:v>
      </x:c>
      <x:c r="D888" s="16" t="str">
        <x:v>metric_scope</x:v>
      </x:c>
      <x:c r="E888" s="16" t="str"/>
      <x:c r="F888" s="16" t="str"/>
      <x:c r="G888" s="16" t="str"/>
      <x:c r="H888" s="16" t="str">
        <x:v>Y</x:v>
      </x:c>
      <x:c r="I888" s="16" t="str"/>
    </x:row>
    <x:row r="889">
      <x:c r="A889" s="16" t="n">
        <x:v>888</x:v>
      </x:c>
      <x:c r="B889" s="16" t="str">
        <x:v>EXPERIMENT</x:v>
      </x:c>
      <x:c r="C889" s="16" t="str">
        <x:f>Coder_A!C889</x:f>
        <x:v>PILOT_01_E12</x:v>
      </x:c>
      <x:c r="D889" s="16" t="str">
        <x:v>n_seeds</x:v>
      </x:c>
      <x:c r="E889" s="16" t="str"/>
      <x:c r="F889" s="16" t="str"/>
      <x:c r="G889" s="16" t="str"/>
      <x:c r="H889" s="16" t="str">
        <x:v>N</x:v>
      </x:c>
      <x:c r="I889" s="16" t="str"/>
    </x:row>
    <x:row r="890">
      <x:c r="A890" s="16" t="n">
        <x:v>889</x:v>
      </x:c>
      <x:c r="B890" s="16" t="str">
        <x:v>EXPERIMENT</x:v>
      </x:c>
      <x:c r="C890" s="16" t="str">
        <x:f>Coder_A!C890</x:f>
        <x:v>PILOT_01_E12</x:v>
      </x:c>
      <x:c r="D890" s="16" t="str">
        <x:v>seed_values_reported</x:v>
      </x:c>
      <x:c r="E890" s="16" t="str"/>
      <x:c r="F890" s="16" t="str"/>
      <x:c r="G890" s="16" t="str"/>
      <x:c r="H890" s="16" t="str">
        <x:v>N</x:v>
      </x:c>
      <x:c r="I890" s="16" t="str"/>
    </x:row>
    <x:row r="891">
      <x:c r="A891" s="16" t="n">
        <x:v>890</x:v>
      </x:c>
      <x:c r="B891" s="16" t="str">
        <x:v>EXPERIMENT</x:v>
      </x:c>
      <x:c r="C891" s="16" t="str">
        <x:f>Coder_A!C891</x:f>
        <x:v>PILOT_01_E12</x:v>
      </x:c>
      <x:c r="D891" s="16" t="str">
        <x:v>mean_std_reported</x:v>
      </x:c>
      <x:c r="E891" s="16" t="str"/>
      <x:c r="F891" s="16" t="str"/>
      <x:c r="G891" s="16" t="str"/>
      <x:c r="H891" s="16" t="str">
        <x:v>Y</x:v>
      </x:c>
      <x:c r="I891" s="16" t="str"/>
    </x:row>
    <x:row r="892">
      <x:c r="A892" s="16" t="n">
        <x:v>891</x:v>
      </x:c>
      <x:c r="B892" s="16" t="str">
        <x:v>EXPERIMENT</x:v>
      </x:c>
      <x:c r="C892" s="16" t="str">
        <x:f>Coder_A!C892</x:f>
        <x:v>PILOT_01_E12</x:v>
      </x:c>
      <x:c r="D892" s="16" t="str">
        <x:v>confidence_interval</x:v>
      </x:c>
      <x:c r="E892" s="16" t="str"/>
      <x:c r="F892" s="16" t="str"/>
      <x:c r="G892" s="16" t="str"/>
      <x:c r="H892" s="16" t="str">
        <x:v>N</x:v>
      </x:c>
      <x:c r="I892" s="16" t="str"/>
    </x:row>
    <x:row r="893">
      <x:c r="A893" s="16" t="n">
        <x:v>892</x:v>
      </x:c>
      <x:c r="B893" s="16" t="str">
        <x:v>EXPERIMENT</x:v>
      </x:c>
      <x:c r="C893" s="16" t="str">
        <x:f>Coder_A!C893</x:f>
        <x:v>PILOT_01_E12</x:v>
      </x:c>
      <x:c r="D893" s="16" t="str">
        <x:v>bootstrap_unit</x:v>
      </x:c>
      <x:c r="E893" s="16" t="str"/>
      <x:c r="F893" s="16" t="str"/>
      <x:c r="G893" s="16" t="str"/>
      <x:c r="H893" s="16" t="str">
        <x:v>Y</x:v>
      </x:c>
      <x:c r="I893" s="16" t="str"/>
    </x:row>
    <x:row r="894">
      <x:c r="A894" s="16" t="n">
        <x:v>893</x:v>
      </x:c>
      <x:c r="B894" s="16" t="str">
        <x:v>EXPERIMENT</x:v>
      </x:c>
      <x:c r="C894" s="16" t="str">
        <x:f>Coder_A!C894</x:f>
        <x:v>PILOT_01_E12</x:v>
      </x:c>
      <x:c r="D894" s="16" t="str">
        <x:v>statistical_test</x:v>
      </x:c>
      <x:c r="E894" s="16" t="str"/>
      <x:c r="F894" s="16" t="str"/>
      <x:c r="G894" s="16" t="str"/>
      <x:c r="H894" s="16" t="str">
        <x:v>N</x:v>
      </x:c>
      <x:c r="I894" s="16" t="str"/>
    </x:row>
    <x:row r="895">
      <x:c r="A895" s="16" t="n">
        <x:v>894</x:v>
      </x:c>
      <x:c r="B895" s="16" t="str">
        <x:v>EXPERIMENT</x:v>
      </x:c>
      <x:c r="C895" s="16" t="str">
        <x:f>Coder_A!C895</x:f>
        <x:v>PILOT_01_E12</x:v>
      </x:c>
      <x:c r="D895" s="16" t="str">
        <x:v>multiple_comparison_correction</x:v>
      </x:c>
      <x:c r="E895" s="16" t="str"/>
      <x:c r="F895" s="16" t="str"/>
      <x:c r="G895" s="16" t="str"/>
      <x:c r="H895" s="16" t="str">
        <x:v>N</x:v>
      </x:c>
      <x:c r="I895" s="16" t="str"/>
    </x:row>
    <x:row r="896">
      <x:c r="A896" s="16" t="n">
        <x:v>895</x:v>
      </x:c>
      <x:c r="B896" s="16" t="str">
        <x:v>EXPERIMENT</x:v>
      </x:c>
      <x:c r="C896" s="16" t="str">
        <x:f>Coder_A!C896</x:f>
        <x:v>PILOT_01_E12</x:v>
      </x:c>
      <x:c r="D896" s="16" t="str">
        <x:v>effect_size</x:v>
      </x:c>
      <x:c r="E896" s="16" t="str"/>
      <x:c r="F896" s="16" t="str"/>
      <x:c r="G896" s="16" t="str"/>
      <x:c r="H896" s="16" t="str">
        <x:v>N</x:v>
      </x:c>
      <x:c r="I896" s="16" t="str"/>
    </x:row>
    <x:row r="897">
      <x:c r="A897" s="16" t="n">
        <x:v>896</x:v>
      </x:c>
      <x:c r="B897" s="16" t="str">
        <x:v>EXPERIMENT</x:v>
      </x:c>
      <x:c r="C897" s="16" t="str">
        <x:f>Coder_A!C897</x:f>
        <x:v>PILOT_01_E12</x:v>
      </x:c>
      <x:c r="D897" s="16" t="str">
        <x:v>paired_design</x:v>
      </x:c>
      <x:c r="E897" s="16" t="str"/>
      <x:c r="F897" s="16" t="str"/>
      <x:c r="G897" s="16" t="str"/>
      <x:c r="H897" s="16" t="str">
        <x:v>Y</x:v>
      </x:c>
      <x:c r="I897" s="16" t="str"/>
    </x:row>
    <x:row r="898">
      <x:c r="A898" s="16" t="n">
        <x:v>897</x:v>
      </x:c>
      <x:c r="B898" s="16" t="str">
        <x:v>EXPERIMENT</x:v>
      </x:c>
      <x:c r="C898" s="16" t="str">
        <x:f>Coder_A!C898</x:f>
        <x:v>PILOT_01_E12</x:v>
      </x:c>
      <x:c r="D898" s="16" t="str">
        <x:v>significance_threshold</x:v>
      </x:c>
      <x:c r="E898" s="16" t="str"/>
      <x:c r="F898" s="16" t="str"/>
      <x:c r="G898" s="16" t="str"/>
      <x:c r="H898" s="16" t="str">
        <x:v>N</x:v>
      </x:c>
      <x:c r="I898" s="16" t="str"/>
    </x:row>
    <x:row r="899">
      <x:c r="A899" s="16" t="n">
        <x:v>898</x:v>
      </x:c>
      <x:c r="B899" s="16" t="str">
        <x:v>EXPERIMENT</x:v>
      </x:c>
      <x:c r="C899" s="16" t="str">
        <x:f>Coder_A!C899</x:f>
        <x:v>PILOT_01_E12</x:v>
      </x:c>
      <x:c r="D899" s="16" t="str">
        <x:v>parameter_count</x:v>
      </x:c>
      <x:c r="E899" s="16" t="str"/>
      <x:c r="F899" s="16" t="str"/>
      <x:c r="G899" s="16" t="str"/>
      <x:c r="H899" s="16" t="str">
        <x:v>N</x:v>
      </x:c>
      <x:c r="I899" s="16" t="str"/>
    </x:row>
    <x:row r="900">
      <x:c r="A900" s="16" t="n">
        <x:v>899</x:v>
      </x:c>
      <x:c r="B900" s="16" t="str">
        <x:v>EXPERIMENT</x:v>
      </x:c>
      <x:c r="C900" s="16" t="str">
        <x:f>Coder_A!C900</x:f>
        <x:v>PILOT_01_E12</x:v>
      </x:c>
      <x:c r="D900" s="16" t="str">
        <x:v>train_time</x:v>
      </x:c>
      <x:c r="E900" s="16" t="str"/>
      <x:c r="F900" s="16" t="str"/>
      <x:c r="G900" s="16" t="str"/>
      <x:c r="H900" s="16" t="str">
        <x:v>N</x:v>
      </x:c>
      <x:c r="I900" s="16" t="str"/>
    </x:row>
    <x:row r="901">
      <x:c r="A901" s="16" t="n">
        <x:v>900</x:v>
      </x:c>
      <x:c r="B901" s="16" t="str">
        <x:v>EXPERIMENT</x:v>
      </x:c>
      <x:c r="C901" s="16" t="str">
        <x:f>Coder_A!C901</x:f>
        <x:v>PILOT_01_E12</x:v>
      </x:c>
      <x:c r="D901" s="16" t="str">
        <x:v>time_per_epoch</x:v>
      </x:c>
      <x:c r="E901" s="16" t="str"/>
      <x:c r="F901" s="16" t="str"/>
      <x:c r="G901" s="16" t="str"/>
      <x:c r="H901" s="16" t="str">
        <x:v>N</x:v>
      </x:c>
      <x:c r="I901" s="16" t="str"/>
    </x:row>
    <x:row r="902">
      <x:c r="A902" s="16" t="n">
        <x:v>901</x:v>
      </x:c>
      <x:c r="B902" s="16" t="str">
        <x:v>EXPERIMENT</x:v>
      </x:c>
      <x:c r="C902" s="16" t="str">
        <x:f>Coder_A!C902</x:f>
        <x:v>PILOT_01_E12</x:v>
      </x:c>
      <x:c r="D902" s="16" t="str">
        <x:v>inference_latency</x:v>
      </x:c>
      <x:c r="E902" s="16" t="str"/>
      <x:c r="F902" s="16" t="str"/>
      <x:c r="G902" s="16" t="str"/>
      <x:c r="H902" s="16" t="str">
        <x:v>N</x:v>
      </x:c>
      <x:c r="I902" s="16" t="str"/>
    </x:row>
    <x:row r="903">
      <x:c r="A903" s="16" t="n">
        <x:v>902</x:v>
      </x:c>
      <x:c r="B903" s="16" t="str">
        <x:v>EXPERIMENT</x:v>
      </x:c>
      <x:c r="C903" s="16" t="str">
        <x:f>Coder_A!C903</x:f>
        <x:v>PILOT_01_E12</x:v>
      </x:c>
      <x:c r="D903" s="16" t="str">
        <x:v>throughput</x:v>
      </x:c>
      <x:c r="E903" s="16" t="str"/>
      <x:c r="F903" s="16" t="str"/>
      <x:c r="G903" s="16" t="str"/>
      <x:c r="H903" s="16" t="str">
        <x:v>N</x:v>
      </x:c>
      <x:c r="I903" s="16" t="str"/>
    </x:row>
    <x:row r="904">
      <x:c r="A904" s="16" t="n">
        <x:v>903</x:v>
      </x:c>
      <x:c r="B904" s="16" t="str">
        <x:v>EXPERIMENT</x:v>
      </x:c>
      <x:c r="C904" s="16" t="str">
        <x:f>Coder_A!C904</x:f>
        <x:v>PILOT_01_E12</x:v>
      </x:c>
      <x:c r="D904" s="16" t="str">
        <x:v>cpu_ram</x:v>
      </x:c>
      <x:c r="E904" s="16" t="str"/>
      <x:c r="F904" s="16" t="str"/>
      <x:c r="G904" s="16" t="str"/>
      <x:c r="H904" s="16" t="str">
        <x:v>N</x:v>
      </x:c>
      <x:c r="I904" s="16" t="str"/>
    </x:row>
    <x:row r="905">
      <x:c r="A905" s="16" t="n">
        <x:v>904</x:v>
      </x:c>
      <x:c r="B905" s="16" t="str">
        <x:v>EXPERIMENT</x:v>
      </x:c>
      <x:c r="C905" s="16" t="str">
        <x:f>Coder_A!C905</x:f>
        <x:v>PILOT_01_E12</x:v>
      </x:c>
      <x:c r="D905" s="16" t="str">
        <x:v>gpu_vram</x:v>
      </x:c>
      <x:c r="E905" s="16" t="str"/>
      <x:c r="F905" s="16" t="str"/>
      <x:c r="G905" s="16" t="str"/>
      <x:c r="H905" s="16" t="str">
        <x:v>N</x:v>
      </x:c>
      <x:c r="I905" s="16" t="str"/>
    </x:row>
    <x:row r="906">
      <x:c r="A906" s="16" t="n">
        <x:v>905</x:v>
      </x:c>
      <x:c r="B906" s="16" t="str">
        <x:v>EXPERIMENT</x:v>
      </x:c>
      <x:c r="C906" s="16" t="str">
        <x:f>Coder_A!C906</x:f>
        <x:v>PILOT_01_E12</x:v>
      </x:c>
      <x:c r="D906" s="16" t="str">
        <x:v>hardware</x:v>
      </x:c>
      <x:c r="E906" s="16" t="str"/>
      <x:c r="F906" s="16" t="str"/>
      <x:c r="G906" s="16" t="str"/>
      <x:c r="H906" s="16" t="str">
        <x:v>N</x:v>
      </x:c>
      <x:c r="I906" s="16" t="str"/>
    </x:row>
    <x:row r="907">
      <x:c r="A907" s="16" t="n">
        <x:v>906</x:v>
      </x:c>
      <x:c r="B907" s="16" t="str">
        <x:v>EXPERIMENT</x:v>
      </x:c>
      <x:c r="C907" s="16" t="str">
        <x:f>Coder_A!C907</x:f>
        <x:v>PILOT_01_E12</x:v>
      </x:c>
      <x:c r="D907" s="16" t="str">
        <x:v>graph_construction_time</x:v>
      </x:c>
      <x:c r="E907" s="16" t="str"/>
      <x:c r="F907" s="16" t="str"/>
      <x:c r="G907" s="16" t="str"/>
      <x:c r="H907" s="16" t="str">
        <x:v>N</x:v>
      </x:c>
      <x:c r="I907" s="16" t="str"/>
    </x:row>
    <x:row r="908">
      <x:c r="A908" s="16" t="n">
        <x:v>907</x:v>
      </x:c>
      <x:c r="B908" s="16" t="str">
        <x:v>EXPERIMENT</x:v>
      </x:c>
      <x:c r="C908" s="16" t="str">
        <x:f>Coder_A!C908</x:f>
        <x:v>PILOT_01_E12</x:v>
      </x:c>
      <x:c r="D908" s="16" t="str">
        <x:v>complexity_formula</x:v>
      </x:c>
      <x:c r="E908" s="16" t="str"/>
      <x:c r="F908" s="16" t="str"/>
      <x:c r="G908" s="16" t="str"/>
      <x:c r="H908" s="16" t="str">
        <x:v>N</x:v>
      </x:c>
      <x:c r="I908" s="16" t="str"/>
    </x:row>
    <x:row r="909">
      <x:c r="A909" s="16" t="n">
        <x:v>908</x:v>
      </x:c>
      <x:c r="B909" s="16" t="str">
        <x:v>EXPERIMENT</x:v>
      </x:c>
      <x:c r="C909" s="16" t="str">
        <x:f>Coder_A!C909</x:f>
        <x:v>PILOT_01_E12</x:v>
      </x:c>
      <x:c r="D909" s="16" t="str">
        <x:v>scale_up_experiment</x:v>
      </x:c>
      <x:c r="E909" s="16" t="str"/>
      <x:c r="F909" s="16" t="str"/>
      <x:c r="G909" s="16" t="str"/>
      <x:c r="H909" s="16" t="str">
        <x:v>Y</x:v>
      </x:c>
      <x:c r="I909" s="16" t="str"/>
    </x:row>
    <x:row r="910">
      <x:c r="A910" s="16" t="n">
        <x:v>909</x:v>
      </x:c>
      <x:c r="B910" s="16" t="str">
        <x:v>EXPERIMENT</x:v>
      </x:c>
      <x:c r="C910" s="16" t="str">
        <x:f>Coder_A!C910</x:f>
        <x:v>PILOT_01_E12</x:v>
      </x:c>
      <x:c r="D910" s="16" t="str">
        <x:v>oom_timeout_reported</x:v>
      </x:c>
      <x:c r="E910" s="16" t="str"/>
      <x:c r="F910" s="16" t="str"/>
      <x:c r="G910" s="16" t="str"/>
      <x:c r="H910" s="16" t="str">
        <x:v>Y</x:v>
      </x:c>
      <x:c r="I910" s="16" t="str"/>
    </x:row>
  </x:sheetData>
  <x:conditionalFormatting sqref="E2:E910">
    <x:cfRule type="expression" dxfId="0" priority="1">
      <x:formula>AND($E2&lt;&gt;"",$E2=Coder_A!$E2)</x:formula>
    </x:cfRule>
    <x:cfRule type="expression" dxfId="1" priority="2">
      <x:formula>AND($E2&lt;&gt;"",$E2&lt;&gt;Coder_A!$E2)</x:formula>
    </x:cfRule>
  </x:conditionalFormatting>
  <x:dataValidations count="1">
    <x:dataValidation type="list" sqref="G2:G9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d6941f712450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7" hidden="0" customWidth="1"/>
    <x:col min="4" max="4" width="34" hidden="0" customWidth="1"/>
    <x:col min="5" max="5" width="28" hidden="0" customWidth="1"/>
    <x:col min="6" max="6" width="28" hidden="0" customWidth="1"/>
    <x:col min="7" max="7" width="13" hidden="0" customWidth="1"/>
    <x:col min="8" max="8" width="14" hidden="0" customWidth="1"/>
    <x:col min="9" max="9" width="45" hidden="0" customWidth="1"/>
    <x:col min="10" max="10" width="45" hidden="0" customWidth="1"/>
  </x:cols>
  <x:sheetData>
    <x:row r="1">
      <x:c r="A1" s="62" t="str">
        <x:v>Seq</x:v>
      </x:c>
      <x:c r="B1" s="62" t="str">
        <x:v>Level</x:v>
      </x:c>
      <x:c r="C1" s="62" t="str">
        <x:v>Entity ID</x:v>
      </x:c>
      <x:c r="D1" s="62" t="str">
        <x:v>Field</x:v>
      </x:c>
      <x:c r="E1" s="62" t="str">
        <x:v>Coder A</x:v>
      </x:c>
      <x:c r="F1" s="62" t="str">
        <x:v>Coder B</x:v>
      </x:c>
      <x:c r="G1" s="62" t="str">
        <x:v>Status</x:v>
      </x:c>
      <x:c r="H1" s="62" t="str">
        <x:v>Kappa Eligible</x:v>
      </x:c>
      <x:c r="I1" s="62" t="str">
        <x:v>Coder A Evidence</x:v>
      </x:c>
      <x:c r="J1" s="62" t="str">
        <x:v>Coder B Evidence</x:v>
      </x:c>
    </x:row>
    <x:row r="2">
      <x:c r="A2" s="16" t="n">
        <x:v>1</x:v>
      </x:c>
      <x:c r="B2" s="16" t="str">
        <x:v>PAPER</x:v>
      </x:c>
      <x:c r="C2" s="16" t="str">
        <x:f>Coder_A!C2</x:f>
        <x:v>PILOT_01</x:v>
      </x:c>
      <x:c r="D2" s="16" t="str">
        <x:v>kt_central_task</x:v>
      </x:c>
      <x:c r="E2" s="16" t="str">
        <x:f>Coder_A!E2</x:f>
        <x:v>Y</x:v>
      </x:c>
      <x:c r="F2" s="16" t="n">
        <x:f>Coder_B!E2</x:f>
        <x:v>0</x:v>
      </x:c>
      <x:c r="G2" s="16" t="str">
        <x:f>IF(F2="","PENDING",IF(E2=F2,"AGREE","DISAGREE"))</x:f>
        <x:v>PENDING</x:v>
      </x:c>
      <x:c r="H2" s="16" t="str">
        <x:v>Y</x:v>
      </x:c>
      <x:c r="I2" s="16" t="str">
        <x:f>Coder_A!F2</x:f>
        <x:v>Official metadata + Abstract/Introduction; Sec. 2.1–2.2; Sec. 3; Appendix A–B</x:v>
      </x:c>
      <x:c r="J2" s="16" t="n">
        <x:f>Coder_B!F2</x:f>
        <x:v>0</x:v>
      </x:c>
    </x:row>
    <x:row r="3">
      <x:c r="A3" s="16" t="n">
        <x:v>2</x:v>
      </x:c>
      <x:c r="B3" s="16" t="str">
        <x:v>PAPER</x:v>
      </x:c>
      <x:c r="C3" s="16" t="str">
        <x:f>Coder_A!C3</x:f>
        <x:v>PILOT_01</x:v>
      </x:c>
      <x:c r="D3" s="16" t="str">
        <x:v>G_criterion</x:v>
      </x:c>
      <x:c r="E3" s="16" t="str">
        <x:f>Coder_A!E3</x:f>
        <x:v>Y</x:v>
      </x:c>
      <x:c r="F3" s="16" t="n">
        <x:f>Coder_B!E3</x:f>
        <x:v>0</x:v>
      </x:c>
      <x:c r="G3" s="16" t="str">
        <x:f>IF(F3="","PENDING",IF(E3=F3,"AGREE","DISAGREE"))</x:f>
        <x:v>PENDING</x:v>
      </x:c>
      <x:c r="H3" s="16" t="str">
        <x:v>Y</x:v>
      </x:c>
      <x:c r="I3" s="16" t="str">
        <x:f>Coder_A!F3</x:f>
        <x:v>Official metadata + Abstract/Introduction; Sec. 2.1–2.2; Sec. 3; Appendix A–B</x:v>
      </x:c>
      <x:c r="J3" s="16" t="n">
        <x:f>Coder_B!F3</x:f>
        <x:v>0</x:v>
      </x:c>
    </x:row>
    <x:row r="4">
      <x:c r="A4" s="16" t="n">
        <x:v>3</x:v>
      </x:c>
      <x:c r="B4" s="16" t="str">
        <x:v>PAPER</x:v>
      </x:c>
      <x:c r="C4" s="16" t="str">
        <x:f>Coder_A!C4</x:f>
        <x:v>PILOT_01</x:v>
      </x:c>
      <x:c r="D4" s="16" t="str">
        <x:v>S_criterion</x:v>
      </x:c>
      <x:c r="E4" s="16" t="str">
        <x:f>Coder_A!E4</x:f>
        <x:v>N</x:v>
      </x:c>
      <x:c r="F4" s="16" t="n">
        <x:f>Coder_B!E4</x:f>
        <x:v>0</x:v>
      </x:c>
      <x:c r="G4" s="16" t="str">
        <x:f>IF(F4="","PENDING",IF(E4=F4,"AGREE","DISAGREE"))</x:f>
        <x:v>PENDING</x:v>
      </x:c>
      <x:c r="H4" s="16" t="str">
        <x:v>Y</x:v>
      </x:c>
      <x:c r="I4" s="16" t="str">
        <x:f>Coder_A!F4</x:f>
        <x:v>Official metadata + Abstract/Introduction; Sec. 2.1–2.2; Sec. 3; Appendix A–B</x:v>
      </x:c>
      <x:c r="J4" s="16" t="n">
        <x:f>Coder_B!F4</x:f>
        <x:v>0</x:v>
      </x:c>
    </x:row>
    <x:row r="5">
      <x:c r="A5" s="16" t="n">
        <x:v>4</x:v>
      </x:c>
      <x:c r="B5" s="16" t="str">
        <x:v>PAPER</x:v>
      </x:c>
      <x:c r="C5" s="16" t="str">
        <x:f>Coder_A!C5</x:f>
        <x:v>PILOT_01</x:v>
      </x:c>
      <x:c r="D5" s="16" t="str">
        <x:v>primary_gateway_pass</x:v>
      </x:c>
      <x:c r="E5" s="16" t="str">
        <x:f>Coder_A!E5</x:f>
        <x:v>PASS</x:v>
      </x:c>
      <x:c r="F5" s="16" t="n">
        <x:f>Coder_B!E5</x:f>
        <x:v>0</x:v>
      </x:c>
      <x:c r="G5" s="16" t="str">
        <x:f>IF(F5="","PENDING",IF(E5=F5,"AGREE","DISAGREE"))</x:f>
        <x:v>PENDING</x:v>
      </x:c>
      <x:c r="H5" s="16" t="str">
        <x:v>Y</x:v>
      </x:c>
      <x:c r="I5" s="16" t="str">
        <x:f>Coder_A!F5</x:f>
        <x:v>Official metadata + Abstract/Introduction; Sec. 2.1–2.2; Sec. 3; Appendix A–B</x:v>
      </x:c>
      <x:c r="J5" s="16" t="n">
        <x:f>Coder_B!F5</x:f>
        <x:v>0</x:v>
      </x:c>
    </x:row>
    <x:row r="6">
      <x:c r="A6" s="16" t="n">
        <x:v>5</x:v>
      </x:c>
      <x:c r="B6" s="16" t="str">
        <x:v>PAPER</x:v>
      </x:c>
      <x:c r="C6" s="16" t="str">
        <x:f>Coder_A!C6</x:f>
        <x:v>PILOT_01</x:v>
      </x:c>
      <x:c r="D6" s="16" t="str">
        <x:v>corpus_status</x:v>
      </x:c>
      <x:c r="E6" s="16" t="str">
        <x:f>Coder_A!E6</x:f>
        <x:v>PRIMARY_CORE</x:v>
      </x:c>
      <x:c r="F6" s="16" t="n">
        <x:f>Coder_B!E6</x:f>
        <x:v>0</x:v>
      </x:c>
      <x:c r="G6" s="16" t="str">
        <x:f>IF(F6="","PENDING",IF(E6=F6,"AGREE","DISAGREE"))</x:f>
        <x:v>PENDING</x:v>
      </x:c>
      <x:c r="H6" s="16" t="str">
        <x:v>Y</x:v>
      </x:c>
      <x:c r="I6" s="16" t="str">
        <x:f>Coder_A!F6</x:f>
        <x:v>Official metadata + Abstract/Introduction; Sec. 2.1–2.2; Sec. 3; Appendix A–B</x:v>
      </x:c>
      <x:c r="J6" s="16" t="n">
        <x:f>Coder_B!F6</x:f>
        <x:v>0</x:v>
      </x:c>
    </x:row>
    <x:row r="7">
      <x:c r="A7" s="16" t="n">
        <x:v>6</x:v>
      </x:c>
      <x:c r="B7" s="16" t="str">
        <x:v>PAPER</x:v>
      </x:c>
      <x:c r="C7" s="16" t="str">
        <x:f>Coder_A!C7</x:f>
        <x:v>PILOT_01</x:v>
      </x:c>
      <x:c r="D7" s="16" t="str">
        <x:v>role_in_survey</x:v>
      </x:c>
      <x:c r="E7" s="16" t="str">
        <x:f>Coder_A!E7</x:f>
        <x:v>GRAPH_KT</x:v>
      </x:c>
      <x:c r="F7" s="16" t="n">
        <x:f>Coder_B!E7</x:f>
        <x:v>0</x:v>
      </x:c>
      <x:c r="G7" s="16" t="str">
        <x:f>IF(F7="","PENDING",IF(E7=F7,"AGREE","DISAGREE"))</x:f>
        <x:v>PENDING</x:v>
      </x:c>
      <x:c r="H7" s="16" t="str">
        <x:v>Y</x:v>
      </x:c>
      <x:c r="I7" s="16" t="str">
        <x:f>Coder_A!F7</x:f>
        <x:v>Official metadata + Abstract/Introduction; Sec. 2.1–2.2; Sec. 3; Appendix A–B</x:v>
      </x:c>
      <x:c r="J7" s="16" t="n">
        <x:f>Coder_B!F7</x:f>
        <x:v>0</x:v>
      </x:c>
    </x:row>
    <x:row r="8">
      <x:c r="A8" s="16" t="n">
        <x:v>7</x:v>
      </x:c>
      <x:c r="B8" s="16" t="str">
        <x:v>PAPER</x:v>
      </x:c>
      <x:c r="C8" s="16" t="str">
        <x:f>Coder_A!C8</x:f>
        <x:v>PILOT_01</x:v>
      </x:c>
      <x:c r="D8" s="16" t="str">
        <x:v>code_available</x:v>
      </x:c>
      <x:c r="E8" s="16" t="str">
        <x:f>Coder_A!E8</x:f>
        <x:v>NR</x:v>
      </x:c>
      <x:c r="F8" s="16" t="n">
        <x:f>Coder_B!E8</x:f>
        <x:v>0</x:v>
      </x:c>
      <x:c r="G8" s="16" t="str">
        <x:f>IF(F8="","PENDING",IF(E8=F8,"AGREE","DISAGREE"))</x:f>
        <x:v>PENDING</x:v>
      </x:c>
      <x:c r="H8" s="16" t="str">
        <x:v>Y</x:v>
      </x:c>
      <x:c r="I8" s="16" t="str">
        <x:f>Coder_A!F8</x:f>
        <x:v>Official metadata + Abstract/Introduction; Sec. 2.1–2.2; Sec. 3; Appendix A–B</x:v>
      </x:c>
      <x:c r="J8" s="16" t="n">
        <x:f>Coder_B!F8</x:f>
        <x:v>0</x:v>
      </x:c>
    </x:row>
    <x:row r="9">
      <x:c r="A9" s="16" t="n">
        <x:v>8</x:v>
      </x:c>
      <x:c r="B9" s="16" t="str">
        <x:v>PAPER</x:v>
      </x:c>
      <x:c r="C9" s="16" t="str">
        <x:f>Coder_A!C9</x:f>
        <x:v>PILOT_01</x:v>
      </x:c>
      <x:c r="D9" s="16" t="str">
        <x:v>data_available</x:v>
      </x:c>
      <x:c r="E9" s="16" t="str">
        <x:f>Coder_A!E9</x:f>
        <x:v>Y</x:v>
      </x:c>
      <x:c r="F9" s="16" t="n">
        <x:f>Coder_B!E9</x:f>
        <x:v>0</x:v>
      </x:c>
      <x:c r="G9" s="16" t="str">
        <x:f>IF(F9="","PENDING",IF(E9=F9,"AGREE","DISAGREE"))</x:f>
        <x:v>PENDING</x:v>
      </x:c>
      <x:c r="H9" s="16" t="str">
        <x:v>Y</x:v>
      </x:c>
      <x:c r="I9" s="16" t="str">
        <x:f>Coder_A!F9</x:f>
        <x:v>Official metadata + Abstract/Introduction; Sec. 2.1–2.2; Sec. 3; Appendix A–B</x:v>
      </x:c>
      <x:c r="J9" s="16" t="n">
        <x:f>Coder_B!F9</x:f>
        <x:v>0</x:v>
      </x:c>
    </x:row>
    <x:row r="10">
      <x:c r="A10" s="16" t="n">
        <x:v>9</x:v>
      </x:c>
      <x:c r="B10" s="16" t="str">
        <x:v>PAPER</x:v>
      </x:c>
      <x:c r="C10" s="16" t="str">
        <x:f>Coder_A!C10</x:f>
        <x:v>PILOT_01</x:v>
      </x:c>
      <x:c r="D10" s="16" t="str">
        <x:v>config_available</x:v>
      </x:c>
      <x:c r="E10" s="16" t="str">
        <x:f>Coder_A!E10</x:f>
        <x:v>NR</x:v>
      </x:c>
      <x:c r="F10" s="16" t="n">
        <x:f>Coder_B!E10</x:f>
        <x:v>0</x:v>
      </x:c>
      <x:c r="G10" s="16" t="str">
        <x:f>IF(F10="","PENDING",IF(E10=F10,"AGREE","DISAGREE"))</x:f>
        <x:v>PENDING</x:v>
      </x:c>
      <x:c r="H10" s="16" t="str">
        <x:v>Y</x:v>
      </x:c>
      <x:c r="I10" s="16" t="str">
        <x:f>Coder_A!F10</x:f>
        <x:v>Official metadata + Abstract/Introduction; Sec. 2.1–2.2; Sec. 3; Appendix A–B</x:v>
      </x:c>
      <x:c r="J10" s="16" t="n">
        <x:f>Coder_B!F10</x:f>
        <x:v>0</x:v>
      </x:c>
    </x:row>
    <x:row r="11">
      <x:c r="A11" s="16" t="n">
        <x:v>10</x:v>
      </x:c>
      <x:c r="B11" s="16" t="str">
        <x:v>PAPER</x:v>
      </x:c>
      <x:c r="C11" s="16" t="str">
        <x:f>Coder_A!C11</x:f>
        <x:v>PILOT_01</x:v>
      </x:c>
      <x:c r="D11" s="16" t="str">
        <x:v>seed_available</x:v>
      </x:c>
      <x:c r="E11" s="16" t="str">
        <x:f>Coder_A!E11</x:f>
        <x:v>NR</x:v>
      </x:c>
      <x:c r="F11" s="16" t="n">
        <x:f>Coder_B!E11</x:f>
        <x:v>0</x:v>
      </x:c>
      <x:c r="G11" s="16" t="str">
        <x:f>IF(F11="","PENDING",IF(E11=F11,"AGREE","DISAGREE"))</x:f>
        <x:v>PENDING</x:v>
      </x:c>
      <x:c r="H11" s="16" t="str">
        <x:v>Y</x:v>
      </x:c>
      <x:c r="I11" s="16" t="str">
        <x:f>Coder_A!F11</x:f>
        <x:v>Official metadata + Abstract/Introduction; Sec. 2.1–2.2; Sec. 3; Appendix A–B</x:v>
      </x:c>
      <x:c r="J11" s="16" t="n">
        <x:f>Coder_B!F11</x:f>
        <x:v>0</x:v>
      </x:c>
    </x:row>
    <x:row r="12">
      <x:c r="A12" s="16" t="n">
        <x:v>11</x:v>
      </x:c>
      <x:c r="B12" s="16" t="str">
        <x:v>PAPER</x:v>
      </x:c>
      <x:c r="C12" s="16" t="str">
        <x:f>Coder_A!C12</x:f>
        <x:v>PILOT_01</x:v>
      </x:c>
      <x:c r="D12" s="16" t="str">
        <x:v>environment_available</x:v>
      </x:c>
      <x:c r="E12" s="16" t="str">
        <x:f>Coder_A!E12</x:f>
        <x:v>NR</x:v>
      </x:c>
      <x:c r="F12" s="16" t="n">
        <x:f>Coder_B!E12</x:f>
        <x:v>0</x:v>
      </x:c>
      <x:c r="G12" s="16" t="str">
        <x:f>IF(F12="","PENDING",IF(E12=F12,"AGREE","DISAGREE"))</x:f>
        <x:v>PENDING</x:v>
      </x:c>
      <x:c r="H12" s="16" t="str">
        <x:v>Y</x:v>
      </x:c>
      <x:c r="I12" s="16" t="str">
        <x:f>Coder_A!F12</x:f>
        <x:v>Official metadata + Abstract/Introduction; Sec. 2.1–2.2; Sec. 3; Appendix A–B</x:v>
      </x:c>
      <x:c r="J12" s="16" t="n">
        <x:f>Coder_B!F12</x:f>
        <x:v>0</x:v>
      </x:c>
    </x:row>
    <x:row r="13">
      <x:c r="A13" s="16" t="n">
        <x:v>12</x:v>
      </x:c>
      <x:c r="B13" s="16" t="str">
        <x:v>PAPER</x:v>
      </x:c>
      <x:c r="C13" s="16" t="str">
        <x:f>Coder_A!C13</x:f>
        <x:v>PILOT_01</x:v>
      </x:c>
      <x:c r="D13" s="16" t="str">
        <x:v>artifact_archive_available</x:v>
      </x:c>
      <x:c r="E13" s="16" t="str">
        <x:f>Coder_A!E13</x:f>
        <x:v>NR</x:v>
      </x:c>
      <x:c r="F13" s="16" t="n">
        <x:f>Coder_B!E13</x:f>
        <x:v>0</x:v>
      </x:c>
      <x:c r="G13" s="16" t="str">
        <x:f>IF(F13="","PENDING",IF(E13=F13,"AGREE","DISAGREE"))</x:f>
        <x:v>PENDING</x:v>
      </x:c>
      <x:c r="H13" s="16" t="str">
        <x:v>Y</x:v>
      </x:c>
      <x:c r="I13" s="16" t="str">
        <x:f>Coder_A!F13</x:f>
        <x:v>Official metadata + Abstract/Introduction; Sec. 2.1–2.2; Sec. 3; Appendix A–B</x:v>
      </x:c>
      <x:c r="J13" s="16" t="n">
        <x:f>Coder_B!F13</x:f>
        <x:v>0</x:v>
      </x:c>
    </x:row>
    <x:row r="14">
      <x:c r="A14" s="16" t="n">
        <x:v>13</x:v>
      </x:c>
      <x:c r="B14" s="16" t="str">
        <x:v>PAPER</x:v>
      </x:c>
      <x:c r="C14" s="16" t="str">
        <x:f>Coder_A!C14</x:f>
        <x:v>PILOT_01</x:v>
      </x:c>
      <x:c r="D14" s="16" t="str">
        <x:v>QA1</x:v>
      </x:c>
      <x:c r="E14" s="16" t="n">
        <x:f>Coder_A!E14</x:f>
        <x:v>2</x:v>
      </x:c>
      <x:c r="F14" s="16" t="n">
        <x:f>Coder_B!E14</x:f>
        <x:v>0</x:v>
      </x:c>
      <x:c r="G14" s="16" t="str">
        <x:f>IF(F14="","PENDING",IF(E14=F14,"AGREE","DISAGREE"))</x:f>
        <x:v>PENDING</x:v>
      </x:c>
      <x:c r="H14" s="16" t="str">
        <x:v>N</x:v>
      </x:c>
      <x:c r="I14" s="16" t="str">
        <x:f>Coder_A!F14</x:f>
        <x:v>Official metadata + Abstract/Introduction; Sec. 2.1–2.2; Sec. 3; Appendix A–B</x:v>
      </x:c>
      <x:c r="J14" s="16" t="n">
        <x:f>Coder_B!F14</x:f>
        <x:v>0</x:v>
      </x:c>
    </x:row>
    <x:row r="15">
      <x:c r="A15" s="16" t="n">
        <x:v>14</x:v>
      </x:c>
      <x:c r="B15" s="16" t="str">
        <x:v>PAPER</x:v>
      </x:c>
      <x:c r="C15" s="16" t="str">
        <x:f>Coder_A!C15</x:f>
        <x:v>PILOT_01</x:v>
      </x:c>
      <x:c r="D15" s="16" t="str">
        <x:v>QA2</x:v>
      </x:c>
      <x:c r="E15" s="16" t="n">
        <x:f>Coder_A!E15</x:f>
        <x:v>2</x:v>
      </x:c>
      <x:c r="F15" s="16" t="n">
        <x:f>Coder_B!E15</x:f>
        <x:v>0</x:v>
      </x:c>
      <x:c r="G15" s="16" t="str">
        <x:f>IF(F15="","PENDING",IF(E15=F15,"AGREE","DISAGREE"))</x:f>
        <x:v>PENDING</x:v>
      </x:c>
      <x:c r="H15" s="16" t="str">
        <x:v>N</x:v>
      </x:c>
      <x:c r="I15" s="16" t="str">
        <x:f>Coder_A!F15</x:f>
        <x:v>Official metadata + Abstract/Introduction; Sec. 2.1–2.2; Sec. 3; Appendix A–B</x:v>
      </x:c>
      <x:c r="J15" s="16" t="n">
        <x:f>Coder_B!F15</x:f>
        <x:v>0</x:v>
      </x:c>
    </x:row>
    <x:row r="16">
      <x:c r="A16" s="16" t="n">
        <x:v>15</x:v>
      </x:c>
      <x:c r="B16" s="16" t="str">
        <x:v>PAPER</x:v>
      </x:c>
      <x:c r="C16" s="16" t="str">
        <x:f>Coder_A!C16</x:f>
        <x:v>PILOT_01</x:v>
      </x:c>
      <x:c r="D16" s="16" t="str">
        <x:v>QA3</x:v>
      </x:c>
      <x:c r="E16" s="16" t="n">
        <x:f>Coder_A!E16</x:f>
        <x:v>1</x:v>
      </x:c>
      <x:c r="F16" s="16" t="n">
        <x:f>Coder_B!E16</x:f>
        <x:v>0</x:v>
      </x:c>
      <x:c r="G16" s="16" t="str">
        <x:f>IF(F16="","PENDING",IF(E16=F16,"AGREE","DISAGREE"))</x:f>
        <x:v>PENDING</x:v>
      </x:c>
      <x:c r="H16" s="16" t="str">
        <x:v>N</x:v>
      </x:c>
      <x:c r="I16" s="16" t="str">
        <x:f>Coder_A!F16</x:f>
        <x:v>Official metadata + Abstract/Introduction; Sec. 2.1–2.2; Sec. 3; Appendix A–B</x:v>
      </x:c>
      <x:c r="J16" s="16" t="n">
        <x:f>Coder_B!F16</x:f>
        <x:v>0</x:v>
      </x:c>
    </x:row>
    <x:row r="17">
      <x:c r="A17" s="16" t="n">
        <x:v>16</x:v>
      </x:c>
      <x:c r="B17" s="16" t="str">
        <x:v>PAPER</x:v>
      </x:c>
      <x:c r="C17" s="16" t="str">
        <x:f>Coder_A!C17</x:f>
        <x:v>PILOT_01</x:v>
      </x:c>
      <x:c r="D17" s="16" t="str">
        <x:v>QA4</x:v>
      </x:c>
      <x:c r="E17" s="16" t="n">
        <x:f>Coder_A!E17</x:f>
        <x:v>2</x:v>
      </x:c>
      <x:c r="F17" s="16" t="n">
        <x:f>Coder_B!E17</x:f>
        <x:v>0</x:v>
      </x:c>
      <x:c r="G17" s="16" t="str">
        <x:f>IF(F17="","PENDING",IF(E17=F17,"AGREE","DISAGREE"))</x:f>
        <x:v>PENDING</x:v>
      </x:c>
      <x:c r="H17" s="16" t="str">
        <x:v>N</x:v>
      </x:c>
      <x:c r="I17" s="16" t="str">
        <x:f>Coder_A!F17</x:f>
        <x:v>Official metadata + Abstract/Introduction; Sec. 2.1–2.2; Sec. 3; Appendix A–B</x:v>
      </x:c>
      <x:c r="J17" s="16" t="n">
        <x:f>Coder_B!F17</x:f>
        <x:v>0</x:v>
      </x:c>
    </x:row>
    <x:row r="18">
      <x:c r="A18" s="16" t="n">
        <x:v>17</x:v>
      </x:c>
      <x:c r="B18" s="16" t="str">
        <x:v>PAPER</x:v>
      </x:c>
      <x:c r="C18" s="16" t="str">
        <x:f>Coder_A!C18</x:f>
        <x:v>PILOT_01</x:v>
      </x:c>
      <x:c r="D18" s="16" t="str">
        <x:v>QA5</x:v>
      </x:c>
      <x:c r="E18" s="16" t="n">
        <x:f>Coder_A!E18</x:f>
        <x:v>0</x:v>
      </x:c>
      <x:c r="F18" s="16" t="n">
        <x:f>Coder_B!E18</x:f>
        <x:v>0</x:v>
      </x:c>
      <x:c r="G18" s="16" t="str">
        <x:f>IF(F18="","PENDING",IF(E18=F18,"AGREE","DISAGREE"))</x:f>
        <x:v>PENDING</x:v>
      </x:c>
      <x:c r="H18" s="16" t="str">
        <x:v>N</x:v>
      </x:c>
      <x:c r="I18" s="16" t="str">
        <x:f>Coder_A!F18</x:f>
        <x:v>Official metadata + Abstract/Introduction; Sec. 2.1–2.2; Sec. 3; Appendix A–B</x:v>
      </x:c>
      <x:c r="J18" s="16" t="n">
        <x:f>Coder_B!F18</x:f>
        <x:v>0</x:v>
      </x:c>
    </x:row>
    <x:row r="19">
      <x:c r="A19" s="16" t="n">
        <x:v>18</x:v>
      </x:c>
      <x:c r="B19" s="16" t="str">
        <x:v>PAPER</x:v>
      </x:c>
      <x:c r="C19" s="16" t="str">
        <x:f>Coder_A!C19</x:f>
        <x:v>PILOT_01</x:v>
      </x:c>
      <x:c r="D19" s="16" t="str">
        <x:v>QA6</x:v>
      </x:c>
      <x:c r="E19" s="16" t="n">
        <x:f>Coder_A!E19</x:f>
        <x:v>1</x:v>
      </x:c>
      <x:c r="F19" s="16" t="n">
        <x:f>Coder_B!E19</x:f>
        <x:v>0</x:v>
      </x:c>
      <x:c r="G19" s="16" t="str">
        <x:f>IF(F19="","PENDING",IF(E19=F19,"AGREE","DISAGREE"))</x:f>
        <x:v>PENDING</x:v>
      </x:c>
      <x:c r="H19" s="16" t="str">
        <x:v>N</x:v>
      </x:c>
      <x:c r="I19" s="16" t="str">
        <x:f>Coder_A!F19</x:f>
        <x:v>Official metadata + Abstract/Introduction; Sec. 2.1–2.2; Sec. 3; Appendix A–B</x:v>
      </x:c>
      <x:c r="J19" s="16" t="n">
        <x:f>Coder_B!F19</x:f>
        <x:v>0</x:v>
      </x:c>
    </x:row>
    <x:row r="20">
      <x:c r="A20" s="16" t="n">
        <x:v>19</x:v>
      </x:c>
      <x:c r="B20" s="16" t="str">
        <x:v>PAPER</x:v>
      </x:c>
      <x:c r="C20" s="16" t="str">
        <x:f>Coder_A!C20</x:f>
        <x:v>PILOT_01</x:v>
      </x:c>
      <x:c r="D20" s="16" t="str">
        <x:v>QA7</x:v>
      </x:c>
      <x:c r="E20" s="16" t="str">
        <x:f>Coder_A!E20</x:f>
        <x:v>NA</x:v>
      </x:c>
      <x:c r="F20" s="16" t="n">
        <x:f>Coder_B!E20</x:f>
        <x:v>0</x:v>
      </x:c>
      <x:c r="G20" s="16" t="str">
        <x:f>IF(F20="","PENDING",IF(E20=F20,"AGREE","DISAGREE"))</x:f>
        <x:v>PENDING</x:v>
      </x:c>
      <x:c r="H20" s="16" t="str">
        <x:v>N</x:v>
      </x:c>
      <x:c r="I20" s="16" t="str">
        <x:f>Coder_A!F20</x:f>
        <x:v>Official metadata + Abstract/Introduction; Sec. 2.1–2.2; Sec. 3; Appendix A–B</x:v>
      </x:c>
      <x:c r="J20" s="16" t="n">
        <x:f>Coder_B!F20</x:f>
        <x:v>0</x:v>
      </x:c>
    </x:row>
    <x:row r="21">
      <x:c r="A21" s="16" t="n">
        <x:v>20</x:v>
      </x:c>
      <x:c r="B21" s="16" t="str">
        <x:v>PAPER</x:v>
      </x:c>
      <x:c r="C21" s="16" t="str">
        <x:f>Coder_A!C21</x:f>
        <x:v>PILOT_01</x:v>
      </x:c>
      <x:c r="D21" s="16" t="str">
        <x:v>QA8</x:v>
      </x:c>
      <x:c r="E21" s="16" t="n">
        <x:f>Coder_A!E21</x:f>
        <x:v>1</x:v>
      </x:c>
      <x:c r="F21" s="16" t="n">
        <x:f>Coder_B!E21</x:f>
        <x:v>0</x:v>
      </x:c>
      <x:c r="G21" s="16" t="str">
        <x:f>IF(F21="","PENDING",IF(E21=F21,"AGREE","DISAGREE"))</x:f>
        <x:v>PENDING</x:v>
      </x:c>
      <x:c r="H21" s="16" t="str">
        <x:v>N</x:v>
      </x:c>
      <x:c r="I21" s="16" t="str">
        <x:f>Coder_A!F21</x:f>
        <x:v>Official metadata + Abstract/Introduction; Sec. 2.1–2.2; Sec. 3; Appendix A–B</x:v>
      </x:c>
      <x:c r="J21" s="16" t="n">
        <x:f>Coder_B!F21</x:f>
        <x:v>0</x:v>
      </x:c>
    </x:row>
    <x:row r="22">
      <x:c r="A22" s="16" t="n">
        <x:v>21</x:v>
      </x:c>
      <x:c r="B22" s="16" t="str">
        <x:v>PAPER</x:v>
      </x:c>
      <x:c r="C22" s="16" t="str">
        <x:f>Coder_A!C22</x:f>
        <x:v>PILOT_01</x:v>
      </x:c>
      <x:c r="D22" s="16" t="str">
        <x:v>quality_tier</x:v>
      </x:c>
      <x:c r="E22" s="16" t="str">
        <x:f>Coder_A!E22</x:f>
        <x:v>MODERATE</x:v>
      </x:c>
      <x:c r="F22" s="16" t="n">
        <x:f>Coder_B!E22</x:f>
        <x:v>0</x:v>
      </x:c>
      <x:c r="G22" s="16" t="str">
        <x:f>IF(F22="","PENDING",IF(E22=F22,"AGREE","DISAGREE"))</x:f>
        <x:v>PENDING</x:v>
      </x:c>
      <x:c r="H22" s="16" t="str">
        <x:v>Y</x:v>
      </x:c>
      <x:c r="I22" s="16" t="str">
        <x:f>Coder_A!F22</x:f>
        <x:v>Official metadata + Abstract/Introduction; Sec. 2.1–2.2; Sec. 3; Appendix A–B</x:v>
      </x:c>
      <x:c r="J22" s="16" t="n">
        <x:f>Coder_B!F22</x:f>
        <x:v>0</x:v>
      </x:c>
    </x:row>
    <x:row r="23">
      <x:c r="A23" s="16" t="n">
        <x:v>22</x:v>
      </x:c>
      <x:c r="B23" s="16" t="str">
        <x:v>MODEL</x:v>
      </x:c>
      <x:c r="C23" s="16" t="str">
        <x:f>Coder_A!C23</x:f>
        <x:v>PILOT_01_M01</x:v>
      </x:c>
      <x:c r="D23" s="16" t="str">
        <x:v>graph_source</x:v>
      </x:c>
      <x:c r="E23" s="16" t="str">
        <x:f>Coder_A!E23</x:f>
        <x:v>OTHER*</x:v>
      </x:c>
      <x:c r="F23" s="16" t="n">
        <x:f>Coder_B!E23</x:f>
        <x:v>0</x:v>
      </x:c>
      <x:c r="G23" s="16" t="str">
        <x:f>IF(F23="","PENDING",IF(E23=F23,"AGREE","DISAGREE"))</x:f>
        <x:v>PENDING</x:v>
      </x:c>
      <x:c r="H23" s="16" t="str">
        <x:v>Y</x:v>
      </x:c>
      <x:c r="I23" s="16" t="str">
        <x:f>Coder_A!F23</x:f>
        <x:v>Sec. 2.1; Sec. 2.2 Dense Graph; Appendix B</x:v>
      </x:c>
      <x:c r="J23" s="16" t="n">
        <x:f>Coder_B!F23</x:f>
        <x:v>0</x:v>
      </x:c>
    </x:row>
    <x:row r="24">
      <x:c r="A24" s="16" t="n">
        <x:v>23</x:v>
      </x:c>
      <x:c r="B24" s="16" t="str">
        <x:v>MODEL</x:v>
      </x:c>
      <x:c r="C24" s="16" t="str">
        <x:f>Coder_A!C24</x:f>
        <x:v>PILOT_01_M01</x:v>
      </x:c>
      <x:c r="D24" s="16" t="str">
        <x:v>graph_provenance</x:v>
      </x:c>
      <x:c r="E24" s="16" t="str">
        <x:f>Coder_A!E24</x:f>
        <x:v>MODEL_DEFINED_FIXED*</x:v>
      </x:c>
      <x:c r="F24" s="16" t="n">
        <x:f>Coder_B!E24</x:f>
        <x:v>0</x:v>
      </x:c>
      <x:c r="G24" s="16" t="str">
        <x:f>IF(F24="","PENDING",IF(E24=F24,"AGREE","DISAGREE"))</x:f>
        <x:v>PENDING</x:v>
      </x:c>
      <x:c r="H24" s="16" t="str">
        <x:v>Y</x:v>
      </x:c>
      <x:c r="I24" s="16" t="str">
        <x:f>Coder_A!F24</x:f>
        <x:v>Sec. 2.1; Sec. 2.2 Dense Graph; Appendix B</x:v>
      </x:c>
      <x:c r="J24" s="16" t="n">
        <x:f>Coder_B!F24</x:f>
        <x:v>0</x:v>
      </x:c>
    </x:row>
    <x:row r="25">
      <x:c r="A25" s="16" t="n">
        <x:v>24</x:v>
      </x:c>
      <x:c r="B25" s="16" t="str">
        <x:v>MODEL</x:v>
      </x:c>
      <x:c r="C25" s="16" t="str">
        <x:f>Coder_A!C25</x:f>
        <x:v>PILOT_01_M01</x:v>
      </x:c>
      <x:c r="D25" s="16" t="str">
        <x:v>graph_leakage_risk</x:v>
      </x:c>
      <x:c r="E25" s="16" t="str">
        <x:f>Coder_A!E25</x:f>
        <x:v>LOW</x:v>
      </x:c>
      <x:c r="F25" s="16" t="n">
        <x:f>Coder_B!E25</x:f>
        <x:v>0</x:v>
      </x:c>
      <x:c r="G25" s="16" t="str">
        <x:f>IF(F25="","PENDING",IF(E25=F25,"AGREE","DISAGREE"))</x:f>
        <x:v>PENDING</x:v>
      </x:c>
      <x:c r="H25" s="16" t="str">
        <x:v>Y</x:v>
      </x:c>
      <x:c r="I25" s="16" t="str">
        <x:f>Coder_A!F25</x:f>
        <x:v>Sec. 2.1; Sec. 2.2 Dense Graph; Appendix B</x:v>
      </x:c>
      <x:c r="J25" s="16" t="n">
        <x:f>Coder_B!F25</x:f>
        <x:v>0</x:v>
      </x:c>
    </x:row>
    <x:row r="26">
      <x:c r="A26" s="16" t="n">
        <x:v>25</x:v>
      </x:c>
      <x:c r="B26" s="16" t="str">
        <x:v>MODEL</x:v>
      </x:c>
      <x:c r="C26" s="16" t="str">
        <x:f>Coder_A!C26</x:f>
        <x:v>PILOT_01_M01</x:v>
      </x:c>
      <x:c r="D26" s="16" t="str">
        <x:v>graph_construction_uses_response_labels</x:v>
      </x:c>
      <x:c r="E26" s="16" t="str">
        <x:f>Coder_A!E26</x:f>
        <x:v>N</x:v>
      </x:c>
      <x:c r="F26" s="16" t="n">
        <x:f>Coder_B!E26</x:f>
        <x:v>0</x:v>
      </x:c>
      <x:c r="G26" s="16" t="str">
        <x:f>IF(F26="","PENDING",IF(E26=F26,"AGREE","DISAGREE"))</x:f>
        <x:v>PENDING</x:v>
      </x:c>
      <x:c r="H26" s="16" t="str">
        <x:v>Y</x:v>
      </x:c>
      <x:c r="I26" s="16" t="str">
        <x:f>Coder_A!F26</x:f>
        <x:v>Sec. 2.1; Sec. 2.2 Dense Graph; Appendix B</x:v>
      </x:c>
      <x:c r="J26" s="16" t="n">
        <x:f>Coder_B!F26</x:f>
        <x:v>0</x:v>
      </x:c>
    </x:row>
    <x:row r="27">
      <x:c r="A27" s="16" t="n">
        <x:v>26</x:v>
      </x:c>
      <x:c r="B27" s="16" t="str">
        <x:v>MODEL</x:v>
      </x:c>
      <x:c r="C27" s="16" t="str">
        <x:f>Coder_A!C27</x:f>
        <x:v>PILOT_01_M01</x:v>
      </x:c>
      <x:c r="D27" s="16" t="str">
        <x:v>graph_construction_uses_test_partition</x:v>
      </x:c>
      <x:c r="E27" s="16" t="str">
        <x:f>Coder_A!E27</x:f>
        <x:v>N</x:v>
      </x:c>
      <x:c r="F27" s="16" t="n">
        <x:f>Coder_B!E27</x:f>
        <x:v>0</x:v>
      </x:c>
      <x:c r="G27" s="16" t="str">
        <x:f>IF(F27="","PENDING",IF(E27=F27,"AGREE","DISAGREE"))</x:f>
        <x:v>PENDING</x:v>
      </x:c>
      <x:c r="H27" s="16" t="str">
        <x:v>Y</x:v>
      </x:c>
      <x:c r="I27" s="16" t="str">
        <x:f>Coder_A!F27</x:f>
        <x:v>Sec. 2.1; Sec. 2.2 Dense Graph; Appendix B</x:v>
      </x:c>
      <x:c r="J27" s="16" t="n">
        <x:f>Coder_B!F27</x:f>
        <x:v>0</x:v>
      </x:c>
    </x:row>
    <x:row r="28">
      <x:c r="A28" s="16" t="n">
        <x:v>27</x:v>
      </x:c>
      <x:c r="B28" s="16" t="str">
        <x:v>MODEL</x:v>
      </x:c>
      <x:c r="C28" s="16" t="str">
        <x:f>Coder_A!C28</x:f>
        <x:v>PILOT_01_M01</x:v>
      </x:c>
      <x:c r="D28" s="16" t="str">
        <x:v>graph_representation</x:v>
      </x:c>
      <x:c r="E28" s="16" t="str">
        <x:f>Coder_A!E28</x:f>
        <x:v>KC_KC</x:v>
      </x:c>
      <x:c r="F28" s="16" t="n">
        <x:f>Coder_B!E28</x:f>
        <x:v>0</x:v>
      </x:c>
      <x:c r="G28" s="16" t="str">
        <x:f>IF(F28="","PENDING",IF(E28=F28,"AGREE","DISAGREE"))</x:f>
        <x:v>PENDING</x:v>
      </x:c>
      <x:c r="H28" s="16" t="str">
        <x:v>Y</x:v>
      </x:c>
      <x:c r="I28" s="16" t="str">
        <x:f>Coder_A!F28</x:f>
        <x:v>Sec. 2.1; Sec. 2.2 Dense Graph; Appendix B</x:v>
      </x:c>
      <x:c r="J28" s="16" t="n">
        <x:f>Coder_B!F28</x:f>
        <x:v>0</x:v>
      </x:c>
    </x:row>
    <x:row r="29">
      <x:c r="A29" s="16" t="n">
        <x:v>28</x:v>
      </x:c>
      <x:c r="B29" s="16" t="str">
        <x:v>MODEL</x:v>
      </x:c>
      <x:c r="C29" s="16" t="str">
        <x:f>Coder_A!C29</x:f>
        <x:v>PILOT_01_M01</x:v>
      </x:c>
      <x:c r="D29" s="16" t="str">
        <x:v>directed</x:v>
      </x:c>
      <x:c r="E29" s="16" t="str">
        <x:f>Coder_A!E29</x:f>
        <x:v>Y</x:v>
      </x:c>
      <x:c r="F29" s="16" t="n">
        <x:f>Coder_B!E29</x:f>
        <x:v>0</x:v>
      </x:c>
      <x:c r="G29" s="16" t="str">
        <x:f>IF(F29="","PENDING",IF(E29=F29,"AGREE","DISAGREE"))</x:f>
        <x:v>PENDING</x:v>
      </x:c>
      <x:c r="H29" s="16" t="str">
        <x:v>Y</x:v>
      </x:c>
      <x:c r="I29" s="16" t="str">
        <x:f>Coder_A!F29</x:f>
        <x:v>Sec. 2.1; Sec. 2.2 Dense Graph; Appendix B</x:v>
      </x:c>
      <x:c r="J29" s="16" t="n">
        <x:f>Coder_B!F29</x:f>
        <x:v>0</x:v>
      </x:c>
    </x:row>
    <x:row r="30">
      <x:c r="A30" s="16" t="n">
        <x:v>29</x:v>
      </x:c>
      <x:c r="B30" s="16" t="str">
        <x:v>MODEL</x:v>
      </x:c>
      <x:c r="C30" s="16" t="str">
        <x:f>Coder_A!C30</x:f>
        <x:v>PILOT_01_M01</x:v>
      </x:c>
      <x:c r="D30" s="16" t="str">
        <x:v>weighted</x:v>
      </x:c>
      <x:c r="E30" s="16" t="str">
        <x:f>Coder_A!E30</x:f>
        <x:v>Y</x:v>
      </x:c>
      <x:c r="F30" s="16" t="n">
        <x:f>Coder_B!E30</x:f>
        <x:v>0</x:v>
      </x:c>
      <x:c r="G30" s="16" t="str">
        <x:f>IF(F30="","PENDING",IF(E30=F30,"AGREE","DISAGREE"))</x:f>
        <x:v>PENDING</x:v>
      </x:c>
      <x:c r="H30" s="16" t="str">
        <x:v>Y</x:v>
      </x:c>
      <x:c r="I30" s="16" t="str">
        <x:f>Coder_A!F30</x:f>
        <x:v>Sec. 2.1; Sec. 2.2 Dense Graph; Appendix B</x:v>
      </x:c>
      <x:c r="J30" s="16" t="n">
        <x:f>Coder_B!F30</x:f>
        <x:v>0</x:v>
      </x:c>
    </x:row>
    <x:row r="31">
      <x:c r="A31" s="16" t="n">
        <x:v>30</x:v>
      </x:c>
      <x:c r="B31" s="16" t="str">
        <x:v>MODEL</x:v>
      </x:c>
      <x:c r="C31" s="16" t="str">
        <x:f>Coder_A!C31</x:f>
        <x:v>PILOT_01_M01</x:v>
      </x:c>
      <x:c r="D31" s="16" t="str">
        <x:v>typed_edges</x:v>
      </x:c>
      <x:c r="E31" s="16" t="str">
        <x:f>Coder_A!E31</x:f>
        <x:v>Y</x:v>
      </x:c>
      <x:c r="F31" s="16" t="n">
        <x:f>Coder_B!E31</x:f>
        <x:v>0</x:v>
      </x:c>
      <x:c r="G31" s="16" t="str">
        <x:f>IF(F31="","PENDING",IF(E31=F31,"AGREE","DISAGREE"))</x:f>
        <x:v>PENDING</x:v>
      </x:c>
      <x:c r="H31" s="16" t="str">
        <x:v>Y</x:v>
      </x:c>
      <x:c r="I31" s="16" t="str">
        <x:f>Coder_A!F31</x:f>
        <x:v>Sec. 2.1; Sec. 2.2 Dense Graph; Appendix B</x:v>
      </x:c>
      <x:c r="J31" s="16" t="n">
        <x:f>Coder_B!F31</x:f>
        <x:v>0</x:v>
      </x:c>
    </x:row>
    <x:row r="32">
      <x:c r="A32" s="16" t="n">
        <x:v>31</x:v>
      </x:c>
      <x:c r="B32" s="16" t="str">
        <x:v>MODEL</x:v>
      </x:c>
      <x:c r="C32" s="16" t="str">
        <x:f>Coder_A!C32</x:f>
        <x:v>PILOT_01_M01</x:v>
      </x:c>
      <x:c r="D32" s="16" t="str">
        <x:v>dynamic</x:v>
      </x:c>
      <x:c r="E32" s="16" t="str">
        <x:f>Coder_A!E32</x:f>
        <x:v>N</x:v>
      </x:c>
      <x:c r="F32" s="16" t="n">
        <x:f>Coder_B!E32</x:f>
        <x:v>0</x:v>
      </x:c>
      <x:c r="G32" s="16" t="str">
        <x:f>IF(F32="","PENDING",IF(E32=F32,"AGREE","DISAGREE"))</x:f>
        <x:v>PENDING</x:v>
      </x:c>
      <x:c r="H32" s="16" t="str">
        <x:v>Y</x:v>
      </x:c>
      <x:c r="I32" s="16" t="str">
        <x:f>Coder_A!F32</x:f>
        <x:v>Sec. 2.1; Sec. 2.2 Dense Graph; Appendix B</x:v>
      </x:c>
      <x:c r="J32" s="16" t="n">
        <x:f>Coder_B!F32</x:f>
        <x:v>0</x:v>
      </x:c>
    </x:row>
    <x:row r="33">
      <x:c r="A33" s="16" t="n">
        <x:v>32</x:v>
      </x:c>
      <x:c r="B33" s="16" t="str">
        <x:v>MODEL</x:v>
      </x:c>
      <x:c r="C33" s="16" t="str">
        <x:f>Coder_A!C33</x:f>
        <x:v>PILOT_01_M01</x:v>
      </x:c>
      <x:c r="D33" s="16" t="str">
        <x:v>dag_enforced</x:v>
      </x:c>
      <x:c r="E33" s="16" t="str">
        <x:f>Coder_A!E33</x:f>
        <x:v>N</x:v>
      </x:c>
      <x:c r="F33" s="16" t="n">
        <x:f>Coder_B!E33</x:f>
        <x:v>0</x:v>
      </x:c>
      <x:c r="G33" s="16" t="str">
        <x:f>IF(F33="","PENDING",IF(E33=F33,"AGREE","DISAGREE"))</x:f>
        <x:v>PENDING</x:v>
      </x:c>
      <x:c r="H33" s="16" t="str">
        <x:v>Y</x:v>
      </x:c>
      <x:c r="I33" s="16" t="str">
        <x:f>Coder_A!F33</x:f>
        <x:v>Sec. 2.1; Sec. 2.2 Dense Graph; Appendix B</x:v>
      </x:c>
      <x:c r="J33" s="16" t="n">
        <x:f>Coder_B!F33</x:f>
        <x:v>0</x:v>
      </x:c>
    </x:row>
    <x:row r="34">
      <x:c r="A34" s="16" t="n">
        <x:v>33</x:v>
      </x:c>
      <x:c r="B34" s="16" t="str">
        <x:v>MODEL</x:v>
      </x:c>
      <x:c r="C34" s="16" t="str">
        <x:f>Coder_A!C34</x:f>
        <x:v>PILOT_01_M01</x:v>
      </x:c>
      <x:c r="D34" s="16" t="str">
        <x:v>edge_confidence_used</x:v>
      </x:c>
      <x:c r="E34" s="16" t="str">
        <x:f>Coder_A!E34</x:f>
        <x:v>N</x:v>
      </x:c>
      <x:c r="F34" s="16" t="n">
        <x:f>Coder_B!E34</x:f>
        <x:v>0</x:v>
      </x:c>
      <x:c r="G34" s="16" t="str">
        <x:f>IF(F34="","PENDING",IF(E34=F34,"AGREE","DISAGREE"))</x:f>
        <x:v>PENDING</x:v>
      </x:c>
      <x:c r="H34" s="16" t="str">
        <x:v>Y</x:v>
      </x:c>
      <x:c r="I34" s="16" t="str">
        <x:f>Coder_A!F34</x:f>
        <x:v>Sec. 2.1; Sec. 2.2 Dense Graph; Appendix B</x:v>
      </x:c>
      <x:c r="J34" s="16" t="n">
        <x:f>Coder_B!F34</x:f>
        <x:v>0</x:v>
      </x:c>
    </x:row>
    <x:row r="35">
      <x:c r="A35" s="16" t="n">
        <x:v>34</x:v>
      </x:c>
      <x:c r="B35" s="16" t="str">
        <x:v>MODEL</x:v>
      </x:c>
      <x:c r="C35" s="16" t="str">
        <x:f>Coder_A!C35</x:f>
        <x:v>PILOT_01_M01</x:v>
      </x:c>
      <x:c r="D35" s="16" t="str">
        <x:v>gnn_encoder</x:v>
      </x:c>
      <x:c r="E35" s="16" t="str">
        <x:f>Coder_A!E35</x:f>
        <x:v>OTHER</x:v>
      </x:c>
      <x:c r="F35" s="16" t="n">
        <x:f>Coder_B!E35</x:f>
        <x:v>0</x:v>
      </x:c>
      <x:c r="G35" s="16" t="str">
        <x:f>IF(F35="","PENDING",IF(E35=F35,"AGREE","DISAGREE"))</x:f>
        <x:v>PENDING</x:v>
      </x:c>
      <x:c r="H35" s="16" t="str">
        <x:v>Y</x:v>
      </x:c>
      <x:c r="I35" s="16" t="str">
        <x:f>Coder_A!F35</x:f>
        <x:v>Sec. 2.1; Sec. 2.2 Dense Graph; Appendix B</x:v>
      </x:c>
      <x:c r="J35" s="16" t="n">
        <x:f>Coder_B!F35</x:f>
        <x:v>0</x:v>
      </x:c>
    </x:row>
    <x:row r="36">
      <x:c r="A36" s="16" t="n">
        <x:v>35</x:v>
      </x:c>
      <x:c r="B36" s="16" t="str">
        <x:v>MODEL</x:v>
      </x:c>
      <x:c r="C36" s="16" t="str">
        <x:f>Coder_A!C36</x:f>
        <x:v>PILOT_01_M01</x:v>
      </x:c>
      <x:c r="D36" s="16" t="str">
        <x:v>temporal_backbone</x:v>
      </x:c>
      <x:c r="E36" s="16" t="str">
        <x:f>Coder_A!E36</x:f>
        <x:v>RNN_LSTM_GRU</x:v>
      </x:c>
      <x:c r="F36" s="16" t="n">
        <x:f>Coder_B!E36</x:f>
        <x:v>0</x:v>
      </x:c>
      <x:c r="G36" s="16" t="str">
        <x:f>IF(F36="","PENDING",IF(E36=F36,"AGREE","DISAGREE"))</x:f>
        <x:v>PENDING</x:v>
      </x:c>
      <x:c r="H36" s="16" t="str">
        <x:v>Y</x:v>
      </x:c>
      <x:c r="I36" s="16" t="str">
        <x:f>Coder_A!F36</x:f>
        <x:v>Sec. 2.1; Sec. 2.2 Dense Graph; Appendix B</x:v>
      </x:c>
      <x:c r="J36" s="16" t="n">
        <x:f>Coder_B!F36</x:f>
        <x:v>0</x:v>
      </x:c>
    </x:row>
    <x:row r="37">
      <x:c r="A37" s="16" t="n">
        <x:v>36</x:v>
      </x:c>
      <x:c r="B37" s="16" t="str">
        <x:v>MODEL</x:v>
      </x:c>
      <x:c r="C37" s="16" t="str">
        <x:f>Coder_A!C37</x:f>
        <x:v>PILOT_01_M01</x:v>
      </x:c>
      <x:c r="D37" s="16" t="str">
        <x:v>semantic_auxiliary_encoder</x:v>
      </x:c>
      <x:c r="E37" s="16" t="str">
        <x:f>Coder_A!E37</x:f>
        <x:v>NA</x:v>
      </x:c>
      <x:c r="F37" s="16" t="n">
        <x:f>Coder_B!E37</x:f>
        <x:v>0</x:v>
      </x:c>
      <x:c r="G37" s="16" t="str">
        <x:f>IF(F37="","PENDING",IF(E37=F37,"AGREE","DISAGREE"))</x:f>
        <x:v>PENDING</x:v>
      </x:c>
      <x:c r="H37" s="16" t="str">
        <x:v>Y</x:v>
      </x:c>
      <x:c r="I37" s="16" t="str">
        <x:f>Coder_A!F37</x:f>
        <x:v>Sec. 2.1; Sec. 2.2 Dense Graph; Appendix B</x:v>
      </x:c>
      <x:c r="J37" s="16" t="n">
        <x:f>Coder_B!F37</x:f>
        <x:v>0</x:v>
      </x:c>
    </x:row>
    <x:row r="38">
      <x:c r="A38" s="16" t="n">
        <x:v>37</x:v>
      </x:c>
      <x:c r="B38" s="16" t="str">
        <x:v>MODEL</x:v>
      </x:c>
      <x:c r="C38" s="16" t="str">
        <x:f>Coder_A!C38</x:f>
        <x:v>PILOT_01_M01</x:v>
      </x:c>
      <x:c r="D38" s="16" t="str">
        <x:v>fusion_type</x:v>
      </x:c>
      <x:c r="E38" s="16" t="str">
        <x:f>Coder_A!E38</x:f>
        <x:v>MESSAGE_PASSING_IN_PREDICTION_LOOP</x:v>
      </x:c>
      <x:c r="F38" s="16" t="n">
        <x:f>Coder_B!E38</x:f>
        <x:v>0</x:v>
      </x:c>
      <x:c r="G38" s="16" t="str">
        <x:f>IF(F38="","PENDING",IF(E38=F38,"AGREE","DISAGREE"))</x:f>
        <x:v>PENDING</x:v>
      </x:c>
      <x:c r="H38" s="16" t="str">
        <x:v>Y</x:v>
      </x:c>
      <x:c r="I38" s="16" t="str">
        <x:f>Coder_A!F38</x:f>
        <x:v>Sec. 2.1; Sec. 2.2 Dense Graph; Appendix B</x:v>
      </x:c>
      <x:c r="J38" s="16" t="n">
        <x:f>Coder_B!F38</x:f>
        <x:v>0</x:v>
      </x:c>
    </x:row>
    <x:row r="39">
      <x:c r="A39" s="16" t="n">
        <x:v>38</x:v>
      </x:c>
      <x:c r="B39" s="16" t="str">
        <x:v>MODEL</x:v>
      </x:c>
      <x:c r="C39" s="16" t="str">
        <x:f>Coder_A!C39</x:f>
        <x:v>PILOT_01_M01</x:v>
      </x:c>
      <x:c r="D39" s="16" t="str">
        <x:v>fusion_location</x:v>
      </x:c>
      <x:c r="E39" s="16" t="str">
        <x:f>Coder_A!E39</x:f>
        <x:v>HIDDEN_STATE</x:v>
      </x:c>
      <x:c r="F39" s="16" t="n">
        <x:f>Coder_B!E39</x:f>
        <x:v>0</x:v>
      </x:c>
      <x:c r="G39" s="16" t="str">
        <x:f>IF(F39="","PENDING",IF(E39=F39,"AGREE","DISAGREE"))</x:f>
        <x:v>PENDING</x:v>
      </x:c>
      <x:c r="H39" s="16" t="str">
        <x:v>Y</x:v>
      </x:c>
      <x:c r="I39" s="16" t="str">
        <x:f>Coder_A!F39</x:f>
        <x:v>Sec. 2.1; Sec. 2.2 Dense Graph; Appendix B</x:v>
      </x:c>
      <x:c r="J39" s="16" t="n">
        <x:f>Coder_B!F39</x:f>
        <x:v>0</x:v>
      </x:c>
    </x:row>
    <x:row r="40">
      <x:c r="A40" s="16" t="n">
        <x:v>39</x:v>
      </x:c>
      <x:c r="B40" s="16" t="str">
        <x:v>MODEL</x:v>
      </x:c>
      <x:c r="C40" s="16" t="str">
        <x:f>Coder_A!C40</x:f>
        <x:v>PILOT_01_M01</x:v>
      </x:c>
      <x:c r="D40" s="16" t="str">
        <x:v>ssl_family</x:v>
      </x:c>
      <x:c r="E40" s="16" t="str">
        <x:f>Coder_A!E40</x:f>
        <x:v>NONE</x:v>
      </x:c>
      <x:c r="F40" s="16" t="n">
        <x:f>Coder_B!E40</x:f>
        <x:v>0</x:v>
      </x:c>
      <x:c r="G40" s="16" t="str">
        <x:f>IF(F40="","PENDING",IF(E40=F40,"AGREE","DISAGREE"))</x:f>
        <x:v>PENDING</x:v>
      </x:c>
      <x:c r="H40" s="16" t="str">
        <x:v>Y</x:v>
      </x:c>
      <x:c r="I40" s="16" t="str">
        <x:f>Coder_A!F40</x:f>
        <x:v>Sec. 2.1; Sec. 2.2 Dense Graph; Appendix B</x:v>
      </x:c>
      <x:c r="J40" s="16" t="n">
        <x:f>Coder_B!F40</x:f>
        <x:v>0</x:v>
      </x:c>
    </x:row>
    <x:row r="41">
      <x:c r="A41" s="16" t="n">
        <x:v>40</x:v>
      </x:c>
      <x:c r="B41" s="16" t="str">
        <x:v>MODEL</x:v>
      </x:c>
      <x:c r="C41" s="16" t="str">
        <x:f>Coder_A!C41</x:f>
        <x:v>PILOT_01_M01</x:v>
      </x:c>
      <x:c r="D41" s="16" t="str">
        <x:v>non_ssl_pretraining</x:v>
      </x:c>
      <x:c r="E41" s="16" t="str">
        <x:f>Coder_A!E41</x:f>
        <x:v>N</x:v>
      </x:c>
      <x:c r="F41" s="16" t="n">
        <x:f>Coder_B!E41</x:f>
        <x:v>0</x:v>
      </x:c>
      <x:c r="G41" s="16" t="str">
        <x:f>IF(F41="","PENDING",IF(E41=F41,"AGREE","DISAGREE"))</x:f>
        <x:v>PENDING</x:v>
      </x:c>
      <x:c r="H41" s="16" t="str">
        <x:v>Y</x:v>
      </x:c>
      <x:c r="I41" s="16" t="str">
        <x:f>Coder_A!F41</x:f>
        <x:v>Sec. 2.1; Sec. 2.2 Dense Graph; Appendix B</x:v>
      </x:c>
      <x:c r="J41" s="16" t="n">
        <x:f>Coder_B!F41</x:f>
        <x:v>0</x:v>
      </x:c>
    </x:row>
    <x:row r="42">
      <x:c r="A42" s="16" t="n">
        <x:v>41</x:v>
      </x:c>
      <x:c r="B42" s="16" t="str">
        <x:v>MODEL</x:v>
      </x:c>
      <x:c r="C42" s="16" t="str">
        <x:f>Coder_A!C42</x:f>
        <x:v>PILOT_01_M01</x:v>
      </x:c>
      <x:c r="D42" s="16" t="str">
        <x:v>ssl_training_mode</x:v>
      </x:c>
      <x:c r="E42" s="16" t="str">
        <x:f>Coder_A!E42</x:f>
        <x:v>NA</x:v>
      </x:c>
      <x:c r="F42" s="16" t="n">
        <x:f>Coder_B!E42</x:f>
        <x:v>0</x:v>
      </x:c>
      <x:c r="G42" s="16" t="str">
        <x:f>IF(F42="","PENDING",IF(E42=F42,"AGREE","DISAGREE"))</x:f>
        <x:v>PENDING</x:v>
      </x:c>
      <x:c r="H42" s="16" t="str">
        <x:v>Y</x:v>
      </x:c>
      <x:c r="I42" s="16" t="str">
        <x:f>Coder_A!F42</x:f>
        <x:v>Sec. 2.1; Sec. 2.2 Dense Graph; Appendix B</x:v>
      </x:c>
      <x:c r="J42" s="16" t="n">
        <x:f>Coder_B!F42</x:f>
        <x:v>0</x:v>
      </x:c>
    </x:row>
    <x:row r="43">
      <x:c r="A43" s="16" t="n">
        <x:v>42</x:v>
      </x:c>
      <x:c r="B43" s="16" t="str">
        <x:v>MODEL</x:v>
      </x:c>
      <x:c r="C43" s="16" t="str">
        <x:f>Coder_A!C43</x:f>
        <x:v>PILOT_01_M01</x:v>
      </x:c>
      <x:c r="D43" s="16" t="str">
        <x:v>ssl_target_level</x:v>
      </x:c>
      <x:c r="E43" s="16" t="str">
        <x:f>Coder_A!E43</x:f>
        <x:v>NA</x:v>
      </x:c>
      <x:c r="F43" s="16" t="n">
        <x:f>Coder_B!E43</x:f>
        <x:v>0</x:v>
      </x:c>
      <x:c r="G43" s="16" t="str">
        <x:f>IF(F43="","PENDING",IF(E43=F43,"AGREE","DISAGREE"))</x:f>
        <x:v>PENDING</x:v>
      </x:c>
      <x:c r="H43" s="16" t="str">
        <x:v>Y</x:v>
      </x:c>
      <x:c r="I43" s="16" t="str">
        <x:f>Coder_A!F43</x:f>
        <x:v>Sec. 2.1; Sec. 2.2 Dense Graph; Appendix B</x:v>
      </x:c>
      <x:c r="J43" s="16" t="n">
        <x:f>Coder_B!F43</x:f>
        <x:v>0</x:v>
      </x:c>
    </x:row>
    <x:row r="44">
      <x:c r="A44" s="16" t="n">
        <x:v>43</x:v>
      </x:c>
      <x:c r="B44" s="16" t="str">
        <x:v>MODEL</x:v>
      </x:c>
      <x:c r="C44" s="16" t="str">
        <x:f>Coder_A!C44</x:f>
        <x:v>PILOT_01_M01</x:v>
      </x:c>
      <x:c r="D44" s="16" t="str">
        <x:v>augmentation_type</x:v>
      </x:c>
      <x:c r="E44" s="16" t="str">
        <x:f>Coder_A!E44</x:f>
        <x:v>NO_EXPLICIT_AUGMENTATION</x:v>
      </x:c>
      <x:c r="F44" s="16" t="n">
        <x:f>Coder_B!E44</x:f>
        <x:v>0</x:v>
      </x:c>
      <x:c r="G44" s="16" t="str">
        <x:f>IF(F44="","PENDING",IF(E44=F44,"AGREE","DISAGREE"))</x:f>
        <x:v>PENDING</x:v>
      </x:c>
      <x:c r="H44" s="16" t="str">
        <x:v>Y</x:v>
      </x:c>
      <x:c r="I44" s="16" t="str">
        <x:f>Coder_A!F44</x:f>
        <x:v>Sec. 2.1; Sec. 2.2 Dense Graph; Appendix B</x:v>
      </x:c>
      <x:c r="J44" s="16" t="n">
        <x:f>Coder_B!F44</x:f>
        <x:v>0</x:v>
      </x:c>
    </x:row>
    <x:row r="45">
      <x:c r="A45" s="16" t="n">
        <x:v>44</x:v>
      </x:c>
      <x:c r="B45" s="16" t="str">
        <x:v>MODEL</x:v>
      </x:c>
      <x:c r="C45" s="16" t="str">
        <x:f>Coder_A!C45</x:f>
        <x:v>PILOT_01_M01</x:v>
      </x:c>
      <x:c r="D45" s="16" t="str">
        <x:v>educational_structure_preservation</x:v>
      </x:c>
      <x:c r="E45" s="16" t="str">
        <x:f>Coder_A!E45</x:f>
        <x:v>NO_AUGMENTATION</x:v>
      </x:c>
      <x:c r="F45" s="16" t="n">
        <x:f>Coder_B!E45</x:f>
        <x:v>0</x:v>
      </x:c>
      <x:c r="G45" s="16" t="str">
        <x:f>IF(F45="","PENDING",IF(E45=F45,"AGREE","DISAGREE"))</x:f>
        <x:v>PENDING</x:v>
      </x:c>
      <x:c r="H45" s="16" t="str">
        <x:v>Y</x:v>
      </x:c>
      <x:c r="I45" s="16" t="str">
        <x:f>Coder_A!F45</x:f>
        <x:v>Sec. 2.1; Sec. 2.2 Dense Graph; Appendix B</x:v>
      </x:c>
      <x:c r="J45" s="16" t="n">
        <x:f>Coder_B!F45</x:f>
        <x:v>0</x:v>
      </x:c>
    </x:row>
    <x:row r="46">
      <x:c r="A46" s="16" t="n">
        <x:v>45</x:v>
      </x:c>
      <x:c r="B46" s="16" t="str">
        <x:v>MODEL</x:v>
      </x:c>
      <x:c r="C46" s="16" t="str">
        <x:f>Coder_A!C46</x:f>
        <x:v>PILOT_01_M01</x:v>
      </x:c>
      <x:c r="D46" s="16" t="str">
        <x:v>augmentation_validity_ablation</x:v>
      </x:c>
      <x:c r="E46" s="16" t="str">
        <x:f>Coder_A!E46</x:f>
        <x:v>NA</x:v>
      </x:c>
      <x:c r="F46" s="16" t="n">
        <x:f>Coder_B!E46</x:f>
        <x:v>0</x:v>
      </x:c>
      <x:c r="G46" s="16" t="str">
        <x:f>IF(F46="","PENDING",IF(E46=F46,"AGREE","DISAGREE"))</x:f>
        <x:v>PENDING</x:v>
      </x:c>
      <x:c r="H46" s="16" t="str">
        <x:v>Y</x:v>
      </x:c>
      <x:c r="I46" s="16" t="str">
        <x:f>Coder_A!F46</x:f>
        <x:v>Sec. 2.1; Sec. 2.2 Dense Graph; Appendix B</x:v>
      </x:c>
      <x:c r="J46" s="16" t="n">
        <x:f>Coder_B!F46</x:f>
        <x:v>0</x:v>
      </x:c>
    </x:row>
    <x:row r="47">
      <x:c r="A47" s="16" t="n">
        <x:v>46</x:v>
      </x:c>
      <x:c r="B47" s="16" t="str">
        <x:v>MODEL</x:v>
      </x:c>
      <x:c r="C47" s="16" t="str">
        <x:f>Coder_A!C47</x:f>
        <x:v>PILOT_01_M02</x:v>
      </x:c>
      <x:c r="D47" s="16" t="str">
        <x:v>graph_source</x:v>
      </x:c>
      <x:c r="E47" s="16" t="str">
        <x:f>Coder_A!E47</x:f>
        <x:v>SEQUENTIAL_TRANSITION*</x:v>
      </x:c>
      <x:c r="F47" s="16" t="n">
        <x:f>Coder_B!E47</x:f>
        <x:v>0</x:v>
      </x:c>
      <x:c r="G47" s="16" t="str">
        <x:f>IF(F47="","PENDING",IF(E47=F47,"AGREE","DISAGREE"))</x:f>
        <x:v>PENDING</x:v>
      </x:c>
      <x:c r="H47" s="16" t="str">
        <x:v>Y</x:v>
      </x:c>
      <x:c r="I47" s="16" t="str">
        <x:f>Coder_A!F47</x:f>
        <x:v>Sec. 2.2 Transition Graph; Appendix B split</x:v>
      </x:c>
      <x:c r="J47" s="16" t="n">
        <x:f>Coder_B!F47</x:f>
        <x:v>0</x:v>
      </x:c>
    </x:row>
    <x:row r="48">
      <x:c r="A48" s="16" t="n">
        <x:v>47</x:v>
      </x:c>
      <x:c r="B48" s="16" t="str">
        <x:v>MODEL</x:v>
      </x:c>
      <x:c r="C48" s="16" t="str">
        <x:f>Coder_A!C48</x:f>
        <x:v>PILOT_01_M02</x:v>
      </x:c>
      <x:c r="D48" s="16" t="str">
        <x:v>graph_provenance</x:v>
      </x:c>
      <x:c r="E48" s="16" t="str">
        <x:f>Coder_A!E48</x:f>
        <x:v>PRECOMPUTED_UNCLEAR_SPLIT</x:v>
      </x:c>
      <x:c r="F48" s="16" t="n">
        <x:f>Coder_B!E48</x:f>
        <x:v>0</x:v>
      </x:c>
      <x:c r="G48" s="16" t="str">
        <x:f>IF(F48="","PENDING",IF(E48=F48,"AGREE","DISAGREE"))</x:f>
        <x:v>PENDING</x:v>
      </x:c>
      <x:c r="H48" s="16" t="str">
        <x:v>Y</x:v>
      </x:c>
      <x:c r="I48" s="16" t="str">
        <x:f>Coder_A!F48</x:f>
        <x:v>Sec. 2.2 Transition Graph; Appendix B split</x:v>
      </x:c>
      <x:c r="J48" s="16" t="n">
        <x:f>Coder_B!F48</x:f>
        <x:v>0</x:v>
      </x:c>
    </x:row>
    <x:row r="49">
      <x:c r="A49" s="16" t="n">
        <x:v>48</x:v>
      </x:c>
      <x:c r="B49" s="16" t="str">
        <x:v>MODEL</x:v>
      </x:c>
      <x:c r="C49" s="16" t="str">
        <x:f>Coder_A!C49</x:f>
        <x:v>PILOT_01_M02</x:v>
      </x:c>
      <x:c r="D49" s="16" t="str">
        <x:v>graph_leakage_risk</x:v>
      </x:c>
      <x:c r="E49" s="16" t="str">
        <x:f>Coder_A!E49</x:f>
        <x:v>POTENTIAL</x:v>
      </x:c>
      <x:c r="F49" s="16" t="n">
        <x:f>Coder_B!E49</x:f>
        <x:v>0</x:v>
      </x:c>
      <x:c r="G49" s="16" t="str">
        <x:f>IF(F49="","PENDING",IF(E49=F49,"AGREE","DISAGREE"))</x:f>
        <x:v>PENDING</x:v>
      </x:c>
      <x:c r="H49" s="16" t="str">
        <x:v>Y</x:v>
      </x:c>
      <x:c r="I49" s="16" t="str">
        <x:f>Coder_A!F49</x:f>
        <x:v>Sec. 2.2 Transition Graph; Appendix B split</x:v>
      </x:c>
      <x:c r="J49" s="16" t="n">
        <x:f>Coder_B!F49</x:f>
        <x:v>0</x:v>
      </x:c>
    </x:row>
    <x:row r="50">
      <x:c r="A50" s="16" t="n">
        <x:v>49</x:v>
      </x:c>
      <x:c r="B50" s="16" t="str">
        <x:v>MODEL</x:v>
      </x:c>
      <x:c r="C50" s="16" t="str">
        <x:f>Coder_A!C50</x:f>
        <x:v>PILOT_01_M02</x:v>
      </x:c>
      <x:c r="D50" s="16" t="str">
        <x:v>graph_construction_uses_response_labels</x:v>
      </x:c>
      <x:c r="E50" s="16" t="str">
        <x:f>Coder_A!E50</x:f>
        <x:v>N</x:v>
      </x:c>
      <x:c r="F50" s="16" t="n">
        <x:f>Coder_B!E50</x:f>
        <x:v>0</x:v>
      </x:c>
      <x:c r="G50" s="16" t="str">
        <x:f>IF(F50="","PENDING",IF(E50=F50,"AGREE","DISAGREE"))</x:f>
        <x:v>PENDING</x:v>
      </x:c>
      <x:c r="H50" s="16" t="str">
        <x:v>Y</x:v>
      </x:c>
      <x:c r="I50" s="16" t="str">
        <x:f>Coder_A!F50</x:f>
        <x:v>Sec. 2.2 Transition Graph; Appendix B split</x:v>
      </x:c>
      <x:c r="J50" s="16" t="n">
        <x:f>Coder_B!F50</x:f>
        <x:v>0</x:v>
      </x:c>
    </x:row>
    <x:row r="51">
      <x:c r="A51" s="16" t="n">
        <x:v>50</x:v>
      </x:c>
      <x:c r="B51" s="16" t="str">
        <x:v>MODEL</x:v>
      </x:c>
      <x:c r="C51" s="16" t="str">
        <x:f>Coder_A!C51</x:f>
        <x:v>PILOT_01_M02</x:v>
      </x:c>
      <x:c r="D51" s="16" t="str">
        <x:v>graph_construction_uses_test_partition</x:v>
      </x:c>
      <x:c r="E51" s="16" t="str">
        <x:f>Coder_A!E51</x:f>
        <x:v>UNCLEAR</x:v>
      </x:c>
      <x:c r="F51" s="16" t="n">
        <x:f>Coder_B!E51</x:f>
        <x:v>0</x:v>
      </x:c>
      <x:c r="G51" s="16" t="str">
        <x:f>IF(F51="","PENDING",IF(E51=F51,"AGREE","DISAGREE"))</x:f>
        <x:v>PENDING</x:v>
      </x:c>
      <x:c r="H51" s="16" t="str">
        <x:v>Y</x:v>
      </x:c>
      <x:c r="I51" s="16" t="str">
        <x:f>Coder_A!F51</x:f>
        <x:v>Sec. 2.2 Transition Graph; Appendix B split</x:v>
      </x:c>
      <x:c r="J51" s="16" t="n">
        <x:f>Coder_B!F51</x:f>
        <x:v>0</x:v>
      </x:c>
    </x:row>
    <x:row r="52">
      <x:c r="A52" s="16" t="n">
        <x:v>51</x:v>
      </x:c>
      <x:c r="B52" s="16" t="str">
        <x:v>MODEL</x:v>
      </x:c>
      <x:c r="C52" s="16" t="str">
        <x:f>Coder_A!C52</x:f>
        <x:v>PILOT_01_M02</x:v>
      </x:c>
      <x:c r="D52" s="16" t="str">
        <x:v>graph_representation</x:v>
      </x:c>
      <x:c r="E52" s="16" t="str">
        <x:f>Coder_A!E52</x:f>
        <x:v>KC_KC</x:v>
      </x:c>
      <x:c r="F52" s="16" t="n">
        <x:f>Coder_B!E52</x:f>
        <x:v>0</x:v>
      </x:c>
      <x:c r="G52" s="16" t="str">
        <x:f>IF(F52="","PENDING",IF(E52=F52,"AGREE","DISAGREE"))</x:f>
        <x:v>PENDING</x:v>
      </x:c>
      <x:c r="H52" s="16" t="str">
        <x:v>Y</x:v>
      </x:c>
      <x:c r="I52" s="16" t="str">
        <x:f>Coder_A!F52</x:f>
        <x:v>Sec. 2.2 Transition Graph; Appendix B split</x:v>
      </x:c>
      <x:c r="J52" s="16" t="n">
        <x:f>Coder_B!F52</x:f>
        <x:v>0</x:v>
      </x:c>
    </x:row>
    <x:row r="53">
      <x:c r="A53" s="16" t="n">
        <x:v>52</x:v>
      </x:c>
      <x:c r="B53" s="16" t="str">
        <x:v>MODEL</x:v>
      </x:c>
      <x:c r="C53" s="16" t="str">
        <x:f>Coder_A!C53</x:f>
        <x:v>PILOT_01_M02</x:v>
      </x:c>
      <x:c r="D53" s="16" t="str">
        <x:v>directed</x:v>
      </x:c>
      <x:c r="E53" s="16" t="str">
        <x:f>Coder_A!E53</x:f>
        <x:v>Y</x:v>
      </x:c>
      <x:c r="F53" s="16" t="n">
        <x:f>Coder_B!E53</x:f>
        <x:v>0</x:v>
      </x:c>
      <x:c r="G53" s="16" t="str">
        <x:f>IF(F53="","PENDING",IF(E53=F53,"AGREE","DISAGREE"))</x:f>
        <x:v>PENDING</x:v>
      </x:c>
      <x:c r="H53" s="16" t="str">
        <x:v>Y</x:v>
      </x:c>
      <x:c r="I53" s="16" t="str">
        <x:f>Coder_A!F53</x:f>
        <x:v>Sec. 2.2 Transition Graph; Appendix B split</x:v>
      </x:c>
      <x:c r="J53" s="16" t="n">
        <x:f>Coder_B!F53</x:f>
        <x:v>0</x:v>
      </x:c>
    </x:row>
    <x:row r="54">
      <x:c r="A54" s="16" t="n">
        <x:v>53</x:v>
      </x:c>
      <x:c r="B54" s="16" t="str">
        <x:v>MODEL</x:v>
      </x:c>
      <x:c r="C54" s="16" t="str">
        <x:f>Coder_A!C54</x:f>
        <x:v>PILOT_01_M02</x:v>
      </x:c>
      <x:c r="D54" s="16" t="str">
        <x:v>weighted</x:v>
      </x:c>
      <x:c r="E54" s="16" t="str">
        <x:f>Coder_A!E54</x:f>
        <x:v>Y</x:v>
      </x:c>
      <x:c r="F54" s="16" t="n">
        <x:f>Coder_B!E54</x:f>
        <x:v>0</x:v>
      </x:c>
      <x:c r="G54" s="16" t="str">
        <x:f>IF(F54="","PENDING",IF(E54=F54,"AGREE","DISAGREE"))</x:f>
        <x:v>PENDING</x:v>
      </x:c>
      <x:c r="H54" s="16" t="str">
        <x:v>Y</x:v>
      </x:c>
      <x:c r="I54" s="16" t="str">
        <x:f>Coder_A!F54</x:f>
        <x:v>Sec. 2.2 Transition Graph; Appendix B split</x:v>
      </x:c>
      <x:c r="J54" s="16" t="n">
        <x:f>Coder_B!F54</x:f>
        <x:v>0</x:v>
      </x:c>
    </x:row>
    <x:row r="55">
      <x:c r="A55" s="16" t="n">
        <x:v>54</x:v>
      </x:c>
      <x:c r="B55" s="16" t="str">
        <x:v>MODEL</x:v>
      </x:c>
      <x:c r="C55" s="16" t="str">
        <x:f>Coder_A!C55</x:f>
        <x:v>PILOT_01_M02</x:v>
      </x:c>
      <x:c r="D55" s="16" t="str">
        <x:v>typed_edges</x:v>
      </x:c>
      <x:c r="E55" s="16" t="str">
        <x:f>Coder_A!E55</x:f>
        <x:v>Y</x:v>
      </x:c>
      <x:c r="F55" s="16" t="n">
        <x:f>Coder_B!E55</x:f>
        <x:v>0</x:v>
      </x:c>
      <x:c r="G55" s="16" t="str">
        <x:f>IF(F55="","PENDING",IF(E55=F55,"AGREE","DISAGREE"))</x:f>
        <x:v>PENDING</x:v>
      </x:c>
      <x:c r="H55" s="16" t="str">
        <x:v>Y</x:v>
      </x:c>
      <x:c r="I55" s="16" t="str">
        <x:f>Coder_A!F55</x:f>
        <x:v>Sec. 2.2 Transition Graph; Appendix B split</x:v>
      </x:c>
      <x:c r="J55" s="16" t="n">
        <x:f>Coder_B!F55</x:f>
        <x:v>0</x:v>
      </x:c>
    </x:row>
    <x:row r="56">
      <x:c r="A56" s="16" t="n">
        <x:v>55</x:v>
      </x:c>
      <x:c r="B56" s="16" t="str">
        <x:v>MODEL</x:v>
      </x:c>
      <x:c r="C56" s="16" t="str">
        <x:f>Coder_A!C56</x:f>
        <x:v>PILOT_01_M02</x:v>
      </x:c>
      <x:c r="D56" s="16" t="str">
        <x:v>dynamic</x:v>
      </x:c>
      <x:c r="E56" s="16" t="str">
        <x:f>Coder_A!E56</x:f>
        <x:v>N</x:v>
      </x:c>
      <x:c r="F56" s="16" t="n">
        <x:f>Coder_B!E56</x:f>
        <x:v>0</x:v>
      </x:c>
      <x:c r="G56" s="16" t="str">
        <x:f>IF(F56="","PENDING",IF(E56=F56,"AGREE","DISAGREE"))</x:f>
        <x:v>PENDING</x:v>
      </x:c>
      <x:c r="H56" s="16" t="str">
        <x:v>Y</x:v>
      </x:c>
      <x:c r="I56" s="16" t="str">
        <x:f>Coder_A!F56</x:f>
        <x:v>Sec. 2.2 Transition Graph; Appendix B split</x:v>
      </x:c>
      <x:c r="J56" s="16" t="n">
        <x:f>Coder_B!F56</x:f>
        <x:v>0</x:v>
      </x:c>
    </x:row>
    <x:row r="57">
      <x:c r="A57" s="16" t="n">
        <x:v>56</x:v>
      </x:c>
      <x:c r="B57" s="16" t="str">
        <x:v>MODEL</x:v>
      </x:c>
      <x:c r="C57" s="16" t="str">
        <x:f>Coder_A!C57</x:f>
        <x:v>PILOT_01_M02</x:v>
      </x:c>
      <x:c r="D57" s="16" t="str">
        <x:v>dag_enforced</x:v>
      </x:c>
      <x:c r="E57" s="16" t="str">
        <x:f>Coder_A!E57</x:f>
        <x:v>N</x:v>
      </x:c>
      <x:c r="F57" s="16" t="n">
        <x:f>Coder_B!E57</x:f>
        <x:v>0</x:v>
      </x:c>
      <x:c r="G57" s="16" t="str">
        <x:f>IF(F57="","PENDING",IF(E57=F57,"AGREE","DISAGREE"))</x:f>
        <x:v>PENDING</x:v>
      </x:c>
      <x:c r="H57" s="16" t="str">
        <x:v>Y</x:v>
      </x:c>
      <x:c r="I57" s="16" t="str">
        <x:f>Coder_A!F57</x:f>
        <x:v>Sec. 2.2 Transition Graph; Appendix B split</x:v>
      </x:c>
      <x:c r="J57" s="16" t="n">
        <x:f>Coder_B!F57</x:f>
        <x:v>0</x:v>
      </x:c>
    </x:row>
    <x:row r="58">
      <x:c r="A58" s="16" t="n">
        <x:v>57</x:v>
      </x:c>
      <x:c r="B58" s="16" t="str">
        <x:v>MODEL</x:v>
      </x:c>
      <x:c r="C58" s="16" t="str">
        <x:f>Coder_A!C58</x:f>
        <x:v>PILOT_01_M02</x:v>
      </x:c>
      <x:c r="D58" s="16" t="str">
        <x:v>edge_confidence_used</x:v>
      </x:c>
      <x:c r="E58" s="16" t="str">
        <x:f>Coder_A!E58</x:f>
        <x:v>N</x:v>
      </x:c>
      <x:c r="F58" s="16" t="n">
        <x:f>Coder_B!E58</x:f>
        <x:v>0</x:v>
      </x:c>
      <x:c r="G58" s="16" t="str">
        <x:f>IF(F58="","PENDING",IF(E58=F58,"AGREE","DISAGREE"))</x:f>
        <x:v>PENDING</x:v>
      </x:c>
      <x:c r="H58" s="16" t="str">
        <x:v>Y</x:v>
      </x:c>
      <x:c r="I58" s="16" t="str">
        <x:f>Coder_A!F58</x:f>
        <x:v>Sec. 2.2 Transition Graph; Appendix B split</x:v>
      </x:c>
      <x:c r="J58" s="16" t="n">
        <x:f>Coder_B!F58</x:f>
        <x:v>0</x:v>
      </x:c>
    </x:row>
    <x:row r="59">
      <x:c r="A59" s="16" t="n">
        <x:v>58</x:v>
      </x:c>
      <x:c r="B59" s="16" t="str">
        <x:v>MODEL</x:v>
      </x:c>
      <x:c r="C59" s="16" t="str">
        <x:f>Coder_A!C59</x:f>
        <x:v>PILOT_01_M02</x:v>
      </x:c>
      <x:c r="D59" s="16" t="str">
        <x:v>gnn_encoder</x:v>
      </x:c>
      <x:c r="E59" s="16" t="str">
        <x:f>Coder_A!E59</x:f>
        <x:v>OTHER</x:v>
      </x:c>
      <x:c r="F59" s="16" t="n">
        <x:f>Coder_B!E59</x:f>
        <x:v>0</x:v>
      </x:c>
      <x:c r="G59" s="16" t="str">
        <x:f>IF(F59="","PENDING",IF(E59=F59,"AGREE","DISAGREE"))</x:f>
        <x:v>PENDING</x:v>
      </x:c>
      <x:c r="H59" s="16" t="str">
        <x:v>Y</x:v>
      </x:c>
      <x:c r="I59" s="16" t="str">
        <x:f>Coder_A!F59</x:f>
        <x:v>Sec. 2.2 Transition Graph; Appendix B split</x:v>
      </x:c>
      <x:c r="J59" s="16" t="n">
        <x:f>Coder_B!F59</x:f>
        <x:v>0</x:v>
      </x:c>
    </x:row>
    <x:row r="60">
      <x:c r="A60" s="16" t="n">
        <x:v>59</x:v>
      </x:c>
      <x:c r="B60" s="16" t="str">
        <x:v>MODEL</x:v>
      </x:c>
      <x:c r="C60" s="16" t="str">
        <x:f>Coder_A!C60</x:f>
        <x:v>PILOT_01_M02</x:v>
      </x:c>
      <x:c r="D60" s="16" t="str">
        <x:v>temporal_backbone</x:v>
      </x:c>
      <x:c r="E60" s="16" t="str">
        <x:f>Coder_A!E60</x:f>
        <x:v>RNN_LSTM_GRU</x:v>
      </x:c>
      <x:c r="F60" s="16" t="n">
        <x:f>Coder_B!E60</x:f>
        <x:v>0</x:v>
      </x:c>
      <x:c r="G60" s="16" t="str">
        <x:f>IF(F60="","PENDING",IF(E60=F60,"AGREE","DISAGREE"))</x:f>
        <x:v>PENDING</x:v>
      </x:c>
      <x:c r="H60" s="16" t="str">
        <x:v>Y</x:v>
      </x:c>
      <x:c r="I60" s="16" t="str">
        <x:f>Coder_A!F60</x:f>
        <x:v>Sec. 2.2 Transition Graph; Appendix B split</x:v>
      </x:c>
      <x:c r="J60" s="16" t="n">
        <x:f>Coder_B!F60</x:f>
        <x:v>0</x:v>
      </x:c>
    </x:row>
    <x:row r="61">
      <x:c r="A61" s="16" t="n">
        <x:v>60</x:v>
      </x:c>
      <x:c r="B61" s="16" t="str">
        <x:v>MODEL</x:v>
      </x:c>
      <x:c r="C61" s="16" t="str">
        <x:f>Coder_A!C61</x:f>
        <x:v>PILOT_01_M02</x:v>
      </x:c>
      <x:c r="D61" s="16" t="str">
        <x:v>semantic_auxiliary_encoder</x:v>
      </x:c>
      <x:c r="E61" s="16" t="str">
        <x:f>Coder_A!E61</x:f>
        <x:v>NA</x:v>
      </x:c>
      <x:c r="F61" s="16" t="n">
        <x:f>Coder_B!E61</x:f>
        <x:v>0</x:v>
      </x:c>
      <x:c r="G61" s="16" t="str">
        <x:f>IF(F61="","PENDING",IF(E61=F61,"AGREE","DISAGREE"))</x:f>
        <x:v>PENDING</x:v>
      </x:c>
      <x:c r="H61" s="16" t="str">
        <x:v>Y</x:v>
      </x:c>
      <x:c r="I61" s="16" t="str">
        <x:f>Coder_A!F61</x:f>
        <x:v>Sec. 2.2 Transition Graph; Appendix B split</x:v>
      </x:c>
      <x:c r="J61" s="16" t="n">
        <x:f>Coder_B!F61</x:f>
        <x:v>0</x:v>
      </x:c>
    </x:row>
    <x:row r="62">
      <x:c r="A62" s="16" t="n">
        <x:v>61</x:v>
      </x:c>
      <x:c r="B62" s="16" t="str">
        <x:v>MODEL</x:v>
      </x:c>
      <x:c r="C62" s="16" t="str">
        <x:f>Coder_A!C62</x:f>
        <x:v>PILOT_01_M02</x:v>
      </x:c>
      <x:c r="D62" s="16" t="str">
        <x:v>fusion_type</x:v>
      </x:c>
      <x:c r="E62" s="16" t="str">
        <x:f>Coder_A!E62</x:f>
        <x:v>MESSAGE_PASSING_IN_PREDICTION_LOOP</x:v>
      </x:c>
      <x:c r="F62" s="16" t="n">
        <x:f>Coder_B!E62</x:f>
        <x:v>0</x:v>
      </x:c>
      <x:c r="G62" s="16" t="str">
        <x:f>IF(F62="","PENDING",IF(E62=F62,"AGREE","DISAGREE"))</x:f>
        <x:v>PENDING</x:v>
      </x:c>
      <x:c r="H62" s="16" t="str">
        <x:v>Y</x:v>
      </x:c>
      <x:c r="I62" s="16" t="str">
        <x:f>Coder_A!F62</x:f>
        <x:v>Sec. 2.2 Transition Graph; Appendix B split</x:v>
      </x:c>
      <x:c r="J62" s="16" t="n">
        <x:f>Coder_B!F62</x:f>
        <x:v>0</x:v>
      </x:c>
    </x:row>
    <x:row r="63">
      <x:c r="A63" s="16" t="n">
        <x:v>62</x:v>
      </x:c>
      <x:c r="B63" s="16" t="str">
        <x:v>MODEL</x:v>
      </x:c>
      <x:c r="C63" s="16" t="str">
        <x:f>Coder_A!C63</x:f>
        <x:v>PILOT_01_M02</x:v>
      </x:c>
      <x:c r="D63" s="16" t="str">
        <x:v>fusion_location</x:v>
      </x:c>
      <x:c r="E63" s="16" t="str">
        <x:f>Coder_A!E63</x:f>
        <x:v>HIDDEN_STATE</x:v>
      </x:c>
      <x:c r="F63" s="16" t="n">
        <x:f>Coder_B!E63</x:f>
        <x:v>0</x:v>
      </x:c>
      <x:c r="G63" s="16" t="str">
        <x:f>IF(F63="","PENDING",IF(E63=F63,"AGREE","DISAGREE"))</x:f>
        <x:v>PENDING</x:v>
      </x:c>
      <x:c r="H63" s="16" t="str">
        <x:v>Y</x:v>
      </x:c>
      <x:c r="I63" s="16" t="str">
        <x:f>Coder_A!F63</x:f>
        <x:v>Sec. 2.2 Transition Graph; Appendix B split</x:v>
      </x:c>
      <x:c r="J63" s="16" t="n">
        <x:f>Coder_B!F63</x:f>
        <x:v>0</x:v>
      </x:c>
    </x:row>
    <x:row r="64">
      <x:c r="A64" s="16" t="n">
        <x:v>63</x:v>
      </x:c>
      <x:c r="B64" s="16" t="str">
        <x:v>MODEL</x:v>
      </x:c>
      <x:c r="C64" s="16" t="str">
        <x:f>Coder_A!C64</x:f>
        <x:v>PILOT_01_M02</x:v>
      </x:c>
      <x:c r="D64" s="16" t="str">
        <x:v>ssl_family</x:v>
      </x:c>
      <x:c r="E64" s="16" t="str">
        <x:f>Coder_A!E64</x:f>
        <x:v>NONE</x:v>
      </x:c>
      <x:c r="F64" s="16" t="n">
        <x:f>Coder_B!E64</x:f>
        <x:v>0</x:v>
      </x:c>
      <x:c r="G64" s="16" t="str">
        <x:f>IF(F64="","PENDING",IF(E64=F64,"AGREE","DISAGREE"))</x:f>
        <x:v>PENDING</x:v>
      </x:c>
      <x:c r="H64" s="16" t="str">
        <x:v>Y</x:v>
      </x:c>
      <x:c r="I64" s="16" t="str">
        <x:f>Coder_A!F64</x:f>
        <x:v>Sec. 2.2 Transition Graph; Appendix B split</x:v>
      </x:c>
      <x:c r="J64" s="16" t="n">
        <x:f>Coder_B!F64</x:f>
        <x:v>0</x:v>
      </x:c>
    </x:row>
    <x:row r="65">
      <x:c r="A65" s="16" t="n">
        <x:v>64</x:v>
      </x:c>
      <x:c r="B65" s="16" t="str">
        <x:v>MODEL</x:v>
      </x:c>
      <x:c r="C65" s="16" t="str">
        <x:f>Coder_A!C65</x:f>
        <x:v>PILOT_01_M02</x:v>
      </x:c>
      <x:c r="D65" s="16" t="str">
        <x:v>non_ssl_pretraining</x:v>
      </x:c>
      <x:c r="E65" s="16" t="str">
        <x:f>Coder_A!E65</x:f>
        <x:v>N</x:v>
      </x:c>
      <x:c r="F65" s="16" t="n">
        <x:f>Coder_B!E65</x:f>
        <x:v>0</x:v>
      </x:c>
      <x:c r="G65" s="16" t="str">
        <x:f>IF(F65="","PENDING",IF(E65=F65,"AGREE","DISAGREE"))</x:f>
        <x:v>PENDING</x:v>
      </x:c>
      <x:c r="H65" s="16" t="str">
        <x:v>Y</x:v>
      </x:c>
      <x:c r="I65" s="16" t="str">
        <x:f>Coder_A!F65</x:f>
        <x:v>Sec. 2.2 Transition Graph; Appendix B split</x:v>
      </x:c>
      <x:c r="J65" s="16" t="n">
        <x:f>Coder_B!F65</x:f>
        <x:v>0</x:v>
      </x:c>
    </x:row>
    <x:row r="66">
      <x:c r="A66" s="16" t="n">
        <x:v>65</x:v>
      </x:c>
      <x:c r="B66" s="16" t="str">
        <x:v>MODEL</x:v>
      </x:c>
      <x:c r="C66" s="16" t="str">
        <x:f>Coder_A!C66</x:f>
        <x:v>PILOT_01_M02</x:v>
      </x:c>
      <x:c r="D66" s="16" t="str">
        <x:v>ssl_training_mode</x:v>
      </x:c>
      <x:c r="E66" s="16" t="str">
        <x:f>Coder_A!E66</x:f>
        <x:v>NA</x:v>
      </x:c>
      <x:c r="F66" s="16" t="n">
        <x:f>Coder_B!E66</x:f>
        <x:v>0</x:v>
      </x:c>
      <x:c r="G66" s="16" t="str">
        <x:f>IF(F66="","PENDING",IF(E66=F66,"AGREE","DISAGREE"))</x:f>
        <x:v>PENDING</x:v>
      </x:c>
      <x:c r="H66" s="16" t="str">
        <x:v>Y</x:v>
      </x:c>
      <x:c r="I66" s="16" t="str">
        <x:f>Coder_A!F66</x:f>
        <x:v>Sec. 2.2 Transition Graph; Appendix B split</x:v>
      </x:c>
      <x:c r="J66" s="16" t="n">
        <x:f>Coder_B!F66</x:f>
        <x:v>0</x:v>
      </x:c>
    </x:row>
    <x:row r="67">
      <x:c r="A67" s="16" t="n">
        <x:v>66</x:v>
      </x:c>
      <x:c r="B67" s="16" t="str">
        <x:v>MODEL</x:v>
      </x:c>
      <x:c r="C67" s="16" t="str">
        <x:f>Coder_A!C67</x:f>
        <x:v>PILOT_01_M02</x:v>
      </x:c>
      <x:c r="D67" s="16" t="str">
        <x:v>ssl_target_level</x:v>
      </x:c>
      <x:c r="E67" s="16" t="str">
        <x:f>Coder_A!E67</x:f>
        <x:v>NA</x:v>
      </x:c>
      <x:c r="F67" s="16" t="n">
        <x:f>Coder_B!E67</x:f>
        <x:v>0</x:v>
      </x:c>
      <x:c r="G67" s="16" t="str">
        <x:f>IF(F67="","PENDING",IF(E67=F67,"AGREE","DISAGREE"))</x:f>
        <x:v>PENDING</x:v>
      </x:c>
      <x:c r="H67" s="16" t="str">
        <x:v>Y</x:v>
      </x:c>
      <x:c r="I67" s="16" t="str">
        <x:f>Coder_A!F67</x:f>
        <x:v>Sec. 2.2 Transition Graph; Appendix B split</x:v>
      </x:c>
      <x:c r="J67" s="16" t="n">
        <x:f>Coder_B!F67</x:f>
        <x:v>0</x:v>
      </x:c>
    </x:row>
    <x:row r="68">
      <x:c r="A68" s="16" t="n">
        <x:v>67</x:v>
      </x:c>
      <x:c r="B68" s="16" t="str">
        <x:v>MODEL</x:v>
      </x:c>
      <x:c r="C68" s="16" t="str">
        <x:f>Coder_A!C68</x:f>
        <x:v>PILOT_01_M02</x:v>
      </x:c>
      <x:c r="D68" s="16" t="str">
        <x:v>augmentation_type</x:v>
      </x:c>
      <x:c r="E68" s="16" t="str">
        <x:f>Coder_A!E68</x:f>
        <x:v>NO_EXPLICIT_AUGMENTATION</x:v>
      </x:c>
      <x:c r="F68" s="16" t="n">
        <x:f>Coder_B!E68</x:f>
        <x:v>0</x:v>
      </x:c>
      <x:c r="G68" s="16" t="str">
        <x:f>IF(F68="","PENDING",IF(E68=F68,"AGREE","DISAGREE"))</x:f>
        <x:v>PENDING</x:v>
      </x:c>
      <x:c r="H68" s="16" t="str">
        <x:v>Y</x:v>
      </x:c>
      <x:c r="I68" s="16" t="str">
        <x:f>Coder_A!F68</x:f>
        <x:v>Sec. 2.2 Transition Graph; Appendix B split</x:v>
      </x:c>
      <x:c r="J68" s="16" t="n">
        <x:f>Coder_B!F68</x:f>
        <x:v>0</x:v>
      </x:c>
    </x:row>
    <x:row r="69">
      <x:c r="A69" s="16" t="n">
        <x:v>68</x:v>
      </x:c>
      <x:c r="B69" s="16" t="str">
        <x:v>MODEL</x:v>
      </x:c>
      <x:c r="C69" s="16" t="str">
        <x:f>Coder_A!C69</x:f>
        <x:v>PILOT_01_M02</x:v>
      </x:c>
      <x:c r="D69" s="16" t="str">
        <x:v>educational_structure_preservation</x:v>
      </x:c>
      <x:c r="E69" s="16" t="str">
        <x:f>Coder_A!E69</x:f>
        <x:v>NO_AUGMENTATION</x:v>
      </x:c>
      <x:c r="F69" s="16" t="n">
        <x:f>Coder_B!E69</x:f>
        <x:v>0</x:v>
      </x:c>
      <x:c r="G69" s="16" t="str">
        <x:f>IF(F69="","PENDING",IF(E69=F69,"AGREE","DISAGREE"))</x:f>
        <x:v>PENDING</x:v>
      </x:c>
      <x:c r="H69" s="16" t="str">
        <x:v>Y</x:v>
      </x:c>
      <x:c r="I69" s="16" t="str">
        <x:f>Coder_A!F69</x:f>
        <x:v>Sec. 2.2 Transition Graph; Appendix B split</x:v>
      </x:c>
      <x:c r="J69" s="16" t="n">
        <x:f>Coder_B!F69</x:f>
        <x:v>0</x:v>
      </x:c>
    </x:row>
    <x:row r="70">
      <x:c r="A70" s="16" t="n">
        <x:v>69</x:v>
      </x:c>
      <x:c r="B70" s="16" t="str">
        <x:v>MODEL</x:v>
      </x:c>
      <x:c r="C70" s="16" t="str">
        <x:f>Coder_A!C70</x:f>
        <x:v>PILOT_01_M02</x:v>
      </x:c>
      <x:c r="D70" s="16" t="str">
        <x:v>augmentation_validity_ablation</x:v>
      </x:c>
      <x:c r="E70" s="16" t="str">
        <x:f>Coder_A!E70</x:f>
        <x:v>NA</x:v>
      </x:c>
      <x:c r="F70" s="16" t="n">
        <x:f>Coder_B!E70</x:f>
        <x:v>0</x:v>
      </x:c>
      <x:c r="G70" s="16" t="str">
        <x:f>IF(F70="","PENDING",IF(E70=F70,"AGREE","DISAGREE"))</x:f>
        <x:v>PENDING</x:v>
      </x:c>
      <x:c r="H70" s="16" t="str">
        <x:v>Y</x:v>
      </x:c>
      <x:c r="I70" s="16" t="str">
        <x:f>Coder_A!F70</x:f>
        <x:v>Sec. 2.2 Transition Graph; Appendix B split</x:v>
      </x:c>
      <x:c r="J70" s="16" t="n">
        <x:f>Coder_B!F70</x:f>
        <x:v>0</x:v>
      </x:c>
    </x:row>
    <x:row r="71">
      <x:c r="A71" s="16" t="n">
        <x:v>70</x:v>
      </x:c>
      <x:c r="B71" s="16" t="str">
        <x:v>MODEL</x:v>
      </x:c>
      <x:c r="C71" s="16" t="str">
        <x:f>Coder_A!C71</x:f>
        <x:v>PILOT_01_M03</x:v>
      </x:c>
      <x:c r="D71" s="16" t="str">
        <x:v>graph_source</x:v>
      </x:c>
      <x:c r="E71" s="16" t="str">
        <x:f>Coder_A!E71</x:f>
        <x:v>LEARNED_FROM_INTERACTIONS</x:v>
      </x:c>
      <x:c r="F71" s="16" t="n">
        <x:f>Coder_B!E71</x:f>
        <x:v>0</x:v>
      </x:c>
      <x:c r="G71" s="16" t="str">
        <x:f>IF(F71="","PENDING",IF(E71=F71,"AGREE","DISAGREE"))</x:f>
        <x:v>PENDING</x:v>
      </x:c>
      <x:c r="H71" s="16" t="str">
        <x:v>Y</x:v>
      </x:c>
      <x:c r="I71" s="16" t="str">
        <x:f>Coder_A!F71</x:f>
        <x:v>Sec. 2.2 DKT Graph; Appendix B split</x:v>
      </x:c>
      <x:c r="J71" s="16" t="n">
        <x:f>Coder_B!F71</x:f>
        <x:v>0</x:v>
      </x:c>
    </x:row>
    <x:row r="72">
      <x:c r="A72" s="16" t="n">
        <x:v>71</x:v>
      </x:c>
      <x:c r="B72" s="16" t="str">
        <x:v>MODEL</x:v>
      </x:c>
      <x:c r="C72" s="16" t="str">
        <x:f>Coder_A!C72</x:f>
        <x:v>PILOT_01_M03</x:v>
      </x:c>
      <x:c r="D72" s="16" t="str">
        <x:v>graph_provenance</x:v>
      </x:c>
      <x:c r="E72" s="16" t="str">
        <x:f>Coder_A!E72</x:f>
        <x:v>PRECOMPUTED_UNCLEAR_SPLIT</x:v>
      </x:c>
      <x:c r="F72" s="16" t="n">
        <x:f>Coder_B!E72</x:f>
        <x:v>0</x:v>
      </x:c>
      <x:c r="G72" s="16" t="str">
        <x:f>IF(F72="","PENDING",IF(E72=F72,"AGREE","DISAGREE"))</x:f>
        <x:v>PENDING</x:v>
      </x:c>
      <x:c r="H72" s="16" t="str">
        <x:v>Y</x:v>
      </x:c>
      <x:c r="I72" s="16" t="str">
        <x:f>Coder_A!F72</x:f>
        <x:v>Sec. 2.2 DKT Graph; Appendix B split</x:v>
      </x:c>
      <x:c r="J72" s="16" t="n">
        <x:f>Coder_B!F72</x:f>
        <x:v>0</x:v>
      </x:c>
    </x:row>
    <x:row r="73">
      <x:c r="A73" s="16" t="n">
        <x:v>72</x:v>
      </x:c>
      <x:c r="B73" s="16" t="str">
        <x:v>MODEL</x:v>
      </x:c>
      <x:c r="C73" s="16" t="str">
        <x:f>Coder_A!C73</x:f>
        <x:v>PILOT_01_M03</x:v>
      </x:c>
      <x:c r="D73" s="16" t="str">
        <x:v>graph_leakage_risk</x:v>
      </x:c>
      <x:c r="E73" s="16" t="str">
        <x:f>Coder_A!E73</x:f>
        <x:v>POTENTIAL</x:v>
      </x:c>
      <x:c r="F73" s="16" t="n">
        <x:f>Coder_B!E73</x:f>
        <x:v>0</x:v>
      </x:c>
      <x:c r="G73" s="16" t="str">
        <x:f>IF(F73="","PENDING",IF(E73=F73,"AGREE","DISAGREE"))</x:f>
        <x:v>PENDING</x:v>
      </x:c>
      <x:c r="H73" s="16" t="str">
        <x:v>Y</x:v>
      </x:c>
      <x:c r="I73" s="16" t="str">
        <x:f>Coder_A!F73</x:f>
        <x:v>Sec. 2.2 DKT Graph; Appendix B split</x:v>
      </x:c>
      <x:c r="J73" s="16" t="n">
        <x:f>Coder_B!F73</x:f>
        <x:v>0</x:v>
      </x:c>
    </x:row>
    <x:row r="74">
      <x:c r="A74" s="16" t="n">
        <x:v>73</x:v>
      </x:c>
      <x:c r="B74" s="16" t="str">
        <x:v>MODEL</x:v>
      </x:c>
      <x:c r="C74" s="16" t="str">
        <x:f>Coder_A!C74</x:f>
        <x:v>PILOT_01_M03</x:v>
      </x:c>
      <x:c r="D74" s="16" t="str">
        <x:v>graph_construction_uses_response_labels</x:v>
      </x:c>
      <x:c r="E74" s="16" t="str">
        <x:f>Coder_A!E74</x:f>
        <x:v>Y</x:v>
      </x:c>
      <x:c r="F74" s="16" t="n">
        <x:f>Coder_B!E74</x:f>
        <x:v>0</x:v>
      </x:c>
      <x:c r="G74" s="16" t="str">
        <x:f>IF(F74="","PENDING",IF(E74=F74,"AGREE","DISAGREE"))</x:f>
        <x:v>PENDING</x:v>
      </x:c>
      <x:c r="H74" s="16" t="str">
        <x:v>Y</x:v>
      </x:c>
      <x:c r="I74" s="16" t="str">
        <x:f>Coder_A!F74</x:f>
        <x:v>Sec. 2.2 DKT Graph; Appendix B split</x:v>
      </x:c>
      <x:c r="J74" s="16" t="n">
        <x:f>Coder_B!F74</x:f>
        <x:v>0</x:v>
      </x:c>
    </x:row>
    <x:row r="75">
      <x:c r="A75" s="16" t="n">
        <x:v>74</x:v>
      </x:c>
      <x:c r="B75" s="16" t="str">
        <x:v>MODEL</x:v>
      </x:c>
      <x:c r="C75" s="16" t="str">
        <x:f>Coder_A!C75</x:f>
        <x:v>PILOT_01_M03</x:v>
      </x:c>
      <x:c r="D75" s="16" t="str">
        <x:v>graph_construction_uses_test_partition</x:v>
      </x:c>
      <x:c r="E75" s="16" t="str">
        <x:f>Coder_A!E75</x:f>
        <x:v>UNCLEAR</x:v>
      </x:c>
      <x:c r="F75" s="16" t="n">
        <x:f>Coder_B!E75</x:f>
        <x:v>0</x:v>
      </x:c>
      <x:c r="G75" s="16" t="str">
        <x:f>IF(F75="","PENDING",IF(E75=F75,"AGREE","DISAGREE"))</x:f>
        <x:v>PENDING</x:v>
      </x:c>
      <x:c r="H75" s="16" t="str">
        <x:v>Y</x:v>
      </x:c>
      <x:c r="I75" s="16" t="str">
        <x:f>Coder_A!F75</x:f>
        <x:v>Sec. 2.2 DKT Graph; Appendix B split</x:v>
      </x:c>
      <x:c r="J75" s="16" t="n">
        <x:f>Coder_B!F75</x:f>
        <x:v>0</x:v>
      </x:c>
    </x:row>
    <x:row r="76">
      <x:c r="A76" s="16" t="n">
        <x:v>75</x:v>
      </x:c>
      <x:c r="B76" s="16" t="str">
        <x:v>MODEL</x:v>
      </x:c>
      <x:c r="C76" s="16" t="str">
        <x:f>Coder_A!C76</x:f>
        <x:v>PILOT_01_M03</x:v>
      </x:c>
      <x:c r="D76" s="16" t="str">
        <x:v>graph_representation</x:v>
      </x:c>
      <x:c r="E76" s="16" t="str">
        <x:f>Coder_A!E76</x:f>
        <x:v>KC_KC</x:v>
      </x:c>
      <x:c r="F76" s="16" t="n">
        <x:f>Coder_B!E76</x:f>
        <x:v>0</x:v>
      </x:c>
      <x:c r="G76" s="16" t="str">
        <x:f>IF(F76="","PENDING",IF(E76=F76,"AGREE","DISAGREE"))</x:f>
        <x:v>PENDING</x:v>
      </x:c>
      <x:c r="H76" s="16" t="str">
        <x:v>Y</x:v>
      </x:c>
      <x:c r="I76" s="16" t="str">
        <x:f>Coder_A!F76</x:f>
        <x:v>Sec. 2.2 DKT Graph; Appendix B split</x:v>
      </x:c>
      <x:c r="J76" s="16" t="n">
        <x:f>Coder_B!F76</x:f>
        <x:v>0</x:v>
      </x:c>
    </x:row>
    <x:row r="77">
      <x:c r="A77" s="16" t="n">
        <x:v>76</x:v>
      </x:c>
      <x:c r="B77" s="16" t="str">
        <x:v>MODEL</x:v>
      </x:c>
      <x:c r="C77" s="16" t="str">
        <x:f>Coder_A!C77</x:f>
        <x:v>PILOT_01_M03</x:v>
      </x:c>
      <x:c r="D77" s="16" t="str">
        <x:v>directed</x:v>
      </x:c>
      <x:c r="E77" s="16" t="str">
        <x:f>Coder_A!E77</x:f>
        <x:v>Y</x:v>
      </x:c>
      <x:c r="F77" s="16" t="n">
        <x:f>Coder_B!E77</x:f>
        <x:v>0</x:v>
      </x:c>
      <x:c r="G77" s="16" t="str">
        <x:f>IF(F77="","PENDING",IF(E77=F77,"AGREE","DISAGREE"))</x:f>
        <x:v>PENDING</x:v>
      </x:c>
      <x:c r="H77" s="16" t="str">
        <x:v>Y</x:v>
      </x:c>
      <x:c r="I77" s="16" t="str">
        <x:f>Coder_A!F77</x:f>
        <x:v>Sec. 2.2 DKT Graph; Appendix B split</x:v>
      </x:c>
      <x:c r="J77" s="16" t="n">
        <x:f>Coder_B!F77</x:f>
        <x:v>0</x:v>
      </x:c>
    </x:row>
    <x:row r="78">
      <x:c r="A78" s="16" t="n">
        <x:v>77</x:v>
      </x:c>
      <x:c r="B78" s="16" t="str">
        <x:v>MODEL</x:v>
      </x:c>
      <x:c r="C78" s="16" t="str">
        <x:f>Coder_A!C78</x:f>
        <x:v>PILOT_01_M03</x:v>
      </x:c>
      <x:c r="D78" s="16" t="str">
        <x:v>weighted</x:v>
      </x:c>
      <x:c r="E78" s="16" t="str">
        <x:f>Coder_A!E78</x:f>
        <x:v>Y</x:v>
      </x:c>
      <x:c r="F78" s="16" t="n">
        <x:f>Coder_B!E78</x:f>
        <x:v>0</x:v>
      </x:c>
      <x:c r="G78" s="16" t="str">
        <x:f>IF(F78="","PENDING",IF(E78=F78,"AGREE","DISAGREE"))</x:f>
        <x:v>PENDING</x:v>
      </x:c>
      <x:c r="H78" s="16" t="str">
        <x:v>Y</x:v>
      </x:c>
      <x:c r="I78" s="16" t="str">
        <x:f>Coder_A!F78</x:f>
        <x:v>Sec. 2.2 DKT Graph; Appendix B split</x:v>
      </x:c>
      <x:c r="J78" s="16" t="n">
        <x:f>Coder_B!F78</x:f>
        <x:v>0</x:v>
      </x:c>
    </x:row>
    <x:row r="79">
      <x:c r="A79" s="16" t="n">
        <x:v>78</x:v>
      </x:c>
      <x:c r="B79" s="16" t="str">
        <x:v>MODEL</x:v>
      </x:c>
      <x:c r="C79" s="16" t="str">
        <x:f>Coder_A!C79</x:f>
        <x:v>PILOT_01_M03</x:v>
      </x:c>
      <x:c r="D79" s="16" t="str">
        <x:v>typed_edges</x:v>
      </x:c>
      <x:c r="E79" s="16" t="str">
        <x:f>Coder_A!E79</x:f>
        <x:v>Y</x:v>
      </x:c>
      <x:c r="F79" s="16" t="n">
        <x:f>Coder_B!E79</x:f>
        <x:v>0</x:v>
      </x:c>
      <x:c r="G79" s="16" t="str">
        <x:f>IF(F79="","PENDING",IF(E79=F79,"AGREE","DISAGREE"))</x:f>
        <x:v>PENDING</x:v>
      </x:c>
      <x:c r="H79" s="16" t="str">
        <x:v>Y</x:v>
      </x:c>
      <x:c r="I79" s="16" t="str">
        <x:f>Coder_A!F79</x:f>
        <x:v>Sec. 2.2 DKT Graph; Appendix B split</x:v>
      </x:c>
      <x:c r="J79" s="16" t="n">
        <x:f>Coder_B!F79</x:f>
        <x:v>0</x:v>
      </x:c>
    </x:row>
    <x:row r="80">
      <x:c r="A80" s="16" t="n">
        <x:v>79</x:v>
      </x:c>
      <x:c r="B80" s="16" t="str">
        <x:v>MODEL</x:v>
      </x:c>
      <x:c r="C80" s="16" t="str">
        <x:f>Coder_A!C80</x:f>
        <x:v>PILOT_01_M03</x:v>
      </x:c>
      <x:c r="D80" s="16" t="str">
        <x:v>dynamic</x:v>
      </x:c>
      <x:c r="E80" s="16" t="str">
        <x:f>Coder_A!E80</x:f>
        <x:v>N</x:v>
      </x:c>
      <x:c r="F80" s="16" t="n">
        <x:f>Coder_B!E80</x:f>
        <x:v>0</x:v>
      </x:c>
      <x:c r="G80" s="16" t="str">
        <x:f>IF(F80="","PENDING",IF(E80=F80,"AGREE","DISAGREE"))</x:f>
        <x:v>PENDING</x:v>
      </x:c>
      <x:c r="H80" s="16" t="str">
        <x:v>Y</x:v>
      </x:c>
      <x:c r="I80" s="16" t="str">
        <x:f>Coder_A!F80</x:f>
        <x:v>Sec. 2.2 DKT Graph; Appendix B split</x:v>
      </x:c>
      <x:c r="J80" s="16" t="n">
        <x:f>Coder_B!F80</x:f>
        <x:v>0</x:v>
      </x:c>
    </x:row>
    <x:row r="81">
      <x:c r="A81" s="16" t="n">
        <x:v>80</x:v>
      </x:c>
      <x:c r="B81" s="16" t="str">
        <x:v>MODEL</x:v>
      </x:c>
      <x:c r="C81" s="16" t="str">
        <x:f>Coder_A!C81</x:f>
        <x:v>PILOT_01_M03</x:v>
      </x:c>
      <x:c r="D81" s="16" t="str">
        <x:v>dag_enforced</x:v>
      </x:c>
      <x:c r="E81" s="16" t="str">
        <x:f>Coder_A!E81</x:f>
        <x:v>N</x:v>
      </x:c>
      <x:c r="F81" s="16" t="n">
        <x:f>Coder_B!E81</x:f>
        <x:v>0</x:v>
      </x:c>
      <x:c r="G81" s="16" t="str">
        <x:f>IF(F81="","PENDING",IF(E81=F81,"AGREE","DISAGREE"))</x:f>
        <x:v>PENDING</x:v>
      </x:c>
      <x:c r="H81" s="16" t="str">
        <x:v>Y</x:v>
      </x:c>
      <x:c r="I81" s="16" t="str">
        <x:f>Coder_A!F81</x:f>
        <x:v>Sec. 2.2 DKT Graph; Appendix B split</x:v>
      </x:c>
      <x:c r="J81" s="16" t="n">
        <x:f>Coder_B!F81</x:f>
        <x:v>0</x:v>
      </x:c>
    </x:row>
    <x:row r="82">
      <x:c r="A82" s="16" t="n">
        <x:v>81</x:v>
      </x:c>
      <x:c r="B82" s="16" t="str">
        <x:v>MODEL</x:v>
      </x:c>
      <x:c r="C82" s="16" t="str">
        <x:f>Coder_A!C82</x:f>
        <x:v>PILOT_01_M03</x:v>
      </x:c>
      <x:c r="D82" s="16" t="str">
        <x:v>edge_confidence_used</x:v>
      </x:c>
      <x:c r="E82" s="16" t="str">
        <x:f>Coder_A!E82</x:f>
        <x:v>N</x:v>
      </x:c>
      <x:c r="F82" s="16" t="n">
        <x:f>Coder_B!E82</x:f>
        <x:v>0</x:v>
      </x:c>
      <x:c r="G82" s="16" t="str">
        <x:f>IF(F82="","PENDING",IF(E82=F82,"AGREE","DISAGREE"))</x:f>
        <x:v>PENDING</x:v>
      </x:c>
      <x:c r="H82" s="16" t="str">
        <x:v>Y</x:v>
      </x:c>
      <x:c r="I82" s="16" t="str">
        <x:f>Coder_A!F82</x:f>
        <x:v>Sec. 2.2 DKT Graph; Appendix B split</x:v>
      </x:c>
      <x:c r="J82" s="16" t="n">
        <x:f>Coder_B!F82</x:f>
        <x:v>0</x:v>
      </x:c>
    </x:row>
    <x:row r="83">
      <x:c r="A83" s="16" t="n">
        <x:v>82</x:v>
      </x:c>
      <x:c r="B83" s="16" t="str">
        <x:v>MODEL</x:v>
      </x:c>
      <x:c r="C83" s="16" t="str">
        <x:f>Coder_A!C83</x:f>
        <x:v>PILOT_01_M03</x:v>
      </x:c>
      <x:c r="D83" s="16" t="str">
        <x:v>gnn_encoder</x:v>
      </x:c>
      <x:c r="E83" s="16" t="str">
        <x:f>Coder_A!E83</x:f>
        <x:v>OTHER</x:v>
      </x:c>
      <x:c r="F83" s="16" t="n">
        <x:f>Coder_B!E83</x:f>
        <x:v>0</x:v>
      </x:c>
      <x:c r="G83" s="16" t="str">
        <x:f>IF(F83="","PENDING",IF(E83=F83,"AGREE","DISAGREE"))</x:f>
        <x:v>PENDING</x:v>
      </x:c>
      <x:c r="H83" s="16" t="str">
        <x:v>Y</x:v>
      </x:c>
      <x:c r="I83" s="16" t="str">
        <x:f>Coder_A!F83</x:f>
        <x:v>Sec. 2.2 DKT Graph; Appendix B split</x:v>
      </x:c>
      <x:c r="J83" s="16" t="n">
        <x:f>Coder_B!F83</x:f>
        <x:v>0</x:v>
      </x:c>
    </x:row>
    <x:row r="84">
      <x:c r="A84" s="16" t="n">
        <x:v>83</x:v>
      </x:c>
      <x:c r="B84" s="16" t="str">
        <x:v>MODEL</x:v>
      </x:c>
      <x:c r="C84" s="16" t="str">
        <x:f>Coder_A!C84</x:f>
        <x:v>PILOT_01_M03</x:v>
      </x:c>
      <x:c r="D84" s="16" t="str">
        <x:v>temporal_backbone</x:v>
      </x:c>
      <x:c r="E84" s="16" t="str">
        <x:f>Coder_A!E84</x:f>
        <x:v>RNN_LSTM_GRU</x:v>
      </x:c>
      <x:c r="F84" s="16" t="n">
        <x:f>Coder_B!E84</x:f>
        <x:v>0</x:v>
      </x:c>
      <x:c r="G84" s="16" t="str">
        <x:f>IF(F84="","PENDING",IF(E84=F84,"AGREE","DISAGREE"))</x:f>
        <x:v>PENDING</x:v>
      </x:c>
      <x:c r="H84" s="16" t="str">
        <x:v>Y</x:v>
      </x:c>
      <x:c r="I84" s="16" t="str">
        <x:f>Coder_A!F84</x:f>
        <x:v>Sec. 2.2 DKT Graph; Appendix B split</x:v>
      </x:c>
      <x:c r="J84" s="16" t="n">
        <x:f>Coder_B!F84</x:f>
        <x:v>0</x:v>
      </x:c>
    </x:row>
    <x:row r="85">
      <x:c r="A85" s="16" t="n">
        <x:v>84</x:v>
      </x:c>
      <x:c r="B85" s="16" t="str">
        <x:v>MODEL</x:v>
      </x:c>
      <x:c r="C85" s="16" t="str">
        <x:f>Coder_A!C85</x:f>
        <x:v>PILOT_01_M03</x:v>
      </x:c>
      <x:c r="D85" s="16" t="str">
        <x:v>semantic_auxiliary_encoder</x:v>
      </x:c>
      <x:c r="E85" s="16" t="str">
        <x:f>Coder_A!E85</x:f>
        <x:v>NA</x:v>
      </x:c>
      <x:c r="F85" s="16" t="n">
        <x:f>Coder_B!E85</x:f>
        <x:v>0</x:v>
      </x:c>
      <x:c r="G85" s="16" t="str">
        <x:f>IF(F85="","PENDING",IF(E85=F85,"AGREE","DISAGREE"))</x:f>
        <x:v>PENDING</x:v>
      </x:c>
      <x:c r="H85" s="16" t="str">
        <x:v>Y</x:v>
      </x:c>
      <x:c r="I85" s="16" t="str">
        <x:f>Coder_A!F85</x:f>
        <x:v>Sec. 2.2 DKT Graph; Appendix B split</x:v>
      </x:c>
      <x:c r="J85" s="16" t="n">
        <x:f>Coder_B!F85</x:f>
        <x:v>0</x:v>
      </x:c>
    </x:row>
    <x:row r="86">
      <x:c r="A86" s="16" t="n">
        <x:v>85</x:v>
      </x:c>
      <x:c r="B86" s="16" t="str">
        <x:v>MODEL</x:v>
      </x:c>
      <x:c r="C86" s="16" t="str">
        <x:f>Coder_A!C86</x:f>
        <x:v>PILOT_01_M03</x:v>
      </x:c>
      <x:c r="D86" s="16" t="str">
        <x:v>fusion_type</x:v>
      </x:c>
      <x:c r="E86" s="16" t="str">
        <x:f>Coder_A!E86</x:f>
        <x:v>MESSAGE_PASSING_IN_PREDICTION_LOOP</x:v>
      </x:c>
      <x:c r="F86" s="16" t="n">
        <x:f>Coder_B!E86</x:f>
        <x:v>0</x:v>
      </x:c>
      <x:c r="G86" s="16" t="str">
        <x:f>IF(F86="","PENDING",IF(E86=F86,"AGREE","DISAGREE"))</x:f>
        <x:v>PENDING</x:v>
      </x:c>
      <x:c r="H86" s="16" t="str">
        <x:v>Y</x:v>
      </x:c>
      <x:c r="I86" s="16" t="str">
        <x:f>Coder_A!F86</x:f>
        <x:v>Sec. 2.2 DKT Graph; Appendix B split</x:v>
      </x:c>
      <x:c r="J86" s="16" t="n">
        <x:f>Coder_B!F86</x:f>
        <x:v>0</x:v>
      </x:c>
    </x:row>
    <x:row r="87">
      <x:c r="A87" s="16" t="n">
        <x:v>86</x:v>
      </x:c>
      <x:c r="B87" s="16" t="str">
        <x:v>MODEL</x:v>
      </x:c>
      <x:c r="C87" s="16" t="str">
        <x:f>Coder_A!C87</x:f>
        <x:v>PILOT_01_M03</x:v>
      </x:c>
      <x:c r="D87" s="16" t="str">
        <x:v>fusion_location</x:v>
      </x:c>
      <x:c r="E87" s="16" t="str">
        <x:f>Coder_A!E87</x:f>
        <x:v>HIDDEN_STATE</x:v>
      </x:c>
      <x:c r="F87" s="16" t="n">
        <x:f>Coder_B!E87</x:f>
        <x:v>0</x:v>
      </x:c>
      <x:c r="G87" s="16" t="str">
        <x:f>IF(F87="","PENDING",IF(E87=F87,"AGREE","DISAGREE"))</x:f>
        <x:v>PENDING</x:v>
      </x:c>
      <x:c r="H87" s="16" t="str">
        <x:v>Y</x:v>
      </x:c>
      <x:c r="I87" s="16" t="str">
        <x:f>Coder_A!F87</x:f>
        <x:v>Sec. 2.2 DKT Graph; Appendix B split</x:v>
      </x:c>
      <x:c r="J87" s="16" t="n">
        <x:f>Coder_B!F87</x:f>
        <x:v>0</x:v>
      </x:c>
    </x:row>
    <x:row r="88">
      <x:c r="A88" s="16" t="n">
        <x:v>87</x:v>
      </x:c>
      <x:c r="B88" s="16" t="str">
        <x:v>MODEL</x:v>
      </x:c>
      <x:c r="C88" s="16" t="str">
        <x:f>Coder_A!C88</x:f>
        <x:v>PILOT_01_M03</x:v>
      </x:c>
      <x:c r="D88" s="16" t="str">
        <x:v>ssl_family</x:v>
      </x:c>
      <x:c r="E88" s="16" t="str">
        <x:f>Coder_A!E88</x:f>
        <x:v>NONE</x:v>
      </x:c>
      <x:c r="F88" s="16" t="n">
        <x:f>Coder_B!E88</x:f>
        <x:v>0</x:v>
      </x:c>
      <x:c r="G88" s="16" t="str">
        <x:f>IF(F88="","PENDING",IF(E88=F88,"AGREE","DISAGREE"))</x:f>
        <x:v>PENDING</x:v>
      </x:c>
      <x:c r="H88" s="16" t="str">
        <x:v>Y</x:v>
      </x:c>
      <x:c r="I88" s="16" t="str">
        <x:f>Coder_A!F88</x:f>
        <x:v>Sec. 2.2 DKT Graph; Appendix B split</x:v>
      </x:c>
      <x:c r="J88" s="16" t="n">
        <x:f>Coder_B!F88</x:f>
        <x:v>0</x:v>
      </x:c>
    </x:row>
    <x:row r="89">
      <x:c r="A89" s="16" t="n">
        <x:v>88</x:v>
      </x:c>
      <x:c r="B89" s="16" t="str">
        <x:v>MODEL</x:v>
      </x:c>
      <x:c r="C89" s="16" t="str">
        <x:f>Coder_A!C89</x:f>
        <x:v>PILOT_01_M03</x:v>
      </x:c>
      <x:c r="D89" s="16" t="str">
        <x:v>non_ssl_pretraining</x:v>
      </x:c>
      <x:c r="E89" s="16" t="str">
        <x:f>Coder_A!E89</x:f>
        <x:v>N</x:v>
      </x:c>
      <x:c r="F89" s="16" t="n">
        <x:f>Coder_B!E89</x:f>
        <x:v>0</x:v>
      </x:c>
      <x:c r="G89" s="16" t="str">
        <x:f>IF(F89="","PENDING",IF(E89=F89,"AGREE","DISAGREE"))</x:f>
        <x:v>PENDING</x:v>
      </x:c>
      <x:c r="H89" s="16" t="str">
        <x:v>Y</x:v>
      </x:c>
      <x:c r="I89" s="16" t="str">
        <x:f>Coder_A!F89</x:f>
        <x:v>Sec. 2.2 DKT Graph; Appendix B split</x:v>
      </x:c>
      <x:c r="J89" s="16" t="n">
        <x:f>Coder_B!F89</x:f>
        <x:v>0</x:v>
      </x:c>
    </x:row>
    <x:row r="90">
      <x:c r="A90" s="16" t="n">
        <x:v>89</x:v>
      </x:c>
      <x:c r="B90" s="16" t="str">
        <x:v>MODEL</x:v>
      </x:c>
      <x:c r="C90" s="16" t="str">
        <x:f>Coder_A!C90</x:f>
        <x:v>PILOT_01_M03</x:v>
      </x:c>
      <x:c r="D90" s="16" t="str">
        <x:v>ssl_training_mode</x:v>
      </x:c>
      <x:c r="E90" s="16" t="str">
        <x:f>Coder_A!E90</x:f>
        <x:v>NA</x:v>
      </x:c>
      <x:c r="F90" s="16" t="n">
        <x:f>Coder_B!E90</x:f>
        <x:v>0</x:v>
      </x:c>
      <x:c r="G90" s="16" t="str">
        <x:f>IF(F90="","PENDING",IF(E90=F90,"AGREE","DISAGREE"))</x:f>
        <x:v>PENDING</x:v>
      </x:c>
      <x:c r="H90" s="16" t="str">
        <x:v>Y</x:v>
      </x:c>
      <x:c r="I90" s="16" t="str">
        <x:f>Coder_A!F90</x:f>
        <x:v>Sec. 2.2 DKT Graph; Appendix B split</x:v>
      </x:c>
      <x:c r="J90" s="16" t="n">
        <x:f>Coder_B!F90</x:f>
        <x:v>0</x:v>
      </x:c>
    </x:row>
    <x:row r="91">
      <x:c r="A91" s="16" t="n">
        <x:v>90</x:v>
      </x:c>
      <x:c r="B91" s="16" t="str">
        <x:v>MODEL</x:v>
      </x:c>
      <x:c r="C91" s="16" t="str">
        <x:f>Coder_A!C91</x:f>
        <x:v>PILOT_01_M03</x:v>
      </x:c>
      <x:c r="D91" s="16" t="str">
        <x:v>ssl_target_level</x:v>
      </x:c>
      <x:c r="E91" s="16" t="str">
        <x:f>Coder_A!E91</x:f>
        <x:v>NA</x:v>
      </x:c>
      <x:c r="F91" s="16" t="n">
        <x:f>Coder_B!E91</x:f>
        <x:v>0</x:v>
      </x:c>
      <x:c r="G91" s="16" t="str">
        <x:f>IF(F91="","PENDING",IF(E91=F91,"AGREE","DISAGREE"))</x:f>
        <x:v>PENDING</x:v>
      </x:c>
      <x:c r="H91" s="16" t="str">
        <x:v>Y</x:v>
      </x:c>
      <x:c r="I91" s="16" t="str">
        <x:f>Coder_A!F91</x:f>
        <x:v>Sec. 2.2 DKT Graph; Appendix B split</x:v>
      </x:c>
      <x:c r="J91" s="16" t="n">
        <x:f>Coder_B!F91</x:f>
        <x:v>0</x:v>
      </x:c>
    </x:row>
    <x:row r="92">
      <x:c r="A92" s="16" t="n">
        <x:v>91</x:v>
      </x:c>
      <x:c r="B92" s="16" t="str">
        <x:v>MODEL</x:v>
      </x:c>
      <x:c r="C92" s="16" t="str">
        <x:f>Coder_A!C92</x:f>
        <x:v>PILOT_01_M03</x:v>
      </x:c>
      <x:c r="D92" s="16" t="str">
        <x:v>augmentation_type</x:v>
      </x:c>
      <x:c r="E92" s="16" t="str">
        <x:f>Coder_A!E92</x:f>
        <x:v>NO_EXPLICIT_AUGMENTATION</x:v>
      </x:c>
      <x:c r="F92" s="16" t="n">
        <x:f>Coder_B!E92</x:f>
        <x:v>0</x:v>
      </x:c>
      <x:c r="G92" s="16" t="str">
        <x:f>IF(F92="","PENDING",IF(E92=F92,"AGREE","DISAGREE"))</x:f>
        <x:v>PENDING</x:v>
      </x:c>
      <x:c r="H92" s="16" t="str">
        <x:v>Y</x:v>
      </x:c>
      <x:c r="I92" s="16" t="str">
        <x:f>Coder_A!F92</x:f>
        <x:v>Sec. 2.2 DKT Graph; Appendix B split</x:v>
      </x:c>
      <x:c r="J92" s="16" t="n">
        <x:f>Coder_B!F92</x:f>
        <x:v>0</x:v>
      </x:c>
    </x:row>
    <x:row r="93">
      <x:c r="A93" s="16" t="n">
        <x:v>92</x:v>
      </x:c>
      <x:c r="B93" s="16" t="str">
        <x:v>MODEL</x:v>
      </x:c>
      <x:c r="C93" s="16" t="str">
        <x:f>Coder_A!C93</x:f>
        <x:v>PILOT_01_M03</x:v>
      </x:c>
      <x:c r="D93" s="16" t="str">
        <x:v>educational_structure_preservation</x:v>
      </x:c>
      <x:c r="E93" s="16" t="str">
        <x:f>Coder_A!E93</x:f>
        <x:v>NO_AUGMENTATION</x:v>
      </x:c>
      <x:c r="F93" s="16" t="n">
        <x:f>Coder_B!E93</x:f>
        <x:v>0</x:v>
      </x:c>
      <x:c r="G93" s="16" t="str">
        <x:f>IF(F93="","PENDING",IF(E93=F93,"AGREE","DISAGREE"))</x:f>
        <x:v>PENDING</x:v>
      </x:c>
      <x:c r="H93" s="16" t="str">
        <x:v>Y</x:v>
      </x:c>
      <x:c r="I93" s="16" t="str">
        <x:f>Coder_A!F93</x:f>
        <x:v>Sec. 2.2 DKT Graph; Appendix B split</x:v>
      </x:c>
      <x:c r="J93" s="16" t="n">
        <x:f>Coder_B!F93</x:f>
        <x:v>0</x:v>
      </x:c>
    </x:row>
    <x:row r="94">
      <x:c r="A94" s="16" t="n">
        <x:v>93</x:v>
      </x:c>
      <x:c r="B94" s="16" t="str">
        <x:v>MODEL</x:v>
      </x:c>
      <x:c r="C94" s="16" t="str">
        <x:f>Coder_A!C94</x:f>
        <x:v>PILOT_01_M03</x:v>
      </x:c>
      <x:c r="D94" s="16" t="str">
        <x:v>augmentation_validity_ablation</x:v>
      </x:c>
      <x:c r="E94" s="16" t="str">
        <x:f>Coder_A!E94</x:f>
        <x:v>NA</x:v>
      </x:c>
      <x:c r="F94" s="16" t="n">
        <x:f>Coder_B!E94</x:f>
        <x:v>0</x:v>
      </x:c>
      <x:c r="G94" s="16" t="str">
        <x:f>IF(F94="","PENDING",IF(E94=F94,"AGREE","DISAGREE"))</x:f>
        <x:v>PENDING</x:v>
      </x:c>
      <x:c r="H94" s="16" t="str">
        <x:v>Y</x:v>
      </x:c>
      <x:c r="I94" s="16" t="str">
        <x:f>Coder_A!F94</x:f>
        <x:v>Sec. 2.2 DKT Graph; Appendix B split</x:v>
      </x:c>
      <x:c r="J94" s="16" t="n">
        <x:f>Coder_B!F94</x:f>
        <x:v>0</x:v>
      </x:c>
    </x:row>
    <x:row r="95">
      <x:c r="A95" s="16" t="n">
        <x:v>94</x:v>
      </x:c>
      <x:c r="B95" s="16" t="str">
        <x:v>MODEL</x:v>
      </x:c>
      <x:c r="C95" s="16" t="str">
        <x:f>Coder_A!C95</x:f>
        <x:v>PILOT_01_M04</x:v>
      </x:c>
      <x:c r="D95" s="16" t="str">
        <x:v>graph_source</x:v>
      </x:c>
      <x:c r="E95" s="16" t="str">
        <x:f>Coder_A!E95</x:f>
        <x:v>LEARNED_FROM_INTERACTIONS</x:v>
      </x:c>
      <x:c r="F95" s="16" t="n">
        <x:f>Coder_B!E95</x:f>
        <x:v>0</x:v>
      </x:c>
      <x:c r="G95" s="16" t="str">
        <x:f>IF(F95="","PENDING",IF(E95=F95,"AGREE","DISAGREE"))</x:f>
        <x:v>PENDING</x:v>
      </x:c>
      <x:c r="H95" s="16" t="str">
        <x:v>Y</x:v>
      </x:c>
      <x:c r="I95" s="16" t="str">
        <x:f>Coder_A!F95</x:f>
        <x:v>Sec. 2.2 PAM; Sec. 2.1 NLL; Appendix B split</x:v>
      </x:c>
      <x:c r="J95" s="16" t="n">
        <x:f>Coder_B!F95</x:f>
        <x:v>0</x:v>
      </x:c>
    </x:row>
    <x:row r="96">
      <x:c r="A96" s="16" t="n">
        <x:v>95</x:v>
      </x:c>
      <x:c r="B96" s="16" t="str">
        <x:v>MODEL</x:v>
      </x:c>
      <x:c r="C96" s="16" t="str">
        <x:f>Coder_A!C96</x:f>
        <x:v>PILOT_01_M04</x:v>
      </x:c>
      <x:c r="D96" s="16" t="str">
        <x:v>graph_provenance</x:v>
      </x:c>
      <x:c r="E96" s="16" t="str">
        <x:f>Coder_A!E96</x:f>
        <x:v>JOINTLY_LEARNED_TRAINING</x:v>
      </x:c>
      <x:c r="F96" s="16" t="n">
        <x:f>Coder_B!E96</x:f>
        <x:v>0</x:v>
      </x:c>
      <x:c r="G96" s="16" t="str">
        <x:f>IF(F96="","PENDING",IF(E96=F96,"AGREE","DISAGREE"))</x:f>
        <x:v>PENDING</x:v>
      </x:c>
      <x:c r="H96" s="16" t="str">
        <x:v>Y</x:v>
      </x:c>
      <x:c r="I96" s="16" t="str">
        <x:f>Coder_A!F96</x:f>
        <x:v>Sec. 2.2 PAM; Sec. 2.1 NLL; Appendix B split</x:v>
      </x:c>
      <x:c r="J96" s="16" t="n">
        <x:f>Coder_B!F96</x:f>
        <x:v>0</x:v>
      </x:c>
    </x:row>
    <x:row r="97">
      <x:c r="A97" s="16" t="n">
        <x:v>96</x:v>
      </x:c>
      <x:c r="B97" s="16" t="str">
        <x:v>MODEL</x:v>
      </x:c>
      <x:c r="C97" s="16" t="str">
        <x:f>Coder_A!C97</x:f>
        <x:v>PILOT_01_M04</x:v>
      </x:c>
      <x:c r="D97" s="16" t="str">
        <x:v>graph_leakage_risk</x:v>
      </x:c>
      <x:c r="E97" s="16" t="str">
        <x:f>Coder_A!E97</x:f>
        <x:v>LOW</x:v>
      </x:c>
      <x:c r="F97" s="16" t="n">
        <x:f>Coder_B!E97</x:f>
        <x:v>0</x:v>
      </x:c>
      <x:c r="G97" s="16" t="str">
        <x:f>IF(F97="","PENDING",IF(E97=F97,"AGREE","DISAGREE"))</x:f>
        <x:v>PENDING</x:v>
      </x:c>
      <x:c r="H97" s="16" t="str">
        <x:v>Y</x:v>
      </x:c>
      <x:c r="I97" s="16" t="str">
        <x:f>Coder_A!F97</x:f>
        <x:v>Sec. 2.2 PAM; Sec. 2.1 NLL; Appendix B split</x:v>
      </x:c>
      <x:c r="J97" s="16" t="n">
        <x:f>Coder_B!F97</x:f>
        <x:v>0</x:v>
      </x:c>
    </x:row>
    <x:row r="98">
      <x:c r="A98" s="16" t="n">
        <x:v>97</x:v>
      </x:c>
      <x:c r="B98" s="16" t="str">
        <x:v>MODEL</x:v>
      </x:c>
      <x:c r="C98" s="16" t="str">
        <x:f>Coder_A!C98</x:f>
        <x:v>PILOT_01_M04</x:v>
      </x:c>
      <x:c r="D98" s="16" t="str">
        <x:v>graph_construction_uses_response_labels</x:v>
      </x:c>
      <x:c r="E98" s="16" t="str">
        <x:f>Coder_A!E98</x:f>
        <x:v>Y</x:v>
      </x:c>
      <x:c r="F98" s="16" t="n">
        <x:f>Coder_B!E98</x:f>
        <x:v>0</x:v>
      </x:c>
      <x:c r="G98" s="16" t="str">
        <x:f>IF(F98="","PENDING",IF(E98=F98,"AGREE","DISAGREE"))</x:f>
        <x:v>PENDING</x:v>
      </x:c>
      <x:c r="H98" s="16" t="str">
        <x:v>Y</x:v>
      </x:c>
      <x:c r="I98" s="16" t="str">
        <x:f>Coder_A!F98</x:f>
        <x:v>Sec. 2.2 PAM; Sec. 2.1 NLL; Appendix B split</x:v>
      </x:c>
      <x:c r="J98" s="16" t="n">
        <x:f>Coder_B!F98</x:f>
        <x:v>0</x:v>
      </x:c>
    </x:row>
    <x:row r="99">
      <x:c r="A99" s="16" t="n">
        <x:v>98</x:v>
      </x:c>
      <x:c r="B99" s="16" t="str">
        <x:v>MODEL</x:v>
      </x:c>
      <x:c r="C99" s="16" t="str">
        <x:f>Coder_A!C99</x:f>
        <x:v>PILOT_01_M04</x:v>
      </x:c>
      <x:c r="D99" s="16" t="str">
        <x:v>graph_construction_uses_test_partition</x:v>
      </x:c>
      <x:c r="E99" s="16" t="str">
        <x:f>Coder_A!E99</x:f>
        <x:v>N</x:v>
      </x:c>
      <x:c r="F99" s="16" t="n">
        <x:f>Coder_B!E99</x:f>
        <x:v>0</x:v>
      </x:c>
      <x:c r="G99" s="16" t="str">
        <x:f>IF(F99="","PENDING",IF(E99=F99,"AGREE","DISAGREE"))</x:f>
        <x:v>PENDING</x:v>
      </x:c>
      <x:c r="H99" s="16" t="str">
        <x:v>Y</x:v>
      </x:c>
      <x:c r="I99" s="16" t="str">
        <x:f>Coder_A!F99</x:f>
        <x:v>Sec. 2.2 PAM; Sec. 2.1 NLL; Appendix B split</x:v>
      </x:c>
      <x:c r="J99" s="16" t="n">
        <x:f>Coder_B!F99</x:f>
        <x:v>0</x:v>
      </x:c>
    </x:row>
    <x:row r="100">
      <x:c r="A100" s="16" t="n">
        <x:v>99</x:v>
      </x:c>
      <x:c r="B100" s="16" t="str">
        <x:v>MODEL</x:v>
      </x:c>
      <x:c r="C100" s="16" t="str">
        <x:f>Coder_A!C100</x:f>
        <x:v>PILOT_01_M04</x:v>
      </x:c>
      <x:c r="D100" s="16" t="str">
        <x:v>graph_representation</x:v>
      </x:c>
      <x:c r="E100" s="16" t="str">
        <x:f>Coder_A!E100</x:f>
        <x:v>KC_KC</x:v>
      </x:c>
      <x:c r="F100" s="16" t="n">
        <x:f>Coder_B!E100</x:f>
        <x:v>0</x:v>
      </x:c>
      <x:c r="G100" s="16" t="str">
        <x:f>IF(F100="","PENDING",IF(E100=F100,"AGREE","DISAGREE"))</x:f>
        <x:v>PENDING</x:v>
      </x:c>
      <x:c r="H100" s="16" t="str">
        <x:v>Y</x:v>
      </x:c>
      <x:c r="I100" s="16" t="str">
        <x:f>Coder_A!F100</x:f>
        <x:v>Sec. 2.2 PAM; Sec. 2.1 NLL; Appendix B split</x:v>
      </x:c>
      <x:c r="J100" s="16" t="n">
        <x:f>Coder_B!F100</x:f>
        <x:v>0</x:v>
      </x:c>
    </x:row>
    <x:row r="101">
      <x:c r="A101" s="16" t="n">
        <x:v>100</x:v>
      </x:c>
      <x:c r="B101" s="16" t="str">
        <x:v>MODEL</x:v>
      </x:c>
      <x:c r="C101" s="16" t="str">
        <x:f>Coder_A!C101</x:f>
        <x:v>PILOT_01_M04</x:v>
      </x:c>
      <x:c r="D101" s="16" t="str">
        <x:v>directed</x:v>
      </x:c>
      <x:c r="E101" s="16" t="str">
        <x:f>Coder_A!E101</x:f>
        <x:v>Y</x:v>
      </x:c>
      <x:c r="F101" s="16" t="n">
        <x:f>Coder_B!E101</x:f>
        <x:v>0</x:v>
      </x:c>
      <x:c r="G101" s="16" t="str">
        <x:f>IF(F101="","PENDING",IF(E101=F101,"AGREE","DISAGREE"))</x:f>
        <x:v>PENDING</x:v>
      </x:c>
      <x:c r="H101" s="16" t="str">
        <x:v>Y</x:v>
      </x:c>
      <x:c r="I101" s="16" t="str">
        <x:f>Coder_A!F101</x:f>
        <x:v>Sec. 2.2 PAM; Sec. 2.1 NLL; Appendix B split</x:v>
      </x:c>
      <x:c r="J101" s="16" t="n">
        <x:f>Coder_B!F101</x:f>
        <x:v>0</x:v>
      </x:c>
    </x:row>
    <x:row r="102">
      <x:c r="A102" s="16" t="n">
        <x:v>101</x:v>
      </x:c>
      <x:c r="B102" s="16" t="str">
        <x:v>MODEL</x:v>
      </x:c>
      <x:c r="C102" s="16" t="str">
        <x:f>Coder_A!C102</x:f>
        <x:v>PILOT_01_M04</x:v>
      </x:c>
      <x:c r="D102" s="16" t="str">
        <x:v>weighted</x:v>
      </x:c>
      <x:c r="E102" s="16" t="str">
        <x:f>Coder_A!E102</x:f>
        <x:v>Y</x:v>
      </x:c>
      <x:c r="F102" s="16" t="n">
        <x:f>Coder_B!E102</x:f>
        <x:v>0</x:v>
      </x:c>
      <x:c r="G102" s="16" t="str">
        <x:f>IF(F102="","PENDING",IF(E102=F102,"AGREE","DISAGREE"))</x:f>
        <x:v>PENDING</x:v>
      </x:c>
      <x:c r="H102" s="16" t="str">
        <x:v>Y</x:v>
      </x:c>
      <x:c r="I102" s="16" t="str">
        <x:f>Coder_A!F102</x:f>
        <x:v>Sec. 2.2 PAM; Sec. 2.1 NLL; Appendix B split</x:v>
      </x:c>
      <x:c r="J102" s="16" t="n">
        <x:f>Coder_B!F102</x:f>
        <x:v>0</x:v>
      </x:c>
    </x:row>
    <x:row r="103">
      <x:c r="A103" s="16" t="n">
        <x:v>102</x:v>
      </x:c>
      <x:c r="B103" s="16" t="str">
        <x:v>MODEL</x:v>
      </x:c>
      <x:c r="C103" s="16" t="str">
        <x:f>Coder_A!C103</x:f>
        <x:v>PILOT_01_M04</x:v>
      </x:c>
      <x:c r="D103" s="16" t="str">
        <x:v>typed_edges</x:v>
      </x:c>
      <x:c r="E103" s="16" t="str">
        <x:f>Coder_A!E103</x:f>
        <x:v>Y</x:v>
      </x:c>
      <x:c r="F103" s="16" t="n">
        <x:f>Coder_B!E103</x:f>
        <x:v>0</x:v>
      </x:c>
      <x:c r="G103" s="16" t="str">
        <x:f>IF(F103="","PENDING",IF(E103=F103,"AGREE","DISAGREE"))</x:f>
        <x:v>PENDING</x:v>
      </x:c>
      <x:c r="H103" s="16" t="str">
        <x:v>Y</x:v>
      </x:c>
      <x:c r="I103" s="16" t="str">
        <x:f>Coder_A!F103</x:f>
        <x:v>Sec. 2.2 PAM; Sec. 2.1 NLL; Appendix B split</x:v>
      </x:c>
      <x:c r="J103" s="16" t="n">
        <x:f>Coder_B!F103</x:f>
        <x:v>0</x:v>
      </x:c>
    </x:row>
    <x:row r="104">
      <x:c r="A104" s="16" t="n">
        <x:v>103</x:v>
      </x:c>
      <x:c r="B104" s="16" t="str">
        <x:v>MODEL</x:v>
      </x:c>
      <x:c r="C104" s="16" t="str">
        <x:f>Coder_A!C104</x:f>
        <x:v>PILOT_01_M04</x:v>
      </x:c>
      <x:c r="D104" s="16" t="str">
        <x:v>dynamic</x:v>
      </x:c>
      <x:c r="E104" s="16" t="str">
        <x:f>Coder_A!E104</x:f>
        <x:v>N</x:v>
      </x:c>
      <x:c r="F104" s="16" t="n">
        <x:f>Coder_B!E104</x:f>
        <x:v>0</x:v>
      </x:c>
      <x:c r="G104" s="16" t="str">
        <x:f>IF(F104="","PENDING",IF(E104=F104,"AGREE","DISAGREE"))</x:f>
        <x:v>PENDING</x:v>
      </x:c>
      <x:c r="H104" s="16" t="str">
        <x:v>Y</x:v>
      </x:c>
      <x:c r="I104" s="16" t="str">
        <x:f>Coder_A!F104</x:f>
        <x:v>Sec. 2.2 PAM; Sec. 2.1 NLL; Appendix B split</x:v>
      </x:c>
      <x:c r="J104" s="16" t="n">
        <x:f>Coder_B!F104</x:f>
        <x:v>0</x:v>
      </x:c>
    </x:row>
    <x:row r="105">
      <x:c r="A105" s="16" t="n">
        <x:v>104</x:v>
      </x:c>
      <x:c r="B105" s="16" t="str">
        <x:v>MODEL</x:v>
      </x:c>
      <x:c r="C105" s="16" t="str">
        <x:f>Coder_A!C105</x:f>
        <x:v>PILOT_01_M04</x:v>
      </x:c>
      <x:c r="D105" s="16" t="str">
        <x:v>dag_enforced</x:v>
      </x:c>
      <x:c r="E105" s="16" t="str">
        <x:f>Coder_A!E105</x:f>
        <x:v>N</x:v>
      </x:c>
      <x:c r="F105" s="16" t="n">
        <x:f>Coder_B!E105</x:f>
        <x:v>0</x:v>
      </x:c>
      <x:c r="G105" s="16" t="str">
        <x:f>IF(F105="","PENDING",IF(E105=F105,"AGREE","DISAGREE"))</x:f>
        <x:v>PENDING</x:v>
      </x:c>
      <x:c r="H105" s="16" t="str">
        <x:v>Y</x:v>
      </x:c>
      <x:c r="I105" s="16" t="str">
        <x:f>Coder_A!F105</x:f>
        <x:v>Sec. 2.2 PAM; Sec. 2.1 NLL; Appendix B split</x:v>
      </x:c>
      <x:c r="J105" s="16" t="n">
        <x:f>Coder_B!F105</x:f>
        <x:v>0</x:v>
      </x:c>
    </x:row>
    <x:row r="106">
      <x:c r="A106" s="16" t="n">
        <x:v>105</x:v>
      </x:c>
      <x:c r="B106" s="16" t="str">
        <x:v>MODEL</x:v>
      </x:c>
      <x:c r="C106" s="16" t="str">
        <x:f>Coder_A!C106</x:f>
        <x:v>PILOT_01_M04</x:v>
      </x:c>
      <x:c r="D106" s="16" t="str">
        <x:v>edge_confidence_used</x:v>
      </x:c>
      <x:c r="E106" s="16" t="str">
        <x:f>Coder_A!E106</x:f>
        <x:v>N</x:v>
      </x:c>
      <x:c r="F106" s="16" t="n">
        <x:f>Coder_B!E106</x:f>
        <x:v>0</x:v>
      </x:c>
      <x:c r="G106" s="16" t="str">
        <x:f>IF(F106="","PENDING",IF(E106=F106,"AGREE","DISAGREE"))</x:f>
        <x:v>PENDING</x:v>
      </x:c>
      <x:c r="H106" s="16" t="str">
        <x:v>Y</x:v>
      </x:c>
      <x:c r="I106" s="16" t="str">
        <x:f>Coder_A!F106</x:f>
        <x:v>Sec. 2.2 PAM; Sec. 2.1 NLL; Appendix B split</x:v>
      </x:c>
      <x:c r="J106" s="16" t="n">
        <x:f>Coder_B!F106</x:f>
        <x:v>0</x:v>
      </x:c>
    </x:row>
    <x:row r="107">
      <x:c r="A107" s="16" t="n">
        <x:v>106</x:v>
      </x:c>
      <x:c r="B107" s="16" t="str">
        <x:v>MODEL</x:v>
      </x:c>
      <x:c r="C107" s="16" t="str">
        <x:f>Coder_A!C107</x:f>
        <x:v>PILOT_01_M04</x:v>
      </x:c>
      <x:c r="D107" s="16" t="str">
        <x:v>gnn_encoder</x:v>
      </x:c>
      <x:c r="E107" s="16" t="str">
        <x:f>Coder_A!E107</x:f>
        <x:v>OTHER</x:v>
      </x:c>
      <x:c r="F107" s="16" t="n">
        <x:f>Coder_B!E107</x:f>
        <x:v>0</x:v>
      </x:c>
      <x:c r="G107" s="16" t="str">
        <x:f>IF(F107="","PENDING",IF(E107=F107,"AGREE","DISAGREE"))</x:f>
        <x:v>PENDING</x:v>
      </x:c>
      <x:c r="H107" s="16" t="str">
        <x:v>Y</x:v>
      </x:c>
      <x:c r="I107" s="16" t="str">
        <x:f>Coder_A!F107</x:f>
        <x:v>Sec. 2.2 PAM; Sec. 2.1 NLL; Appendix B split</x:v>
      </x:c>
      <x:c r="J107" s="16" t="n">
        <x:f>Coder_B!F107</x:f>
        <x:v>0</x:v>
      </x:c>
    </x:row>
    <x:row r="108">
      <x:c r="A108" s="16" t="n">
        <x:v>107</x:v>
      </x:c>
      <x:c r="B108" s="16" t="str">
        <x:v>MODEL</x:v>
      </x:c>
      <x:c r="C108" s="16" t="str">
        <x:f>Coder_A!C108</x:f>
        <x:v>PILOT_01_M04</x:v>
      </x:c>
      <x:c r="D108" s="16" t="str">
        <x:v>temporal_backbone</x:v>
      </x:c>
      <x:c r="E108" s="16" t="str">
        <x:f>Coder_A!E108</x:f>
        <x:v>RNN_LSTM_GRU</x:v>
      </x:c>
      <x:c r="F108" s="16" t="n">
        <x:f>Coder_B!E108</x:f>
        <x:v>0</x:v>
      </x:c>
      <x:c r="G108" s="16" t="str">
        <x:f>IF(F108="","PENDING",IF(E108=F108,"AGREE","DISAGREE"))</x:f>
        <x:v>PENDING</x:v>
      </x:c>
      <x:c r="H108" s="16" t="str">
        <x:v>Y</x:v>
      </x:c>
      <x:c r="I108" s="16" t="str">
        <x:f>Coder_A!F108</x:f>
        <x:v>Sec. 2.2 PAM; Sec. 2.1 NLL; Appendix B split</x:v>
      </x:c>
      <x:c r="J108" s="16" t="n">
        <x:f>Coder_B!F108</x:f>
        <x:v>0</x:v>
      </x:c>
    </x:row>
    <x:row r="109">
      <x:c r="A109" s="16" t="n">
        <x:v>108</x:v>
      </x:c>
      <x:c r="B109" s="16" t="str">
        <x:v>MODEL</x:v>
      </x:c>
      <x:c r="C109" s="16" t="str">
        <x:f>Coder_A!C109</x:f>
        <x:v>PILOT_01_M04</x:v>
      </x:c>
      <x:c r="D109" s="16" t="str">
        <x:v>semantic_auxiliary_encoder</x:v>
      </x:c>
      <x:c r="E109" s="16" t="str">
        <x:f>Coder_A!E109</x:f>
        <x:v>NA</x:v>
      </x:c>
      <x:c r="F109" s="16" t="n">
        <x:f>Coder_B!E109</x:f>
        <x:v>0</x:v>
      </x:c>
      <x:c r="G109" s="16" t="str">
        <x:f>IF(F109="","PENDING",IF(E109=F109,"AGREE","DISAGREE"))</x:f>
        <x:v>PENDING</x:v>
      </x:c>
      <x:c r="H109" s="16" t="str">
        <x:v>Y</x:v>
      </x:c>
      <x:c r="I109" s="16" t="str">
        <x:f>Coder_A!F109</x:f>
        <x:v>Sec. 2.2 PAM; Sec. 2.1 NLL; Appendix B split</x:v>
      </x:c>
      <x:c r="J109" s="16" t="n">
        <x:f>Coder_B!F109</x:f>
        <x:v>0</x:v>
      </x:c>
    </x:row>
    <x:row r="110">
      <x:c r="A110" s="16" t="n">
        <x:v>109</x:v>
      </x:c>
      <x:c r="B110" s="16" t="str">
        <x:v>MODEL</x:v>
      </x:c>
      <x:c r="C110" s="16" t="str">
        <x:f>Coder_A!C110</x:f>
        <x:v>PILOT_01_M04</x:v>
      </x:c>
      <x:c r="D110" s="16" t="str">
        <x:v>fusion_type</x:v>
      </x:c>
      <x:c r="E110" s="16" t="str">
        <x:f>Coder_A!E110</x:f>
        <x:v>MESSAGE_PASSING_IN_PREDICTION_LOOP</x:v>
      </x:c>
      <x:c r="F110" s="16" t="n">
        <x:f>Coder_B!E110</x:f>
        <x:v>0</x:v>
      </x:c>
      <x:c r="G110" s="16" t="str">
        <x:f>IF(F110="","PENDING",IF(E110=F110,"AGREE","DISAGREE"))</x:f>
        <x:v>PENDING</x:v>
      </x:c>
      <x:c r="H110" s="16" t="str">
        <x:v>Y</x:v>
      </x:c>
      <x:c r="I110" s="16" t="str">
        <x:f>Coder_A!F110</x:f>
        <x:v>Sec. 2.2 PAM; Sec. 2.1 NLL; Appendix B split</x:v>
      </x:c>
      <x:c r="J110" s="16" t="n">
        <x:f>Coder_B!F110</x:f>
        <x:v>0</x:v>
      </x:c>
    </x:row>
    <x:row r="111">
      <x:c r="A111" s="16" t="n">
        <x:v>110</x:v>
      </x:c>
      <x:c r="B111" s="16" t="str">
        <x:v>MODEL</x:v>
      </x:c>
      <x:c r="C111" s="16" t="str">
        <x:f>Coder_A!C111</x:f>
        <x:v>PILOT_01_M04</x:v>
      </x:c>
      <x:c r="D111" s="16" t="str">
        <x:v>fusion_location</x:v>
      </x:c>
      <x:c r="E111" s="16" t="str">
        <x:f>Coder_A!E111</x:f>
        <x:v>HIDDEN_STATE</x:v>
      </x:c>
      <x:c r="F111" s="16" t="n">
        <x:f>Coder_B!E111</x:f>
        <x:v>0</x:v>
      </x:c>
      <x:c r="G111" s="16" t="str">
        <x:f>IF(F111="","PENDING",IF(E111=F111,"AGREE","DISAGREE"))</x:f>
        <x:v>PENDING</x:v>
      </x:c>
      <x:c r="H111" s="16" t="str">
        <x:v>Y</x:v>
      </x:c>
      <x:c r="I111" s="16" t="str">
        <x:f>Coder_A!F111</x:f>
        <x:v>Sec. 2.2 PAM; Sec. 2.1 NLL; Appendix B split</x:v>
      </x:c>
      <x:c r="J111" s="16" t="n">
        <x:f>Coder_B!F111</x:f>
        <x:v>0</x:v>
      </x:c>
    </x:row>
    <x:row r="112">
      <x:c r="A112" s="16" t="n">
        <x:v>111</x:v>
      </x:c>
      <x:c r="B112" s="16" t="str">
        <x:v>MODEL</x:v>
      </x:c>
      <x:c r="C112" s="16" t="str">
        <x:f>Coder_A!C112</x:f>
        <x:v>PILOT_01_M04</x:v>
      </x:c>
      <x:c r="D112" s="16" t="str">
        <x:v>ssl_family</x:v>
      </x:c>
      <x:c r="E112" s="16" t="str">
        <x:f>Coder_A!E112</x:f>
        <x:v>NONE</x:v>
      </x:c>
      <x:c r="F112" s="16" t="n">
        <x:f>Coder_B!E112</x:f>
        <x:v>0</x:v>
      </x:c>
      <x:c r="G112" s="16" t="str">
        <x:f>IF(F112="","PENDING",IF(E112=F112,"AGREE","DISAGREE"))</x:f>
        <x:v>PENDING</x:v>
      </x:c>
      <x:c r="H112" s="16" t="str">
        <x:v>Y</x:v>
      </x:c>
      <x:c r="I112" s="16" t="str">
        <x:f>Coder_A!F112</x:f>
        <x:v>Sec. 2.2 PAM; Sec. 2.1 NLL; Appendix B split</x:v>
      </x:c>
      <x:c r="J112" s="16" t="n">
        <x:f>Coder_B!F112</x:f>
        <x:v>0</x:v>
      </x:c>
    </x:row>
    <x:row r="113">
      <x:c r="A113" s="16" t="n">
        <x:v>112</x:v>
      </x:c>
      <x:c r="B113" s="16" t="str">
        <x:v>MODEL</x:v>
      </x:c>
      <x:c r="C113" s="16" t="str">
        <x:f>Coder_A!C113</x:f>
        <x:v>PILOT_01_M04</x:v>
      </x:c>
      <x:c r="D113" s="16" t="str">
        <x:v>non_ssl_pretraining</x:v>
      </x:c>
      <x:c r="E113" s="16" t="str">
        <x:f>Coder_A!E113</x:f>
        <x:v>N</x:v>
      </x:c>
      <x:c r="F113" s="16" t="n">
        <x:f>Coder_B!E113</x:f>
        <x:v>0</x:v>
      </x:c>
      <x:c r="G113" s="16" t="str">
        <x:f>IF(F113="","PENDING",IF(E113=F113,"AGREE","DISAGREE"))</x:f>
        <x:v>PENDING</x:v>
      </x:c>
      <x:c r="H113" s="16" t="str">
        <x:v>Y</x:v>
      </x:c>
      <x:c r="I113" s="16" t="str">
        <x:f>Coder_A!F113</x:f>
        <x:v>Sec. 2.2 PAM; Sec. 2.1 NLL; Appendix B split</x:v>
      </x:c>
      <x:c r="J113" s="16" t="n">
        <x:f>Coder_B!F113</x:f>
        <x:v>0</x:v>
      </x:c>
    </x:row>
    <x:row r="114">
      <x:c r="A114" s="16" t="n">
        <x:v>113</x:v>
      </x:c>
      <x:c r="B114" s="16" t="str">
        <x:v>MODEL</x:v>
      </x:c>
      <x:c r="C114" s="16" t="str">
        <x:f>Coder_A!C114</x:f>
        <x:v>PILOT_01_M04</x:v>
      </x:c>
      <x:c r="D114" s="16" t="str">
        <x:v>ssl_training_mode</x:v>
      </x:c>
      <x:c r="E114" s="16" t="str">
        <x:f>Coder_A!E114</x:f>
        <x:v>NA</x:v>
      </x:c>
      <x:c r="F114" s="16" t="n">
        <x:f>Coder_B!E114</x:f>
        <x:v>0</x:v>
      </x:c>
      <x:c r="G114" s="16" t="str">
        <x:f>IF(F114="","PENDING",IF(E114=F114,"AGREE","DISAGREE"))</x:f>
        <x:v>PENDING</x:v>
      </x:c>
      <x:c r="H114" s="16" t="str">
        <x:v>Y</x:v>
      </x:c>
      <x:c r="I114" s="16" t="str">
        <x:f>Coder_A!F114</x:f>
        <x:v>Sec. 2.2 PAM; Sec. 2.1 NLL; Appendix B split</x:v>
      </x:c>
      <x:c r="J114" s="16" t="n">
        <x:f>Coder_B!F114</x:f>
        <x:v>0</x:v>
      </x:c>
    </x:row>
    <x:row r="115">
      <x:c r="A115" s="16" t="n">
        <x:v>114</x:v>
      </x:c>
      <x:c r="B115" s="16" t="str">
        <x:v>MODEL</x:v>
      </x:c>
      <x:c r="C115" s="16" t="str">
        <x:f>Coder_A!C115</x:f>
        <x:v>PILOT_01_M04</x:v>
      </x:c>
      <x:c r="D115" s="16" t="str">
        <x:v>ssl_target_level</x:v>
      </x:c>
      <x:c r="E115" s="16" t="str">
        <x:f>Coder_A!E115</x:f>
        <x:v>NA</x:v>
      </x:c>
      <x:c r="F115" s="16" t="n">
        <x:f>Coder_B!E115</x:f>
        <x:v>0</x:v>
      </x:c>
      <x:c r="G115" s="16" t="str">
        <x:f>IF(F115="","PENDING",IF(E115=F115,"AGREE","DISAGREE"))</x:f>
        <x:v>PENDING</x:v>
      </x:c>
      <x:c r="H115" s="16" t="str">
        <x:v>Y</x:v>
      </x:c>
      <x:c r="I115" s="16" t="str">
        <x:f>Coder_A!F115</x:f>
        <x:v>Sec. 2.2 PAM; Sec. 2.1 NLL; Appendix B split</x:v>
      </x:c>
      <x:c r="J115" s="16" t="n">
        <x:f>Coder_B!F115</x:f>
        <x:v>0</x:v>
      </x:c>
    </x:row>
    <x:row r="116">
      <x:c r="A116" s="16" t="n">
        <x:v>115</x:v>
      </x:c>
      <x:c r="B116" s="16" t="str">
        <x:v>MODEL</x:v>
      </x:c>
      <x:c r="C116" s="16" t="str">
        <x:f>Coder_A!C116</x:f>
        <x:v>PILOT_01_M04</x:v>
      </x:c>
      <x:c r="D116" s="16" t="str">
        <x:v>augmentation_type</x:v>
      </x:c>
      <x:c r="E116" s="16" t="str">
        <x:f>Coder_A!E116</x:f>
        <x:v>NO_EXPLICIT_AUGMENTATION</x:v>
      </x:c>
      <x:c r="F116" s="16" t="n">
        <x:f>Coder_B!E116</x:f>
        <x:v>0</x:v>
      </x:c>
      <x:c r="G116" s="16" t="str">
        <x:f>IF(F116="","PENDING",IF(E116=F116,"AGREE","DISAGREE"))</x:f>
        <x:v>PENDING</x:v>
      </x:c>
      <x:c r="H116" s="16" t="str">
        <x:v>Y</x:v>
      </x:c>
      <x:c r="I116" s="16" t="str">
        <x:f>Coder_A!F116</x:f>
        <x:v>Sec. 2.2 PAM; Sec. 2.1 NLL; Appendix B split</x:v>
      </x:c>
      <x:c r="J116" s="16" t="n">
        <x:f>Coder_B!F116</x:f>
        <x:v>0</x:v>
      </x:c>
    </x:row>
    <x:row r="117">
      <x:c r="A117" s="16" t="n">
        <x:v>116</x:v>
      </x:c>
      <x:c r="B117" s="16" t="str">
        <x:v>MODEL</x:v>
      </x:c>
      <x:c r="C117" s="16" t="str">
        <x:f>Coder_A!C117</x:f>
        <x:v>PILOT_01_M04</x:v>
      </x:c>
      <x:c r="D117" s="16" t="str">
        <x:v>educational_structure_preservation</x:v>
      </x:c>
      <x:c r="E117" s="16" t="str">
        <x:f>Coder_A!E117</x:f>
        <x:v>NO_AUGMENTATION</x:v>
      </x:c>
      <x:c r="F117" s="16" t="n">
        <x:f>Coder_B!E117</x:f>
        <x:v>0</x:v>
      </x:c>
      <x:c r="G117" s="16" t="str">
        <x:f>IF(F117="","PENDING",IF(E117=F117,"AGREE","DISAGREE"))</x:f>
        <x:v>PENDING</x:v>
      </x:c>
      <x:c r="H117" s="16" t="str">
        <x:v>Y</x:v>
      </x:c>
      <x:c r="I117" s="16" t="str">
        <x:f>Coder_A!F117</x:f>
        <x:v>Sec. 2.2 PAM; Sec. 2.1 NLL; Appendix B split</x:v>
      </x:c>
      <x:c r="J117" s="16" t="n">
        <x:f>Coder_B!F117</x:f>
        <x:v>0</x:v>
      </x:c>
    </x:row>
    <x:row r="118">
      <x:c r="A118" s="16" t="n">
        <x:v>117</x:v>
      </x:c>
      <x:c r="B118" s="16" t="str">
        <x:v>MODEL</x:v>
      </x:c>
      <x:c r="C118" s="16" t="str">
        <x:f>Coder_A!C118</x:f>
        <x:v>PILOT_01_M04</x:v>
      </x:c>
      <x:c r="D118" s="16" t="str">
        <x:v>augmentation_validity_ablation</x:v>
      </x:c>
      <x:c r="E118" s="16" t="str">
        <x:f>Coder_A!E118</x:f>
        <x:v>NA</x:v>
      </x:c>
      <x:c r="F118" s="16" t="n">
        <x:f>Coder_B!E118</x:f>
        <x:v>0</x:v>
      </x:c>
      <x:c r="G118" s="16" t="str">
        <x:f>IF(F118="","PENDING",IF(E118=F118,"AGREE","DISAGREE"))</x:f>
        <x:v>PENDING</x:v>
      </x:c>
      <x:c r="H118" s="16" t="str">
        <x:v>Y</x:v>
      </x:c>
      <x:c r="I118" s="16" t="str">
        <x:f>Coder_A!F118</x:f>
        <x:v>Sec. 2.2 PAM; Sec. 2.1 NLL; Appendix B split</x:v>
      </x:c>
      <x:c r="J118" s="16" t="n">
        <x:f>Coder_B!F118</x:f>
        <x:v>0</x:v>
      </x:c>
    </x:row>
    <x:row r="119">
      <x:c r="A119" s="16" t="n">
        <x:v>118</x:v>
      </x:c>
      <x:c r="B119" s="16" t="str">
        <x:v>MODEL</x:v>
      </x:c>
      <x:c r="C119" s="16" t="str">
        <x:f>Coder_A!C119</x:f>
        <x:v>PILOT_01_M05</x:v>
      </x:c>
      <x:c r="D119" s="16" t="str">
        <x:v>graph_source</x:v>
      </x:c>
      <x:c r="E119" s="16" t="str">
        <x:f>Coder_A!E119</x:f>
        <x:v>LEARNED_FROM_INTERACTIONS</x:v>
      </x:c>
      <x:c r="F119" s="16" t="n">
        <x:f>Coder_B!E119</x:f>
        <x:v>0</x:v>
      </x:c>
      <x:c r="G119" s="16" t="str">
        <x:f>IF(F119="","PENDING",IF(E119=F119,"AGREE","DISAGREE"))</x:f>
        <x:v>PENDING</x:v>
      </x:c>
      <x:c r="H119" s="16" t="str">
        <x:v>Y</x:v>
      </x:c>
      <x:c r="I119" s="16" t="str">
        <x:f>Coder_A!F119</x:f>
        <x:v>Sec. 2.2 MHA; Sec. 2.1 NLL; Appendix B</x:v>
      </x:c>
      <x:c r="J119" s="16" t="n">
        <x:f>Coder_B!F119</x:f>
        <x:v>0</x:v>
      </x:c>
    </x:row>
    <x:row r="120">
      <x:c r="A120" s="16" t="n">
        <x:v>119</x:v>
      </x:c>
      <x:c r="B120" s="16" t="str">
        <x:v>MODEL</x:v>
      </x:c>
      <x:c r="C120" s="16" t="str">
        <x:f>Coder_A!C120</x:f>
        <x:v>PILOT_01_M05</x:v>
      </x:c>
      <x:c r="D120" s="16" t="str">
        <x:v>graph_provenance</x:v>
      </x:c>
      <x:c r="E120" s="16" t="str">
        <x:f>Coder_A!E120</x:f>
        <x:v>JOINTLY_LEARNED_TRAINING</x:v>
      </x:c>
      <x:c r="F120" s="16" t="n">
        <x:f>Coder_B!E120</x:f>
        <x:v>0</x:v>
      </x:c>
      <x:c r="G120" s="16" t="str">
        <x:f>IF(F120="","PENDING",IF(E120=F120,"AGREE","DISAGREE"))</x:f>
        <x:v>PENDING</x:v>
      </x:c>
      <x:c r="H120" s="16" t="str">
        <x:v>Y</x:v>
      </x:c>
      <x:c r="I120" s="16" t="str">
        <x:f>Coder_A!F120</x:f>
        <x:v>Sec. 2.2 MHA; Sec. 2.1 NLL; Appendix B</x:v>
      </x:c>
      <x:c r="J120" s="16" t="n">
        <x:f>Coder_B!F120</x:f>
        <x:v>0</x:v>
      </x:c>
    </x:row>
    <x:row r="121">
      <x:c r="A121" s="16" t="n">
        <x:v>120</x:v>
      </x:c>
      <x:c r="B121" s="16" t="str">
        <x:v>MODEL</x:v>
      </x:c>
      <x:c r="C121" s="16" t="str">
        <x:f>Coder_A!C121</x:f>
        <x:v>PILOT_01_M05</x:v>
      </x:c>
      <x:c r="D121" s="16" t="str">
        <x:v>graph_leakage_risk</x:v>
      </x:c>
      <x:c r="E121" s="16" t="str">
        <x:f>Coder_A!E121</x:f>
        <x:v>LOW</x:v>
      </x:c>
      <x:c r="F121" s="16" t="n">
        <x:f>Coder_B!E121</x:f>
        <x:v>0</x:v>
      </x:c>
      <x:c r="G121" s="16" t="str">
        <x:f>IF(F121="","PENDING",IF(E121=F121,"AGREE","DISAGREE"))</x:f>
        <x:v>PENDING</x:v>
      </x:c>
      <x:c r="H121" s="16" t="str">
        <x:v>Y</x:v>
      </x:c>
      <x:c r="I121" s="16" t="str">
        <x:f>Coder_A!F121</x:f>
        <x:v>Sec. 2.2 MHA; Sec. 2.1 NLL; Appendix B</x:v>
      </x:c>
      <x:c r="J121" s="16" t="n">
        <x:f>Coder_B!F121</x:f>
        <x:v>0</x:v>
      </x:c>
    </x:row>
    <x:row r="122">
      <x:c r="A122" s="16" t="n">
        <x:v>121</x:v>
      </x:c>
      <x:c r="B122" s="16" t="str">
        <x:v>MODEL</x:v>
      </x:c>
      <x:c r="C122" s="16" t="str">
        <x:f>Coder_A!C122</x:f>
        <x:v>PILOT_01_M05</x:v>
      </x:c>
      <x:c r="D122" s="16" t="str">
        <x:v>graph_construction_uses_response_labels</x:v>
      </x:c>
      <x:c r="E122" s="16" t="str">
        <x:f>Coder_A!E122</x:f>
        <x:v>Y</x:v>
      </x:c>
      <x:c r="F122" s="16" t="n">
        <x:f>Coder_B!E122</x:f>
        <x:v>0</x:v>
      </x:c>
      <x:c r="G122" s="16" t="str">
        <x:f>IF(F122="","PENDING",IF(E122=F122,"AGREE","DISAGREE"))</x:f>
        <x:v>PENDING</x:v>
      </x:c>
      <x:c r="H122" s="16" t="str">
        <x:v>Y</x:v>
      </x:c>
      <x:c r="I122" s="16" t="str">
        <x:f>Coder_A!F122</x:f>
        <x:v>Sec. 2.2 MHA; Sec. 2.1 NLL; Appendix B</x:v>
      </x:c>
      <x:c r="J122" s="16" t="n">
        <x:f>Coder_B!F122</x:f>
        <x:v>0</x:v>
      </x:c>
    </x:row>
    <x:row r="123">
      <x:c r="A123" s="16" t="n">
        <x:v>122</x:v>
      </x:c>
      <x:c r="B123" s="16" t="str">
        <x:v>MODEL</x:v>
      </x:c>
      <x:c r="C123" s="16" t="str">
        <x:f>Coder_A!C123</x:f>
        <x:v>PILOT_01_M05</x:v>
      </x:c>
      <x:c r="D123" s="16" t="str">
        <x:v>graph_construction_uses_test_partition</x:v>
      </x:c>
      <x:c r="E123" s="16" t="str">
        <x:f>Coder_A!E123</x:f>
        <x:v>N</x:v>
      </x:c>
      <x:c r="F123" s="16" t="n">
        <x:f>Coder_B!E123</x:f>
        <x:v>0</x:v>
      </x:c>
      <x:c r="G123" s="16" t="str">
        <x:f>IF(F123="","PENDING",IF(E123=F123,"AGREE","DISAGREE"))</x:f>
        <x:v>PENDING</x:v>
      </x:c>
      <x:c r="H123" s="16" t="str">
        <x:v>Y</x:v>
      </x:c>
      <x:c r="I123" s="16" t="str">
        <x:f>Coder_A!F123</x:f>
        <x:v>Sec. 2.2 MHA; Sec. 2.1 NLL; Appendix B</x:v>
      </x:c>
      <x:c r="J123" s="16" t="n">
        <x:f>Coder_B!F123</x:f>
        <x:v>0</x:v>
      </x:c>
    </x:row>
    <x:row r="124">
      <x:c r="A124" s="16" t="n">
        <x:v>123</x:v>
      </x:c>
      <x:c r="B124" s="16" t="str">
        <x:v>MODEL</x:v>
      </x:c>
      <x:c r="C124" s="16" t="str">
        <x:f>Coder_A!C124</x:f>
        <x:v>PILOT_01_M05</x:v>
      </x:c>
      <x:c r="D124" s="16" t="str">
        <x:v>graph_representation</x:v>
      </x:c>
      <x:c r="E124" s="16" t="str">
        <x:f>Coder_A!E124</x:f>
        <x:v>KC_KC</x:v>
      </x:c>
      <x:c r="F124" s="16" t="n">
        <x:f>Coder_B!E124</x:f>
        <x:v>0</x:v>
      </x:c>
      <x:c r="G124" s="16" t="str">
        <x:f>IF(F124="","PENDING",IF(E124=F124,"AGREE","DISAGREE"))</x:f>
        <x:v>PENDING</x:v>
      </x:c>
      <x:c r="H124" s="16" t="str">
        <x:v>Y</x:v>
      </x:c>
      <x:c r="I124" s="16" t="str">
        <x:f>Coder_A!F124</x:f>
        <x:v>Sec. 2.2 MHA; Sec. 2.1 NLL; Appendix B</x:v>
      </x:c>
      <x:c r="J124" s="16" t="n">
        <x:f>Coder_B!F124</x:f>
        <x:v>0</x:v>
      </x:c>
    </x:row>
    <x:row r="125">
      <x:c r="A125" s="16" t="n">
        <x:v>124</x:v>
      </x:c>
      <x:c r="B125" s="16" t="str">
        <x:v>MODEL</x:v>
      </x:c>
      <x:c r="C125" s="16" t="str">
        <x:f>Coder_A!C125</x:f>
        <x:v>PILOT_01_M05</x:v>
      </x:c>
      <x:c r="D125" s="16" t="str">
        <x:v>directed</x:v>
      </x:c>
      <x:c r="E125" s="16" t="str">
        <x:f>Coder_A!E125</x:f>
        <x:v>Y</x:v>
      </x:c>
      <x:c r="F125" s="16" t="n">
        <x:f>Coder_B!E125</x:f>
        <x:v>0</x:v>
      </x:c>
      <x:c r="G125" s="16" t="str">
        <x:f>IF(F125="","PENDING",IF(E125=F125,"AGREE","DISAGREE"))</x:f>
        <x:v>PENDING</x:v>
      </x:c>
      <x:c r="H125" s="16" t="str">
        <x:v>Y</x:v>
      </x:c>
      <x:c r="I125" s="16" t="str">
        <x:f>Coder_A!F125</x:f>
        <x:v>Sec. 2.2 MHA; Sec. 2.1 NLL; Appendix B</x:v>
      </x:c>
      <x:c r="J125" s="16" t="n">
        <x:f>Coder_B!F125</x:f>
        <x:v>0</x:v>
      </x:c>
    </x:row>
    <x:row r="126">
      <x:c r="A126" s="16" t="n">
        <x:v>125</x:v>
      </x:c>
      <x:c r="B126" s="16" t="str">
        <x:v>MODEL</x:v>
      </x:c>
      <x:c r="C126" s="16" t="str">
        <x:f>Coder_A!C126</x:f>
        <x:v>PILOT_01_M05</x:v>
      </x:c>
      <x:c r="D126" s="16" t="str">
        <x:v>weighted</x:v>
      </x:c>
      <x:c r="E126" s="16" t="str">
        <x:f>Coder_A!E126</x:f>
        <x:v>Y</x:v>
      </x:c>
      <x:c r="F126" s="16" t="n">
        <x:f>Coder_B!E126</x:f>
        <x:v>0</x:v>
      </x:c>
      <x:c r="G126" s="16" t="str">
        <x:f>IF(F126="","PENDING",IF(E126=F126,"AGREE","DISAGREE"))</x:f>
        <x:v>PENDING</x:v>
      </x:c>
      <x:c r="H126" s="16" t="str">
        <x:v>Y</x:v>
      </x:c>
      <x:c r="I126" s="16" t="str">
        <x:f>Coder_A!F126</x:f>
        <x:v>Sec. 2.2 MHA; Sec. 2.1 NLL; Appendix B</x:v>
      </x:c>
      <x:c r="J126" s="16" t="n">
        <x:f>Coder_B!F126</x:f>
        <x:v>0</x:v>
      </x:c>
    </x:row>
    <x:row r="127">
      <x:c r="A127" s="16" t="n">
        <x:v>126</x:v>
      </x:c>
      <x:c r="B127" s="16" t="str">
        <x:v>MODEL</x:v>
      </x:c>
      <x:c r="C127" s="16" t="str">
        <x:f>Coder_A!C127</x:f>
        <x:v>PILOT_01_M05</x:v>
      </x:c>
      <x:c r="D127" s="16" t="str">
        <x:v>typed_edges</x:v>
      </x:c>
      <x:c r="E127" s="16" t="str">
        <x:f>Coder_A!E127</x:f>
        <x:v>N</x:v>
      </x:c>
      <x:c r="F127" s="16" t="n">
        <x:f>Coder_B!E127</x:f>
        <x:v>0</x:v>
      </x:c>
      <x:c r="G127" s="16" t="str">
        <x:f>IF(F127="","PENDING",IF(E127=F127,"AGREE","DISAGREE"))</x:f>
        <x:v>PENDING</x:v>
      </x:c>
      <x:c r="H127" s="16" t="str">
        <x:v>Y</x:v>
      </x:c>
      <x:c r="I127" s="16" t="str">
        <x:f>Coder_A!F127</x:f>
        <x:v>Sec. 2.2 MHA; Sec. 2.1 NLL; Appendix B</x:v>
      </x:c>
      <x:c r="J127" s="16" t="n">
        <x:f>Coder_B!F127</x:f>
        <x:v>0</x:v>
      </x:c>
    </x:row>
    <x:row r="128">
      <x:c r="A128" s="16" t="n">
        <x:v>127</x:v>
      </x:c>
      <x:c r="B128" s="16" t="str">
        <x:v>MODEL</x:v>
      </x:c>
      <x:c r="C128" s="16" t="str">
        <x:f>Coder_A!C128</x:f>
        <x:v>PILOT_01_M05</x:v>
      </x:c>
      <x:c r="D128" s="16" t="str">
        <x:v>dynamic</x:v>
      </x:c>
      <x:c r="E128" s="16" t="str">
        <x:f>Coder_A!E128</x:f>
        <x:v>N</x:v>
      </x:c>
      <x:c r="F128" s="16" t="n">
        <x:f>Coder_B!E128</x:f>
        <x:v>0</x:v>
      </x:c>
      <x:c r="G128" s="16" t="str">
        <x:f>IF(F128="","PENDING",IF(E128=F128,"AGREE","DISAGREE"))</x:f>
        <x:v>PENDING</x:v>
      </x:c>
      <x:c r="H128" s="16" t="str">
        <x:v>Y</x:v>
      </x:c>
      <x:c r="I128" s="16" t="str">
        <x:f>Coder_A!F128</x:f>
        <x:v>Sec. 2.2 MHA; Sec. 2.1 NLL; Appendix B</x:v>
      </x:c>
      <x:c r="J128" s="16" t="n">
        <x:f>Coder_B!F128</x:f>
        <x:v>0</x:v>
      </x:c>
    </x:row>
    <x:row r="129">
      <x:c r="A129" s="16" t="n">
        <x:v>128</x:v>
      </x:c>
      <x:c r="B129" s="16" t="str">
        <x:v>MODEL</x:v>
      </x:c>
      <x:c r="C129" s="16" t="str">
        <x:f>Coder_A!C129</x:f>
        <x:v>PILOT_01_M05</x:v>
      </x:c>
      <x:c r="D129" s="16" t="str">
        <x:v>dag_enforced</x:v>
      </x:c>
      <x:c r="E129" s="16" t="str">
        <x:f>Coder_A!E129</x:f>
        <x:v>N</x:v>
      </x:c>
      <x:c r="F129" s="16" t="n">
        <x:f>Coder_B!E129</x:f>
        <x:v>0</x:v>
      </x:c>
      <x:c r="G129" s="16" t="str">
        <x:f>IF(F129="","PENDING",IF(E129=F129,"AGREE","DISAGREE"))</x:f>
        <x:v>PENDING</x:v>
      </x:c>
      <x:c r="H129" s="16" t="str">
        <x:v>Y</x:v>
      </x:c>
      <x:c r="I129" s="16" t="str">
        <x:f>Coder_A!F129</x:f>
        <x:v>Sec. 2.2 MHA; Sec. 2.1 NLL; Appendix B</x:v>
      </x:c>
      <x:c r="J129" s="16" t="n">
        <x:f>Coder_B!F129</x:f>
        <x:v>0</x:v>
      </x:c>
    </x:row>
    <x:row r="130">
      <x:c r="A130" s="16" t="n">
        <x:v>129</x:v>
      </x:c>
      <x:c r="B130" s="16" t="str">
        <x:v>MODEL</x:v>
      </x:c>
      <x:c r="C130" s="16" t="str">
        <x:f>Coder_A!C130</x:f>
        <x:v>PILOT_01_M05</x:v>
      </x:c>
      <x:c r="D130" s="16" t="str">
        <x:v>edge_confidence_used</x:v>
      </x:c>
      <x:c r="E130" s="16" t="str">
        <x:f>Coder_A!E130</x:f>
        <x:v>N</x:v>
      </x:c>
      <x:c r="F130" s="16" t="n">
        <x:f>Coder_B!E130</x:f>
        <x:v>0</x:v>
      </x:c>
      <x:c r="G130" s="16" t="str">
        <x:f>IF(F130="","PENDING",IF(E130=F130,"AGREE","DISAGREE"))</x:f>
        <x:v>PENDING</x:v>
      </x:c>
      <x:c r="H130" s="16" t="str">
        <x:v>Y</x:v>
      </x:c>
      <x:c r="I130" s="16" t="str">
        <x:f>Coder_A!F130</x:f>
        <x:v>Sec. 2.2 MHA; Sec. 2.1 NLL; Appendix B</x:v>
      </x:c>
      <x:c r="J130" s="16" t="n">
        <x:f>Coder_B!F130</x:f>
        <x:v>0</x:v>
      </x:c>
    </x:row>
    <x:row r="131">
      <x:c r="A131" s="16" t="n">
        <x:v>130</x:v>
      </x:c>
      <x:c r="B131" s="16" t="str">
        <x:v>MODEL</x:v>
      </x:c>
      <x:c r="C131" s="16" t="str">
        <x:f>Coder_A!C131</x:f>
        <x:v>PILOT_01_M05</x:v>
      </x:c>
      <x:c r="D131" s="16" t="str">
        <x:v>gnn_encoder</x:v>
      </x:c>
      <x:c r="E131" s="16" t="str">
        <x:f>Coder_A!E131</x:f>
        <x:v>GRAPH_ATTENTION_HYBRID</x:v>
      </x:c>
      <x:c r="F131" s="16" t="n">
        <x:f>Coder_B!E131</x:f>
        <x:v>0</x:v>
      </x:c>
      <x:c r="G131" s="16" t="str">
        <x:f>IF(F131="","PENDING",IF(E131=F131,"AGREE","DISAGREE"))</x:f>
        <x:v>PENDING</x:v>
      </x:c>
      <x:c r="H131" s="16" t="str">
        <x:v>Y</x:v>
      </x:c>
      <x:c r="I131" s="16" t="str">
        <x:f>Coder_A!F131</x:f>
        <x:v>Sec. 2.2 MHA; Sec. 2.1 NLL; Appendix B</x:v>
      </x:c>
      <x:c r="J131" s="16" t="n">
        <x:f>Coder_B!F131</x:f>
        <x:v>0</x:v>
      </x:c>
    </x:row>
    <x:row r="132">
      <x:c r="A132" s="16" t="n">
        <x:v>131</x:v>
      </x:c>
      <x:c r="B132" s="16" t="str">
        <x:v>MODEL</x:v>
      </x:c>
      <x:c r="C132" s="16" t="str">
        <x:f>Coder_A!C132</x:f>
        <x:v>PILOT_01_M05</x:v>
      </x:c>
      <x:c r="D132" s="16" t="str">
        <x:v>temporal_backbone</x:v>
      </x:c>
      <x:c r="E132" s="16" t="str">
        <x:f>Coder_A!E132</x:f>
        <x:v>RNN_LSTM_GRU</x:v>
      </x:c>
      <x:c r="F132" s="16" t="n">
        <x:f>Coder_B!E132</x:f>
        <x:v>0</x:v>
      </x:c>
      <x:c r="G132" s="16" t="str">
        <x:f>IF(F132="","PENDING",IF(E132=F132,"AGREE","DISAGREE"))</x:f>
        <x:v>PENDING</x:v>
      </x:c>
      <x:c r="H132" s="16" t="str">
        <x:v>Y</x:v>
      </x:c>
      <x:c r="I132" s="16" t="str">
        <x:f>Coder_A!F132</x:f>
        <x:v>Sec. 2.2 MHA; Sec. 2.1 NLL; Appendix B</x:v>
      </x:c>
      <x:c r="J132" s="16" t="n">
        <x:f>Coder_B!F132</x:f>
        <x:v>0</x:v>
      </x:c>
    </x:row>
    <x:row r="133">
      <x:c r="A133" s="16" t="n">
        <x:v>132</x:v>
      </x:c>
      <x:c r="B133" s="16" t="str">
        <x:v>MODEL</x:v>
      </x:c>
      <x:c r="C133" s="16" t="str">
        <x:f>Coder_A!C133</x:f>
        <x:v>PILOT_01_M05</x:v>
      </x:c>
      <x:c r="D133" s="16" t="str">
        <x:v>semantic_auxiliary_encoder</x:v>
      </x:c>
      <x:c r="E133" s="16" t="str">
        <x:f>Coder_A!E133</x:f>
        <x:v>NA</x:v>
      </x:c>
      <x:c r="F133" s="16" t="n">
        <x:f>Coder_B!E133</x:f>
        <x:v>0</x:v>
      </x:c>
      <x:c r="G133" s="16" t="str">
        <x:f>IF(F133="","PENDING",IF(E133=F133,"AGREE","DISAGREE"))</x:f>
        <x:v>PENDING</x:v>
      </x:c>
      <x:c r="H133" s="16" t="str">
        <x:v>Y</x:v>
      </x:c>
      <x:c r="I133" s="16" t="str">
        <x:f>Coder_A!F133</x:f>
        <x:v>Sec. 2.2 MHA; Sec. 2.1 NLL; Appendix B</x:v>
      </x:c>
      <x:c r="J133" s="16" t="n">
        <x:f>Coder_B!F133</x:f>
        <x:v>0</x:v>
      </x:c>
    </x:row>
    <x:row r="134">
      <x:c r="A134" s="16" t="n">
        <x:v>133</x:v>
      </x:c>
      <x:c r="B134" s="16" t="str">
        <x:v>MODEL</x:v>
      </x:c>
      <x:c r="C134" s="16" t="str">
        <x:f>Coder_A!C134</x:f>
        <x:v>PILOT_01_M05</x:v>
      </x:c>
      <x:c r="D134" s="16" t="str">
        <x:v>fusion_type</x:v>
      </x:c>
      <x:c r="E134" s="16" t="str">
        <x:f>Coder_A!E134</x:f>
        <x:v>MESSAGE_PASSING_IN_PREDICTION_LOOP</x:v>
      </x:c>
      <x:c r="F134" s="16" t="n">
        <x:f>Coder_B!E134</x:f>
        <x:v>0</x:v>
      </x:c>
      <x:c r="G134" s="16" t="str">
        <x:f>IF(F134="","PENDING",IF(E134=F134,"AGREE","DISAGREE"))</x:f>
        <x:v>PENDING</x:v>
      </x:c>
      <x:c r="H134" s="16" t="str">
        <x:v>Y</x:v>
      </x:c>
      <x:c r="I134" s="16" t="str">
        <x:f>Coder_A!F134</x:f>
        <x:v>Sec. 2.2 MHA; Sec. 2.1 NLL; Appendix B</x:v>
      </x:c>
      <x:c r="J134" s="16" t="n">
        <x:f>Coder_B!F134</x:f>
        <x:v>0</x:v>
      </x:c>
    </x:row>
    <x:row r="135">
      <x:c r="A135" s="16" t="n">
        <x:v>134</x:v>
      </x:c>
      <x:c r="B135" s="16" t="str">
        <x:v>MODEL</x:v>
      </x:c>
      <x:c r="C135" s="16" t="str">
        <x:f>Coder_A!C135</x:f>
        <x:v>PILOT_01_M05</x:v>
      </x:c>
      <x:c r="D135" s="16" t="str">
        <x:v>fusion_location</x:v>
      </x:c>
      <x:c r="E135" s="16" t="str">
        <x:f>Coder_A!E135</x:f>
        <x:v>HIDDEN_STATE</x:v>
      </x:c>
      <x:c r="F135" s="16" t="n">
        <x:f>Coder_B!E135</x:f>
        <x:v>0</x:v>
      </x:c>
      <x:c r="G135" s="16" t="str">
        <x:f>IF(F135="","PENDING",IF(E135=F135,"AGREE","DISAGREE"))</x:f>
        <x:v>PENDING</x:v>
      </x:c>
      <x:c r="H135" s="16" t="str">
        <x:v>Y</x:v>
      </x:c>
      <x:c r="I135" s="16" t="str">
        <x:f>Coder_A!F135</x:f>
        <x:v>Sec. 2.2 MHA; Sec. 2.1 NLL; Appendix B</x:v>
      </x:c>
      <x:c r="J135" s="16" t="n">
        <x:f>Coder_B!F135</x:f>
        <x:v>0</x:v>
      </x:c>
    </x:row>
    <x:row r="136">
      <x:c r="A136" s="16" t="n">
        <x:v>135</x:v>
      </x:c>
      <x:c r="B136" s="16" t="str">
        <x:v>MODEL</x:v>
      </x:c>
      <x:c r="C136" s="16" t="str">
        <x:f>Coder_A!C136</x:f>
        <x:v>PILOT_01_M05</x:v>
      </x:c>
      <x:c r="D136" s="16" t="str">
        <x:v>ssl_family</x:v>
      </x:c>
      <x:c r="E136" s="16" t="str">
        <x:f>Coder_A!E136</x:f>
        <x:v>NONE</x:v>
      </x:c>
      <x:c r="F136" s="16" t="n">
        <x:f>Coder_B!E136</x:f>
        <x:v>0</x:v>
      </x:c>
      <x:c r="G136" s="16" t="str">
        <x:f>IF(F136="","PENDING",IF(E136=F136,"AGREE","DISAGREE"))</x:f>
        <x:v>PENDING</x:v>
      </x:c>
      <x:c r="H136" s="16" t="str">
        <x:v>Y</x:v>
      </x:c>
      <x:c r="I136" s="16" t="str">
        <x:f>Coder_A!F136</x:f>
        <x:v>Sec. 2.2 MHA; Sec. 2.1 NLL; Appendix B</x:v>
      </x:c>
      <x:c r="J136" s="16" t="n">
        <x:f>Coder_B!F136</x:f>
        <x:v>0</x:v>
      </x:c>
    </x:row>
    <x:row r="137">
      <x:c r="A137" s="16" t="n">
        <x:v>136</x:v>
      </x:c>
      <x:c r="B137" s="16" t="str">
        <x:v>MODEL</x:v>
      </x:c>
      <x:c r="C137" s="16" t="str">
        <x:f>Coder_A!C137</x:f>
        <x:v>PILOT_01_M05</x:v>
      </x:c>
      <x:c r="D137" s="16" t="str">
        <x:v>non_ssl_pretraining</x:v>
      </x:c>
      <x:c r="E137" s="16" t="str">
        <x:f>Coder_A!E137</x:f>
        <x:v>N</x:v>
      </x:c>
      <x:c r="F137" s="16" t="n">
        <x:f>Coder_B!E137</x:f>
        <x:v>0</x:v>
      </x:c>
      <x:c r="G137" s="16" t="str">
        <x:f>IF(F137="","PENDING",IF(E137=F137,"AGREE","DISAGREE"))</x:f>
        <x:v>PENDING</x:v>
      </x:c>
      <x:c r="H137" s="16" t="str">
        <x:v>Y</x:v>
      </x:c>
      <x:c r="I137" s="16" t="str">
        <x:f>Coder_A!F137</x:f>
        <x:v>Sec. 2.2 MHA; Sec. 2.1 NLL; Appendix B</x:v>
      </x:c>
      <x:c r="J137" s="16" t="n">
        <x:f>Coder_B!F137</x:f>
        <x:v>0</x:v>
      </x:c>
    </x:row>
    <x:row r="138">
      <x:c r="A138" s="16" t="n">
        <x:v>137</x:v>
      </x:c>
      <x:c r="B138" s="16" t="str">
        <x:v>MODEL</x:v>
      </x:c>
      <x:c r="C138" s="16" t="str">
        <x:f>Coder_A!C138</x:f>
        <x:v>PILOT_01_M05</x:v>
      </x:c>
      <x:c r="D138" s="16" t="str">
        <x:v>ssl_training_mode</x:v>
      </x:c>
      <x:c r="E138" s="16" t="str">
        <x:f>Coder_A!E138</x:f>
        <x:v>NA</x:v>
      </x:c>
      <x:c r="F138" s="16" t="n">
        <x:f>Coder_B!E138</x:f>
        <x:v>0</x:v>
      </x:c>
      <x:c r="G138" s="16" t="str">
        <x:f>IF(F138="","PENDING",IF(E138=F138,"AGREE","DISAGREE"))</x:f>
        <x:v>PENDING</x:v>
      </x:c>
      <x:c r="H138" s="16" t="str">
        <x:v>Y</x:v>
      </x:c>
      <x:c r="I138" s="16" t="str">
        <x:f>Coder_A!F138</x:f>
        <x:v>Sec. 2.2 MHA; Sec. 2.1 NLL; Appendix B</x:v>
      </x:c>
      <x:c r="J138" s="16" t="n">
        <x:f>Coder_B!F138</x:f>
        <x:v>0</x:v>
      </x:c>
    </x:row>
    <x:row r="139">
      <x:c r="A139" s="16" t="n">
        <x:v>138</x:v>
      </x:c>
      <x:c r="B139" s="16" t="str">
        <x:v>MODEL</x:v>
      </x:c>
      <x:c r="C139" s="16" t="str">
        <x:f>Coder_A!C139</x:f>
        <x:v>PILOT_01_M05</x:v>
      </x:c>
      <x:c r="D139" s="16" t="str">
        <x:v>ssl_target_level</x:v>
      </x:c>
      <x:c r="E139" s="16" t="str">
        <x:f>Coder_A!E139</x:f>
        <x:v>NA</x:v>
      </x:c>
      <x:c r="F139" s="16" t="n">
        <x:f>Coder_B!E139</x:f>
        <x:v>0</x:v>
      </x:c>
      <x:c r="G139" s="16" t="str">
        <x:f>IF(F139="","PENDING",IF(E139=F139,"AGREE","DISAGREE"))</x:f>
        <x:v>PENDING</x:v>
      </x:c>
      <x:c r="H139" s="16" t="str">
        <x:v>Y</x:v>
      </x:c>
      <x:c r="I139" s="16" t="str">
        <x:f>Coder_A!F139</x:f>
        <x:v>Sec. 2.2 MHA; Sec. 2.1 NLL; Appendix B</x:v>
      </x:c>
      <x:c r="J139" s="16" t="n">
        <x:f>Coder_B!F139</x:f>
        <x:v>0</x:v>
      </x:c>
    </x:row>
    <x:row r="140">
      <x:c r="A140" s="16" t="n">
        <x:v>139</x:v>
      </x:c>
      <x:c r="B140" s="16" t="str">
        <x:v>MODEL</x:v>
      </x:c>
      <x:c r="C140" s="16" t="str">
        <x:f>Coder_A!C140</x:f>
        <x:v>PILOT_01_M05</x:v>
      </x:c>
      <x:c r="D140" s="16" t="str">
        <x:v>augmentation_type</x:v>
      </x:c>
      <x:c r="E140" s="16" t="str">
        <x:f>Coder_A!E140</x:f>
        <x:v>NO_EXPLICIT_AUGMENTATION</x:v>
      </x:c>
      <x:c r="F140" s="16" t="n">
        <x:f>Coder_B!E140</x:f>
        <x:v>0</x:v>
      </x:c>
      <x:c r="G140" s="16" t="str">
        <x:f>IF(F140="","PENDING",IF(E140=F140,"AGREE","DISAGREE"))</x:f>
        <x:v>PENDING</x:v>
      </x:c>
      <x:c r="H140" s="16" t="str">
        <x:v>Y</x:v>
      </x:c>
      <x:c r="I140" s="16" t="str">
        <x:f>Coder_A!F140</x:f>
        <x:v>Sec. 2.2 MHA; Sec. 2.1 NLL; Appendix B</x:v>
      </x:c>
      <x:c r="J140" s="16" t="n">
        <x:f>Coder_B!F140</x:f>
        <x:v>0</x:v>
      </x:c>
    </x:row>
    <x:row r="141">
      <x:c r="A141" s="16" t="n">
        <x:v>140</x:v>
      </x:c>
      <x:c r="B141" s="16" t="str">
        <x:v>MODEL</x:v>
      </x:c>
      <x:c r="C141" s="16" t="str">
        <x:f>Coder_A!C141</x:f>
        <x:v>PILOT_01_M05</x:v>
      </x:c>
      <x:c r="D141" s="16" t="str">
        <x:v>educational_structure_preservation</x:v>
      </x:c>
      <x:c r="E141" s="16" t="str">
        <x:f>Coder_A!E141</x:f>
        <x:v>NO_AUGMENTATION</x:v>
      </x:c>
      <x:c r="F141" s="16" t="n">
        <x:f>Coder_B!E141</x:f>
        <x:v>0</x:v>
      </x:c>
      <x:c r="G141" s="16" t="str">
        <x:f>IF(F141="","PENDING",IF(E141=F141,"AGREE","DISAGREE"))</x:f>
        <x:v>PENDING</x:v>
      </x:c>
      <x:c r="H141" s="16" t="str">
        <x:v>Y</x:v>
      </x:c>
      <x:c r="I141" s="16" t="str">
        <x:f>Coder_A!F141</x:f>
        <x:v>Sec. 2.2 MHA; Sec. 2.1 NLL; Appendix B</x:v>
      </x:c>
      <x:c r="J141" s="16" t="n">
        <x:f>Coder_B!F141</x:f>
        <x:v>0</x:v>
      </x:c>
    </x:row>
    <x:row r="142">
      <x:c r="A142" s="16" t="n">
        <x:v>141</x:v>
      </x:c>
      <x:c r="B142" s="16" t="str">
        <x:v>MODEL</x:v>
      </x:c>
      <x:c r="C142" s="16" t="str">
        <x:f>Coder_A!C142</x:f>
        <x:v>PILOT_01_M05</x:v>
      </x:c>
      <x:c r="D142" s="16" t="str">
        <x:v>augmentation_validity_ablation</x:v>
      </x:c>
      <x:c r="E142" s="16" t="str">
        <x:f>Coder_A!E142</x:f>
        <x:v>NA</x:v>
      </x:c>
      <x:c r="F142" s="16" t="n">
        <x:f>Coder_B!E142</x:f>
        <x:v>0</x:v>
      </x:c>
      <x:c r="G142" s="16" t="str">
        <x:f>IF(F142="","PENDING",IF(E142=F142,"AGREE","DISAGREE"))</x:f>
        <x:v>PENDING</x:v>
      </x:c>
      <x:c r="H142" s="16" t="str">
        <x:v>Y</x:v>
      </x:c>
      <x:c r="I142" s="16" t="str">
        <x:f>Coder_A!F142</x:f>
        <x:v>Sec. 2.2 MHA; Sec. 2.1 NLL; Appendix B</x:v>
      </x:c>
      <x:c r="J142" s="16" t="n">
        <x:f>Coder_B!F142</x:f>
        <x:v>0</x:v>
      </x:c>
    </x:row>
    <x:row r="143">
      <x:c r="A143" s="16" t="n">
        <x:v>142</x:v>
      </x:c>
      <x:c r="B143" s="16" t="str">
        <x:v>MODEL</x:v>
      </x:c>
      <x:c r="C143" s="16" t="str">
        <x:f>Coder_A!C143</x:f>
        <x:v>PILOT_01_M06</x:v>
      </x:c>
      <x:c r="D143" s="16" t="str">
        <x:v>graph_source</x:v>
      </x:c>
      <x:c r="E143" s="16" t="str">
        <x:f>Coder_A!E143</x:f>
        <x:v>LEARNED_FROM_INTERACTIONS</x:v>
      </x:c>
      <x:c r="F143" s="16" t="n">
        <x:f>Coder_B!E143</x:f>
        <x:v>0</x:v>
      </x:c>
      <x:c r="G143" s="16" t="str">
        <x:f>IF(F143="","PENDING",IF(E143=F143,"AGREE","DISAGREE"))</x:f>
        <x:v>PENDING</x:v>
      </x:c>
      <x:c r="H143" s="16" t="str">
        <x:v>Y</x:v>
      </x:c>
      <x:c r="I143" s="16" t="str">
        <x:f>Coder_A!F143</x:f>
        <x:v>Sec. 2.2 VAE; Sec. 2.1 NLL; Appendix B</x:v>
      </x:c>
      <x:c r="J143" s="16" t="n">
        <x:f>Coder_B!F143</x:f>
        <x:v>0</x:v>
      </x:c>
    </x:row>
    <x:row r="144">
      <x:c r="A144" s="16" t="n">
        <x:v>143</x:v>
      </x:c>
      <x:c r="B144" s="16" t="str">
        <x:v>MODEL</x:v>
      </x:c>
      <x:c r="C144" s="16" t="str">
        <x:f>Coder_A!C144</x:f>
        <x:v>PILOT_01_M06</x:v>
      </x:c>
      <x:c r="D144" s="16" t="str">
        <x:v>graph_provenance</x:v>
      </x:c>
      <x:c r="E144" s="16" t="str">
        <x:f>Coder_A!E144</x:f>
        <x:v>JOINTLY_LEARNED_TRAINING</x:v>
      </x:c>
      <x:c r="F144" s="16" t="n">
        <x:f>Coder_B!E144</x:f>
        <x:v>0</x:v>
      </x:c>
      <x:c r="G144" s="16" t="str">
        <x:f>IF(F144="","PENDING",IF(E144=F144,"AGREE","DISAGREE"))</x:f>
        <x:v>PENDING</x:v>
      </x:c>
      <x:c r="H144" s="16" t="str">
        <x:v>Y</x:v>
      </x:c>
      <x:c r="I144" s="16" t="str">
        <x:f>Coder_A!F144</x:f>
        <x:v>Sec. 2.2 VAE; Sec. 2.1 NLL; Appendix B</x:v>
      </x:c>
      <x:c r="J144" s="16" t="n">
        <x:f>Coder_B!F144</x:f>
        <x:v>0</x:v>
      </x:c>
    </x:row>
    <x:row r="145">
      <x:c r="A145" s="16" t="n">
        <x:v>144</x:v>
      </x:c>
      <x:c r="B145" s="16" t="str">
        <x:v>MODEL</x:v>
      </x:c>
      <x:c r="C145" s="16" t="str">
        <x:f>Coder_A!C145</x:f>
        <x:v>PILOT_01_M06</x:v>
      </x:c>
      <x:c r="D145" s="16" t="str">
        <x:v>graph_leakage_risk</x:v>
      </x:c>
      <x:c r="E145" s="16" t="str">
        <x:f>Coder_A!E145</x:f>
        <x:v>LOW</x:v>
      </x:c>
      <x:c r="F145" s="16" t="n">
        <x:f>Coder_B!E145</x:f>
        <x:v>0</x:v>
      </x:c>
      <x:c r="G145" s="16" t="str">
        <x:f>IF(F145="","PENDING",IF(E145=F145,"AGREE","DISAGREE"))</x:f>
        <x:v>PENDING</x:v>
      </x:c>
      <x:c r="H145" s="16" t="str">
        <x:v>Y</x:v>
      </x:c>
      <x:c r="I145" s="16" t="str">
        <x:f>Coder_A!F145</x:f>
        <x:v>Sec. 2.2 VAE; Sec. 2.1 NLL; Appendix B</x:v>
      </x:c>
      <x:c r="J145" s="16" t="n">
        <x:f>Coder_B!F145</x:f>
        <x:v>0</x:v>
      </x:c>
    </x:row>
    <x:row r="146">
      <x:c r="A146" s="16" t="n">
        <x:v>145</x:v>
      </x:c>
      <x:c r="B146" s="16" t="str">
        <x:v>MODEL</x:v>
      </x:c>
      <x:c r="C146" s="16" t="str">
        <x:f>Coder_A!C146</x:f>
        <x:v>PILOT_01_M06</x:v>
      </x:c>
      <x:c r="D146" s="16" t="str">
        <x:v>graph_construction_uses_response_labels</x:v>
      </x:c>
      <x:c r="E146" s="16" t="str">
        <x:f>Coder_A!E146</x:f>
        <x:v>Y</x:v>
      </x:c>
      <x:c r="F146" s="16" t="n">
        <x:f>Coder_B!E146</x:f>
        <x:v>0</x:v>
      </x:c>
      <x:c r="G146" s="16" t="str">
        <x:f>IF(F146="","PENDING",IF(E146=F146,"AGREE","DISAGREE"))</x:f>
        <x:v>PENDING</x:v>
      </x:c>
      <x:c r="H146" s="16" t="str">
        <x:v>Y</x:v>
      </x:c>
      <x:c r="I146" s="16" t="str">
        <x:f>Coder_A!F146</x:f>
        <x:v>Sec. 2.2 VAE; Sec. 2.1 NLL; Appendix B</x:v>
      </x:c>
      <x:c r="J146" s="16" t="n">
        <x:f>Coder_B!F146</x:f>
        <x:v>0</x:v>
      </x:c>
    </x:row>
    <x:row r="147">
      <x:c r="A147" s="16" t="n">
        <x:v>146</x:v>
      </x:c>
      <x:c r="B147" s="16" t="str">
        <x:v>MODEL</x:v>
      </x:c>
      <x:c r="C147" s="16" t="str">
        <x:f>Coder_A!C147</x:f>
        <x:v>PILOT_01_M06</x:v>
      </x:c>
      <x:c r="D147" s="16" t="str">
        <x:v>graph_construction_uses_test_partition</x:v>
      </x:c>
      <x:c r="E147" s="16" t="str">
        <x:f>Coder_A!E147</x:f>
        <x:v>N</x:v>
      </x:c>
      <x:c r="F147" s="16" t="n">
        <x:f>Coder_B!E147</x:f>
        <x:v>0</x:v>
      </x:c>
      <x:c r="G147" s="16" t="str">
        <x:f>IF(F147="","PENDING",IF(E147=F147,"AGREE","DISAGREE"))</x:f>
        <x:v>PENDING</x:v>
      </x:c>
      <x:c r="H147" s="16" t="str">
        <x:v>Y</x:v>
      </x:c>
      <x:c r="I147" s="16" t="str">
        <x:f>Coder_A!F147</x:f>
        <x:v>Sec. 2.2 VAE; Sec. 2.1 NLL; Appendix B</x:v>
      </x:c>
      <x:c r="J147" s="16" t="n">
        <x:f>Coder_B!F147</x:f>
        <x:v>0</x:v>
      </x:c>
    </x:row>
    <x:row r="148">
      <x:c r="A148" s="16" t="n">
        <x:v>147</x:v>
      </x:c>
      <x:c r="B148" s="16" t="str">
        <x:v>MODEL</x:v>
      </x:c>
      <x:c r="C148" s="16" t="str">
        <x:f>Coder_A!C148</x:f>
        <x:v>PILOT_01_M06</x:v>
      </x:c>
      <x:c r="D148" s="16" t="str">
        <x:v>graph_representation</x:v>
      </x:c>
      <x:c r="E148" s="16" t="str">
        <x:f>Coder_A!E148</x:f>
        <x:v>KC_KC</x:v>
      </x:c>
      <x:c r="F148" s="16" t="n">
        <x:f>Coder_B!E148</x:f>
        <x:v>0</x:v>
      </x:c>
      <x:c r="G148" s="16" t="str">
        <x:f>IF(F148="","PENDING",IF(E148=F148,"AGREE","DISAGREE"))</x:f>
        <x:v>PENDING</x:v>
      </x:c>
      <x:c r="H148" s="16" t="str">
        <x:v>Y</x:v>
      </x:c>
      <x:c r="I148" s="16" t="str">
        <x:f>Coder_A!F148</x:f>
        <x:v>Sec. 2.2 VAE; Sec. 2.1 NLL; Appendix B</x:v>
      </x:c>
      <x:c r="J148" s="16" t="n">
        <x:f>Coder_B!F148</x:f>
        <x:v>0</x:v>
      </x:c>
    </x:row>
    <x:row r="149">
      <x:c r="A149" s="16" t="n">
        <x:v>148</x:v>
      </x:c>
      <x:c r="B149" s="16" t="str">
        <x:v>MODEL</x:v>
      </x:c>
      <x:c r="C149" s="16" t="str">
        <x:f>Coder_A!C149</x:f>
        <x:v>PILOT_01_M06</x:v>
      </x:c>
      <x:c r="D149" s="16" t="str">
        <x:v>directed</x:v>
      </x:c>
      <x:c r="E149" s="16" t="str">
        <x:f>Coder_A!E149</x:f>
        <x:v>Y</x:v>
      </x:c>
      <x:c r="F149" s="16" t="n">
        <x:f>Coder_B!E149</x:f>
        <x:v>0</x:v>
      </x:c>
      <x:c r="G149" s="16" t="str">
        <x:f>IF(F149="","PENDING",IF(E149=F149,"AGREE","DISAGREE"))</x:f>
        <x:v>PENDING</x:v>
      </x:c>
      <x:c r="H149" s="16" t="str">
        <x:v>Y</x:v>
      </x:c>
      <x:c r="I149" s="16" t="str">
        <x:f>Coder_A!F149</x:f>
        <x:v>Sec. 2.2 VAE; Sec. 2.1 NLL; Appendix B</x:v>
      </x:c>
      <x:c r="J149" s="16" t="n">
        <x:f>Coder_B!F149</x:f>
        <x:v>0</x:v>
      </x:c>
    </x:row>
    <x:row r="150">
      <x:c r="A150" s="16" t="n">
        <x:v>149</x:v>
      </x:c>
      <x:c r="B150" s="16" t="str">
        <x:v>MODEL</x:v>
      </x:c>
      <x:c r="C150" s="16" t="str">
        <x:f>Coder_A!C150</x:f>
        <x:v>PILOT_01_M06</x:v>
      </x:c>
      <x:c r="D150" s="16" t="str">
        <x:v>weighted</x:v>
      </x:c>
      <x:c r="E150" s="16" t="str">
        <x:f>Coder_A!E150</x:f>
        <x:v>UNCLEAR</x:v>
      </x:c>
      <x:c r="F150" s="16" t="n">
        <x:f>Coder_B!E150</x:f>
        <x:v>0</x:v>
      </x:c>
      <x:c r="G150" s="16" t="str">
        <x:f>IF(F150="","PENDING",IF(E150=F150,"AGREE","DISAGREE"))</x:f>
        <x:v>PENDING</x:v>
      </x:c>
      <x:c r="H150" s="16" t="str">
        <x:v>Y</x:v>
      </x:c>
      <x:c r="I150" s="16" t="str">
        <x:f>Coder_A!F150</x:f>
        <x:v>Sec. 2.2 VAE; Sec. 2.1 NLL; Appendix B</x:v>
      </x:c>
      <x:c r="J150" s="16" t="n">
        <x:f>Coder_B!F150</x:f>
        <x:v>0</x:v>
      </x:c>
    </x:row>
    <x:row r="151">
      <x:c r="A151" s="16" t="n">
        <x:v>150</x:v>
      </x:c>
      <x:c r="B151" s="16" t="str">
        <x:v>MODEL</x:v>
      </x:c>
      <x:c r="C151" s="16" t="str">
        <x:f>Coder_A!C151</x:f>
        <x:v>PILOT_01_M06</x:v>
      </x:c>
      <x:c r="D151" s="16" t="str">
        <x:v>typed_edges</x:v>
      </x:c>
      <x:c r="E151" s="16" t="str">
        <x:f>Coder_A!E151</x:f>
        <x:v>Y</x:v>
      </x:c>
      <x:c r="F151" s="16" t="n">
        <x:f>Coder_B!E151</x:f>
        <x:v>0</x:v>
      </x:c>
      <x:c r="G151" s="16" t="str">
        <x:f>IF(F151="","PENDING",IF(E151=F151,"AGREE","DISAGREE"))</x:f>
        <x:v>PENDING</x:v>
      </x:c>
      <x:c r="H151" s="16" t="str">
        <x:v>Y</x:v>
      </x:c>
      <x:c r="I151" s="16" t="str">
        <x:f>Coder_A!F151</x:f>
        <x:v>Sec. 2.2 VAE; Sec. 2.1 NLL; Appendix B</x:v>
      </x:c>
      <x:c r="J151" s="16" t="n">
        <x:f>Coder_B!F151</x:f>
        <x:v>0</x:v>
      </x:c>
    </x:row>
    <x:row r="152">
      <x:c r="A152" s="16" t="n">
        <x:v>151</x:v>
      </x:c>
      <x:c r="B152" s="16" t="str">
        <x:v>MODEL</x:v>
      </x:c>
      <x:c r="C152" s="16" t="str">
        <x:f>Coder_A!C152</x:f>
        <x:v>PILOT_01_M06</x:v>
      </x:c>
      <x:c r="D152" s="16" t="str">
        <x:v>dynamic</x:v>
      </x:c>
      <x:c r="E152" s="16" t="str">
        <x:f>Coder_A!E152</x:f>
        <x:v>N</x:v>
      </x:c>
      <x:c r="F152" s="16" t="n">
        <x:f>Coder_B!E152</x:f>
        <x:v>0</x:v>
      </x:c>
      <x:c r="G152" s="16" t="str">
        <x:f>IF(F152="","PENDING",IF(E152=F152,"AGREE","DISAGREE"))</x:f>
        <x:v>PENDING</x:v>
      </x:c>
      <x:c r="H152" s="16" t="str">
        <x:v>Y</x:v>
      </x:c>
      <x:c r="I152" s="16" t="str">
        <x:f>Coder_A!F152</x:f>
        <x:v>Sec. 2.2 VAE; Sec. 2.1 NLL; Appendix B</x:v>
      </x:c>
      <x:c r="J152" s="16" t="n">
        <x:f>Coder_B!F152</x:f>
        <x:v>0</x:v>
      </x:c>
    </x:row>
    <x:row r="153">
      <x:c r="A153" s="16" t="n">
        <x:v>152</x:v>
      </x:c>
      <x:c r="B153" s="16" t="str">
        <x:v>MODEL</x:v>
      </x:c>
      <x:c r="C153" s="16" t="str">
        <x:f>Coder_A!C153</x:f>
        <x:v>PILOT_01_M06</x:v>
      </x:c>
      <x:c r="D153" s="16" t="str">
        <x:v>dag_enforced</x:v>
      </x:c>
      <x:c r="E153" s="16" t="str">
        <x:f>Coder_A!E153</x:f>
        <x:v>N</x:v>
      </x:c>
      <x:c r="F153" s="16" t="n">
        <x:f>Coder_B!E153</x:f>
        <x:v>0</x:v>
      </x:c>
      <x:c r="G153" s="16" t="str">
        <x:f>IF(F153="","PENDING",IF(E153=F153,"AGREE","DISAGREE"))</x:f>
        <x:v>PENDING</x:v>
      </x:c>
      <x:c r="H153" s="16" t="str">
        <x:v>Y</x:v>
      </x:c>
      <x:c r="I153" s="16" t="str">
        <x:f>Coder_A!F153</x:f>
        <x:v>Sec. 2.2 VAE; Sec. 2.1 NLL; Appendix B</x:v>
      </x:c>
      <x:c r="J153" s="16" t="n">
        <x:f>Coder_B!F153</x:f>
        <x:v>0</x:v>
      </x:c>
    </x:row>
    <x:row r="154">
      <x:c r="A154" s="16" t="n">
        <x:v>153</x:v>
      </x:c>
      <x:c r="B154" s="16" t="str">
        <x:v>MODEL</x:v>
      </x:c>
      <x:c r="C154" s="16" t="str">
        <x:f>Coder_A!C154</x:f>
        <x:v>PILOT_01_M06</x:v>
      </x:c>
      <x:c r="D154" s="16" t="str">
        <x:v>edge_confidence_used</x:v>
      </x:c>
      <x:c r="E154" s="16" t="str">
        <x:f>Coder_A!E154</x:f>
        <x:v>N</x:v>
      </x:c>
      <x:c r="F154" s="16" t="n">
        <x:f>Coder_B!E154</x:f>
        <x:v>0</x:v>
      </x:c>
      <x:c r="G154" s="16" t="str">
        <x:f>IF(F154="","PENDING",IF(E154=F154,"AGREE","DISAGREE"))</x:f>
        <x:v>PENDING</x:v>
      </x:c>
      <x:c r="H154" s="16" t="str">
        <x:v>Y</x:v>
      </x:c>
      <x:c r="I154" s="16" t="str">
        <x:f>Coder_A!F154</x:f>
        <x:v>Sec. 2.2 VAE; Sec. 2.1 NLL; Appendix B</x:v>
      </x:c>
      <x:c r="J154" s="16" t="n">
        <x:f>Coder_B!F154</x:f>
        <x:v>0</x:v>
      </x:c>
    </x:row>
    <x:row r="155">
      <x:c r="A155" s="16" t="n">
        <x:v>154</x:v>
      </x:c>
      <x:c r="B155" s="16" t="str">
        <x:v>MODEL</x:v>
      </x:c>
      <x:c r="C155" s="16" t="str">
        <x:f>Coder_A!C155</x:f>
        <x:v>PILOT_01_M06</x:v>
      </x:c>
      <x:c r="D155" s="16" t="str">
        <x:v>gnn_encoder</x:v>
      </x:c>
      <x:c r="E155" s="16" t="str">
        <x:f>Coder_A!E155</x:f>
        <x:v>OTHER</x:v>
      </x:c>
      <x:c r="F155" s="16" t="n">
        <x:f>Coder_B!E155</x:f>
        <x:v>0</x:v>
      </x:c>
      <x:c r="G155" s="16" t="str">
        <x:f>IF(F155="","PENDING",IF(E155=F155,"AGREE","DISAGREE"))</x:f>
        <x:v>PENDING</x:v>
      </x:c>
      <x:c r="H155" s="16" t="str">
        <x:v>Y</x:v>
      </x:c>
      <x:c r="I155" s="16" t="str">
        <x:f>Coder_A!F155</x:f>
        <x:v>Sec. 2.2 VAE; Sec. 2.1 NLL; Appendix B</x:v>
      </x:c>
      <x:c r="J155" s="16" t="n">
        <x:f>Coder_B!F155</x:f>
        <x:v>0</x:v>
      </x:c>
    </x:row>
    <x:row r="156">
      <x:c r="A156" s="16" t="n">
        <x:v>155</x:v>
      </x:c>
      <x:c r="B156" s="16" t="str">
        <x:v>MODEL</x:v>
      </x:c>
      <x:c r="C156" s="16" t="str">
        <x:f>Coder_A!C156</x:f>
        <x:v>PILOT_01_M06</x:v>
      </x:c>
      <x:c r="D156" s="16" t="str">
        <x:v>temporal_backbone</x:v>
      </x:c>
      <x:c r="E156" s="16" t="str">
        <x:f>Coder_A!E156</x:f>
        <x:v>RNN_LSTM_GRU</x:v>
      </x:c>
      <x:c r="F156" s="16" t="n">
        <x:f>Coder_B!E156</x:f>
        <x:v>0</x:v>
      </x:c>
      <x:c r="G156" s="16" t="str">
        <x:f>IF(F156="","PENDING",IF(E156=F156,"AGREE","DISAGREE"))</x:f>
        <x:v>PENDING</x:v>
      </x:c>
      <x:c r="H156" s="16" t="str">
        <x:v>Y</x:v>
      </x:c>
      <x:c r="I156" s="16" t="str">
        <x:f>Coder_A!F156</x:f>
        <x:v>Sec. 2.2 VAE; Sec. 2.1 NLL; Appendix B</x:v>
      </x:c>
      <x:c r="J156" s="16" t="n">
        <x:f>Coder_B!F156</x:f>
        <x:v>0</x:v>
      </x:c>
    </x:row>
    <x:row r="157">
      <x:c r="A157" s="16" t="n">
        <x:v>156</x:v>
      </x:c>
      <x:c r="B157" s="16" t="str">
        <x:v>MODEL</x:v>
      </x:c>
      <x:c r="C157" s="16" t="str">
        <x:f>Coder_A!C157</x:f>
        <x:v>PILOT_01_M06</x:v>
      </x:c>
      <x:c r="D157" s="16" t="str">
        <x:v>semantic_auxiliary_encoder</x:v>
      </x:c>
      <x:c r="E157" s="16" t="str">
        <x:f>Coder_A!E157</x:f>
        <x:v>NA</x:v>
      </x:c>
      <x:c r="F157" s="16" t="n">
        <x:f>Coder_B!E157</x:f>
        <x:v>0</x:v>
      </x:c>
      <x:c r="G157" s="16" t="str">
        <x:f>IF(F157="","PENDING",IF(E157=F157,"AGREE","DISAGREE"))</x:f>
        <x:v>PENDING</x:v>
      </x:c>
      <x:c r="H157" s="16" t="str">
        <x:v>Y</x:v>
      </x:c>
      <x:c r="I157" s="16" t="str">
        <x:f>Coder_A!F157</x:f>
        <x:v>Sec. 2.2 VAE; Sec. 2.1 NLL; Appendix B</x:v>
      </x:c>
      <x:c r="J157" s="16" t="n">
        <x:f>Coder_B!F157</x:f>
        <x:v>0</x:v>
      </x:c>
    </x:row>
    <x:row r="158">
      <x:c r="A158" s="16" t="n">
        <x:v>157</x:v>
      </x:c>
      <x:c r="B158" s="16" t="str">
        <x:v>MODEL</x:v>
      </x:c>
      <x:c r="C158" s="16" t="str">
        <x:f>Coder_A!C158</x:f>
        <x:v>PILOT_01_M06</x:v>
      </x:c>
      <x:c r="D158" s="16" t="str">
        <x:v>fusion_type</x:v>
      </x:c>
      <x:c r="E158" s="16" t="str">
        <x:f>Coder_A!E158</x:f>
        <x:v>MESSAGE_PASSING_IN_PREDICTION_LOOP</x:v>
      </x:c>
      <x:c r="F158" s="16" t="n">
        <x:f>Coder_B!E158</x:f>
        <x:v>0</x:v>
      </x:c>
      <x:c r="G158" s="16" t="str">
        <x:f>IF(F158="","PENDING",IF(E158=F158,"AGREE","DISAGREE"))</x:f>
        <x:v>PENDING</x:v>
      </x:c>
      <x:c r="H158" s="16" t="str">
        <x:v>Y</x:v>
      </x:c>
      <x:c r="I158" s="16" t="str">
        <x:f>Coder_A!F158</x:f>
        <x:v>Sec. 2.2 VAE; Sec. 2.1 NLL; Appendix B</x:v>
      </x:c>
      <x:c r="J158" s="16" t="n">
        <x:f>Coder_B!F158</x:f>
        <x:v>0</x:v>
      </x:c>
    </x:row>
    <x:row r="159">
      <x:c r="A159" s="16" t="n">
        <x:v>158</x:v>
      </x:c>
      <x:c r="B159" s="16" t="str">
        <x:v>MODEL</x:v>
      </x:c>
      <x:c r="C159" s="16" t="str">
        <x:f>Coder_A!C159</x:f>
        <x:v>PILOT_01_M06</x:v>
      </x:c>
      <x:c r="D159" s="16" t="str">
        <x:v>fusion_location</x:v>
      </x:c>
      <x:c r="E159" s="16" t="str">
        <x:f>Coder_A!E159</x:f>
        <x:v>HIDDEN_STATE</x:v>
      </x:c>
      <x:c r="F159" s="16" t="n">
        <x:f>Coder_B!E159</x:f>
        <x:v>0</x:v>
      </x:c>
      <x:c r="G159" s="16" t="str">
        <x:f>IF(F159="","PENDING",IF(E159=F159,"AGREE","DISAGREE"))</x:f>
        <x:v>PENDING</x:v>
      </x:c>
      <x:c r="H159" s="16" t="str">
        <x:v>Y</x:v>
      </x:c>
      <x:c r="I159" s="16" t="str">
        <x:f>Coder_A!F159</x:f>
        <x:v>Sec. 2.2 VAE; Sec. 2.1 NLL; Appendix B</x:v>
      </x:c>
      <x:c r="J159" s="16" t="n">
        <x:f>Coder_B!F159</x:f>
        <x:v>0</x:v>
      </x:c>
    </x:row>
    <x:row r="160">
      <x:c r="A160" s="16" t="n">
        <x:v>159</x:v>
      </x:c>
      <x:c r="B160" s="16" t="str">
        <x:v>MODEL</x:v>
      </x:c>
      <x:c r="C160" s="16" t="str">
        <x:f>Coder_A!C160</x:f>
        <x:v>PILOT_01_M06</x:v>
      </x:c>
      <x:c r="D160" s="16" t="str">
        <x:v>ssl_family</x:v>
      </x:c>
      <x:c r="E160" s="16" t="str">
        <x:f>Coder_A!E160</x:f>
        <x:v>NONE</x:v>
      </x:c>
      <x:c r="F160" s="16" t="n">
        <x:f>Coder_B!E160</x:f>
        <x:v>0</x:v>
      </x:c>
      <x:c r="G160" s="16" t="str">
        <x:f>IF(F160="","PENDING",IF(E160=F160,"AGREE","DISAGREE"))</x:f>
        <x:v>PENDING</x:v>
      </x:c>
      <x:c r="H160" s="16" t="str">
        <x:v>Y</x:v>
      </x:c>
      <x:c r="I160" s="16" t="str">
        <x:f>Coder_A!F160</x:f>
        <x:v>Sec. 2.2 VAE; Sec. 2.1 NLL; Appendix B</x:v>
      </x:c>
      <x:c r="J160" s="16" t="n">
        <x:f>Coder_B!F160</x:f>
        <x:v>0</x:v>
      </x:c>
    </x:row>
    <x:row r="161">
      <x:c r="A161" s="16" t="n">
        <x:v>160</x:v>
      </x:c>
      <x:c r="B161" s="16" t="str">
        <x:v>MODEL</x:v>
      </x:c>
      <x:c r="C161" s="16" t="str">
        <x:f>Coder_A!C161</x:f>
        <x:v>PILOT_01_M06</x:v>
      </x:c>
      <x:c r="D161" s="16" t="str">
        <x:v>non_ssl_pretraining</x:v>
      </x:c>
      <x:c r="E161" s="16" t="str">
        <x:f>Coder_A!E161</x:f>
        <x:v>N</x:v>
      </x:c>
      <x:c r="F161" s="16" t="n">
        <x:f>Coder_B!E161</x:f>
        <x:v>0</x:v>
      </x:c>
      <x:c r="G161" s="16" t="str">
        <x:f>IF(F161="","PENDING",IF(E161=F161,"AGREE","DISAGREE"))</x:f>
        <x:v>PENDING</x:v>
      </x:c>
      <x:c r="H161" s="16" t="str">
        <x:v>Y</x:v>
      </x:c>
      <x:c r="I161" s="16" t="str">
        <x:f>Coder_A!F161</x:f>
        <x:v>Sec. 2.2 VAE; Sec. 2.1 NLL; Appendix B</x:v>
      </x:c>
      <x:c r="J161" s="16" t="n">
        <x:f>Coder_B!F161</x:f>
        <x:v>0</x:v>
      </x:c>
    </x:row>
    <x:row r="162">
      <x:c r="A162" s="16" t="n">
        <x:v>161</x:v>
      </x:c>
      <x:c r="B162" s="16" t="str">
        <x:v>MODEL</x:v>
      </x:c>
      <x:c r="C162" s="16" t="str">
        <x:f>Coder_A!C162</x:f>
        <x:v>PILOT_01_M06</x:v>
      </x:c>
      <x:c r="D162" s="16" t="str">
        <x:v>ssl_training_mode</x:v>
      </x:c>
      <x:c r="E162" s="16" t="str">
        <x:f>Coder_A!E162</x:f>
        <x:v>NA</x:v>
      </x:c>
      <x:c r="F162" s="16" t="n">
        <x:f>Coder_B!E162</x:f>
        <x:v>0</x:v>
      </x:c>
      <x:c r="G162" s="16" t="str">
        <x:f>IF(F162="","PENDING",IF(E162=F162,"AGREE","DISAGREE"))</x:f>
        <x:v>PENDING</x:v>
      </x:c>
      <x:c r="H162" s="16" t="str">
        <x:v>Y</x:v>
      </x:c>
      <x:c r="I162" s="16" t="str">
        <x:f>Coder_A!F162</x:f>
        <x:v>Sec. 2.2 VAE; Sec. 2.1 NLL; Appendix B</x:v>
      </x:c>
      <x:c r="J162" s="16" t="n">
        <x:f>Coder_B!F162</x:f>
        <x:v>0</x:v>
      </x:c>
    </x:row>
    <x:row r="163">
      <x:c r="A163" s="16" t="n">
        <x:v>162</x:v>
      </x:c>
      <x:c r="B163" s="16" t="str">
        <x:v>MODEL</x:v>
      </x:c>
      <x:c r="C163" s="16" t="str">
        <x:f>Coder_A!C163</x:f>
        <x:v>PILOT_01_M06</x:v>
      </x:c>
      <x:c r="D163" s="16" t="str">
        <x:v>ssl_target_level</x:v>
      </x:c>
      <x:c r="E163" s="16" t="str">
        <x:f>Coder_A!E163</x:f>
        <x:v>NA</x:v>
      </x:c>
      <x:c r="F163" s="16" t="n">
        <x:f>Coder_B!E163</x:f>
        <x:v>0</x:v>
      </x:c>
      <x:c r="G163" s="16" t="str">
        <x:f>IF(F163="","PENDING",IF(E163=F163,"AGREE","DISAGREE"))</x:f>
        <x:v>PENDING</x:v>
      </x:c>
      <x:c r="H163" s="16" t="str">
        <x:v>Y</x:v>
      </x:c>
      <x:c r="I163" s="16" t="str">
        <x:f>Coder_A!F163</x:f>
        <x:v>Sec. 2.2 VAE; Sec. 2.1 NLL; Appendix B</x:v>
      </x:c>
      <x:c r="J163" s="16" t="n">
        <x:f>Coder_B!F163</x:f>
        <x:v>0</x:v>
      </x:c>
    </x:row>
    <x:row r="164">
      <x:c r="A164" s="16" t="n">
        <x:v>163</x:v>
      </x:c>
      <x:c r="B164" s="16" t="str">
        <x:v>MODEL</x:v>
      </x:c>
      <x:c r="C164" s="16" t="str">
        <x:f>Coder_A!C164</x:f>
        <x:v>PILOT_01_M06</x:v>
      </x:c>
      <x:c r="D164" s="16" t="str">
        <x:v>augmentation_type</x:v>
      </x:c>
      <x:c r="E164" s="16" t="str">
        <x:f>Coder_A!E164</x:f>
        <x:v>NO_EXPLICIT_AUGMENTATION</x:v>
      </x:c>
      <x:c r="F164" s="16" t="n">
        <x:f>Coder_B!E164</x:f>
        <x:v>0</x:v>
      </x:c>
      <x:c r="G164" s="16" t="str">
        <x:f>IF(F164="","PENDING",IF(E164=F164,"AGREE","DISAGREE"))</x:f>
        <x:v>PENDING</x:v>
      </x:c>
      <x:c r="H164" s="16" t="str">
        <x:v>Y</x:v>
      </x:c>
      <x:c r="I164" s="16" t="str">
        <x:f>Coder_A!F164</x:f>
        <x:v>Sec. 2.2 VAE; Sec. 2.1 NLL; Appendix B</x:v>
      </x:c>
      <x:c r="J164" s="16" t="n">
        <x:f>Coder_B!F164</x:f>
        <x:v>0</x:v>
      </x:c>
    </x:row>
    <x:row r="165">
      <x:c r="A165" s="16" t="n">
        <x:v>164</x:v>
      </x:c>
      <x:c r="B165" s="16" t="str">
        <x:v>MODEL</x:v>
      </x:c>
      <x:c r="C165" s="16" t="str">
        <x:f>Coder_A!C165</x:f>
        <x:v>PILOT_01_M06</x:v>
      </x:c>
      <x:c r="D165" s="16" t="str">
        <x:v>educational_structure_preservation</x:v>
      </x:c>
      <x:c r="E165" s="16" t="str">
        <x:f>Coder_A!E165</x:f>
        <x:v>NO_AUGMENTATION</x:v>
      </x:c>
      <x:c r="F165" s="16" t="n">
        <x:f>Coder_B!E165</x:f>
        <x:v>0</x:v>
      </x:c>
      <x:c r="G165" s="16" t="str">
        <x:f>IF(F165="","PENDING",IF(E165=F165,"AGREE","DISAGREE"))</x:f>
        <x:v>PENDING</x:v>
      </x:c>
      <x:c r="H165" s="16" t="str">
        <x:v>Y</x:v>
      </x:c>
      <x:c r="I165" s="16" t="str">
        <x:f>Coder_A!F165</x:f>
        <x:v>Sec. 2.2 VAE; Sec. 2.1 NLL; Appendix B</x:v>
      </x:c>
      <x:c r="J165" s="16" t="n">
        <x:f>Coder_B!F165</x:f>
        <x:v>0</x:v>
      </x:c>
    </x:row>
    <x:row r="166">
      <x:c r="A166" s="16" t="n">
        <x:v>165</x:v>
      </x:c>
      <x:c r="B166" s="16" t="str">
        <x:v>MODEL</x:v>
      </x:c>
      <x:c r="C166" s="16" t="str">
        <x:f>Coder_A!C166</x:f>
        <x:v>PILOT_01_M06</x:v>
      </x:c>
      <x:c r="D166" s="16" t="str">
        <x:v>augmentation_validity_ablation</x:v>
      </x:c>
      <x:c r="E166" s="16" t="str">
        <x:f>Coder_A!E166</x:f>
        <x:v>NA</x:v>
      </x:c>
      <x:c r="F166" s="16" t="n">
        <x:f>Coder_B!E166</x:f>
        <x:v>0</x:v>
      </x:c>
      <x:c r="G166" s="16" t="str">
        <x:f>IF(F166="","PENDING",IF(E166=F166,"AGREE","DISAGREE"))</x:f>
        <x:v>PENDING</x:v>
      </x:c>
      <x:c r="H166" s="16" t="str">
        <x:v>Y</x:v>
      </x:c>
      <x:c r="I166" s="16" t="str">
        <x:f>Coder_A!F166</x:f>
        <x:v>Sec. 2.2 VAE; Sec. 2.1 NLL; Appendix B</x:v>
      </x:c>
      <x:c r="J166" s="16" t="n">
        <x:f>Coder_B!F166</x:f>
        <x:v>0</x:v>
      </x:c>
    </x:row>
    <x:row r="167">
      <x:c r="A167" s="16" t="n">
        <x:v>166</x:v>
      </x:c>
      <x:c r="B167" s="16" t="str">
        <x:v>EXPERIMENT</x:v>
      </x:c>
      <x:c r="C167" s="16" t="str">
        <x:f>Coder_A!C167</x:f>
        <x:v>PILOT_01_E01</x:v>
      </x:c>
      <x:c r="D167" s="16" t="str">
        <x:v>dataset_name</x:v>
      </x:c>
      <x:c r="E167" s="16" t="str">
        <x:f>Coder_A!E167</x:f>
        <x:v>ASSISTments</x:v>
      </x:c>
      <x:c r="F167" s="16" t="n">
        <x:f>Coder_B!E167</x:f>
        <x:v>0</x:v>
      </x:c>
      <x:c r="G167" s="16" t="str">
        <x:f>IF(F167="","PENDING",IF(E167=F167,"AGREE","DISAGREE"))</x:f>
        <x:v>PENDING</x:v>
      </x:c>
      <x:c r="H167" s="16" t="str">
        <x:v>N</x:v>
      </x:c>
      <x:c r="I167" s="16" t="str">
        <x:f>Coder_A!F167</x:f>
        <x:v>Sec. 3 Datasets; Appendix A; Table 2; Table 1; Appendix B</x:v>
      </x:c>
      <x:c r="J167" s="16" t="n">
        <x:f>Coder_B!F167</x:f>
        <x:v>0</x:v>
      </x:c>
    </x:row>
    <x:row r="168">
      <x:c r="A168" s="16" t="n">
        <x:v>167</x:v>
      </x:c>
      <x:c r="B168" s="16" t="str">
        <x:v>EXPERIMENT</x:v>
      </x:c>
      <x:c r="C168" s="16" t="str">
        <x:f>Coder_A!C168</x:f>
        <x:v>PILOT_01_E01</x:v>
      </x:c>
      <x:c r="D168" s="16" t="str">
        <x:v>dataset_version</x:v>
      </x:c>
      <x:c r="E168" s="16" t="str">
        <x:f>Coder_A!E168</x:f>
        <x:v>2009-2010 Skill Builder</x:v>
      </x:c>
      <x:c r="F168" s="16" t="n">
        <x:f>Coder_B!E168</x:f>
        <x:v>0</x:v>
      </x:c>
      <x:c r="G168" s="16" t="str">
        <x:f>IF(F168="","PENDING",IF(E168=F168,"AGREE","DISAGREE"))</x:f>
        <x:v>PENDING</x:v>
      </x:c>
      <x:c r="H168" s="16" t="str">
        <x:v>N</x:v>
      </x:c>
      <x:c r="I168" s="16" t="str">
        <x:f>Coder_A!F168</x:f>
        <x:v>Sec. 3 Datasets; Appendix A; Table 2; Table 1; Appendix B</x:v>
      </x:c>
      <x:c r="J168" s="16" t="n">
        <x:f>Coder_B!F168</x:f>
        <x:v>0</x:v>
      </x:c>
    </x:row>
    <x:row r="169">
      <x:c r="A169" s="16" t="n">
        <x:v>168</x:v>
      </x:c>
      <x:c r="B169" s="16" t="str">
        <x:v>EXPERIMENT</x:v>
      </x:c>
      <x:c r="C169" s="16" t="str">
        <x:f>Coder_A!C169</x:f>
        <x:v>PILOT_01_E01</x:v>
      </x:c>
      <x:c r="D169" s="16" t="str">
        <x:v>n_learners_reported</x:v>
      </x:c>
      <x:c r="E169" s="16" t="n">
        <x:f>Coder_A!E169</x:f>
        <x:v>1000</x:v>
      </x:c>
      <x:c r="F169" s="16" t="n">
        <x:f>Coder_B!E169</x:f>
        <x:v>0</x:v>
      </x:c>
      <x:c r="G169" s="16" t="str">
        <x:f>IF(F169="","PENDING",IF(E169=F169,"AGREE","DISAGREE"))</x:f>
        <x:v>PENDING</x:v>
      </x:c>
      <x:c r="H169" s="16" t="str">
        <x:v>N</x:v>
      </x:c>
      <x:c r="I169" s="16" t="str">
        <x:f>Coder_A!F169</x:f>
        <x:v>Sec. 3 Datasets; Appendix A; Table 2; Table 1; Appendix B</x:v>
      </x:c>
      <x:c r="J169" s="16" t="n">
        <x:f>Coder_B!F169</x:f>
        <x:v>0</x:v>
      </x:c>
    </x:row>
    <x:row r="170">
      <x:c r="A170" s="16" t="n">
        <x:v>169</x:v>
      </x:c>
      <x:c r="B170" s="16" t="str">
        <x:v>EXPERIMENT</x:v>
      </x:c>
      <x:c r="C170" s="16" t="str">
        <x:f>Coder_A!C170</x:f>
        <x:v>PILOT_01_E01</x:v>
      </x:c>
      <x:c r="D170" s="16" t="str">
        <x:v>n_items_reported</x:v>
      </x:c>
      <x:c r="E170" s="16" t="str">
        <x:f>Coder_A!E170</x:f>
        <x:v>NR</x:v>
      </x:c>
      <x:c r="F170" s="16" t="n">
        <x:f>Coder_B!E170</x:f>
        <x:v>0</x:v>
      </x:c>
      <x:c r="G170" s="16" t="str">
        <x:f>IF(F170="","PENDING",IF(E170=F170,"AGREE","DISAGREE"))</x:f>
        <x:v>PENDING</x:v>
      </x:c>
      <x:c r="H170" s="16" t="str">
        <x:v>N</x:v>
      </x:c>
      <x:c r="I170" s="16" t="str">
        <x:f>Coder_A!F170</x:f>
        <x:v>Sec. 3 Datasets; Appendix A; Table 2; Table 1; Appendix B</x:v>
      </x:c>
      <x:c r="J170" s="16" t="n">
        <x:f>Coder_B!F170</x:f>
        <x:v>0</x:v>
      </x:c>
    </x:row>
    <x:row r="171">
      <x:c r="A171" s="16" t="n">
        <x:v>170</x:v>
      </x:c>
      <x:c r="B171" s="16" t="str">
        <x:v>EXPERIMENT</x:v>
      </x:c>
      <x:c r="C171" s="16" t="str">
        <x:f>Coder_A!C171</x:f>
        <x:v>PILOT_01_E01</x:v>
      </x:c>
      <x:c r="D171" s="16" t="str">
        <x:v>n_kcs_reported</x:v>
      </x:c>
      <x:c r="E171" s="16" t="n">
        <x:f>Coder_A!E171</x:f>
        <x:v>101</x:v>
      </x:c>
      <x:c r="F171" s="16" t="n">
        <x:f>Coder_B!E171</x:f>
        <x:v>0</x:v>
      </x:c>
      <x:c r="G171" s="16" t="str">
        <x:f>IF(F171="","PENDING",IF(E171=F171,"AGREE","DISAGREE"))</x:f>
        <x:v>PENDING</x:v>
      </x:c>
      <x:c r="H171" s="16" t="str">
        <x:v>N</x:v>
      </x:c>
      <x:c r="I171" s="16" t="str">
        <x:f>Coder_A!F171</x:f>
        <x:v>Sec. 3 Datasets; Appendix A; Table 2; Table 1; Appendix B</x:v>
      </x:c>
      <x:c r="J171" s="16" t="n">
        <x:f>Coder_B!F171</x:f>
        <x:v>0</x:v>
      </x:c>
    </x:row>
    <x:row r="172">
      <x:c r="A172" s="16" t="n">
        <x:v>171</x:v>
      </x:c>
      <x:c r="B172" s="16" t="str">
        <x:v>EXPERIMENT</x:v>
      </x:c>
      <x:c r="C172" s="16" t="str">
        <x:f>Coder_A!C172</x:f>
        <x:v>PILOT_01_E01</x:v>
      </x:c>
      <x:c r="D172" s="16" t="str">
        <x:v>n_interactions_reported</x:v>
      </x:c>
      <x:c r="E172" s="16" t="n">
        <x:f>Coder_A!E172</x:f>
        <x:v>62955</x:v>
      </x:c>
      <x:c r="F172" s="16" t="n">
        <x:f>Coder_B!E172</x:f>
        <x:v>0</x:v>
      </x:c>
      <x:c r="G172" s="16" t="str">
        <x:f>IF(F172="","PENDING",IF(E172=F172,"AGREE","DISAGREE"))</x:f>
        <x:v>PENDING</x:v>
      </x:c>
      <x:c r="H172" s="16" t="str">
        <x:v>N</x:v>
      </x:c>
      <x:c r="I172" s="16" t="str">
        <x:f>Coder_A!F172</x:f>
        <x:v>Sec. 3 Datasets; Appendix A; Table 2; Table 1; Appendix B</x:v>
      </x:c>
      <x:c r="J172" s="16" t="n">
        <x:f>Coder_B!F172</x:f>
        <x:v>0</x:v>
      </x:c>
    </x:row>
    <x:row r="173">
      <x:c r="A173" s="16" t="n">
        <x:v>172</x:v>
      </x:c>
      <x:c r="B173" s="16" t="str">
        <x:v>EXPERIMENT</x:v>
      </x:c>
      <x:c r="C173" s="16" t="str">
        <x:f>Coder_A!C173</x:f>
        <x:v>PILOT_01_E01</x:v>
      </x:c>
      <x:c r="D173" s="16" t="str">
        <x:v>multi_skill_present</x:v>
      </x:c>
      <x:c r="E173" s="16" t="str">
        <x:f>Coder_A!E173</x:f>
        <x:v>UNCLEAR</x:v>
      </x:c>
      <x:c r="F173" s="16" t="n">
        <x:f>Coder_B!E173</x:f>
        <x:v>0</x:v>
      </x:c>
      <x:c r="G173" s="16" t="str">
        <x:f>IF(F173="","PENDING",IF(E173=F173,"AGREE","DISAGREE"))</x:f>
        <x:v>PENDING</x:v>
      </x:c>
      <x:c r="H173" s="16" t="str">
        <x:v>Y</x:v>
      </x:c>
      <x:c r="I173" s="16" t="str">
        <x:f>Coder_A!F173</x:f>
        <x:v>Sec. 3 Datasets; Appendix A; Table 2; Table 1; Appendix B</x:v>
      </x:c>
      <x:c r="J173" s="16" t="n">
        <x:f>Coder_B!F173</x:f>
        <x:v>0</x:v>
      </x:c>
    </x:row>
    <x:row r="174">
      <x:c r="A174" s="16" t="n">
        <x:v>173</x:v>
      </x:c>
      <x:c r="B174" s="16" t="str">
        <x:v>EXPERIMENT</x:v>
      </x:c>
      <x:c r="C174" s="16" t="str">
        <x:f>Coder_A!C174</x:f>
        <x:v>PILOT_01_E01</x:v>
      </x:c>
      <x:c r="D174" s="16" t="str">
        <x:v>multi_skill_handling</x:v>
      </x:c>
      <x:c r="E174" s="16" t="str">
        <x:f>Coder_A!E174</x:f>
        <x:v>Combine simultaneous answer logs into one; extract named skill tags</x:v>
      </x:c>
      <x:c r="F174" s="16" t="n">
        <x:f>Coder_B!E174</x:f>
        <x:v>0</x:v>
      </x:c>
      <x:c r="G174" s="16" t="str">
        <x:f>IF(F174="","PENDING",IF(E174=F174,"AGREE","DISAGREE"))</x:f>
        <x:v>PENDING</x:v>
      </x:c>
      <x:c r="H174" s="16" t="str">
        <x:v>N</x:v>
      </x:c>
      <x:c r="I174" s="16" t="str">
        <x:f>Coder_A!F174</x:f>
        <x:v>Sec. 3 Datasets; Appendix A; Table 2; Table 1; Appendix B</x:v>
      </x:c>
      <x:c r="J174" s="16" t="n">
        <x:f>Coder_B!F174</x:f>
        <x:v>0</x:v>
      </x:c>
    </x:row>
    <x:row r="175">
      <x:c r="A175" s="16" t="n">
        <x:v>174</x:v>
      </x:c>
      <x:c r="B175" s="16" t="str">
        <x:v>EXPERIMENT</x:v>
      </x:c>
      <x:c r="C175" s="16" t="str">
        <x:f>Coder_A!C175</x:f>
        <x:v>PILOT_01_E01</x:v>
      </x:c>
      <x:c r="D175" s="16" t="str">
        <x:v>sequence_truncation</x:v>
      </x:c>
      <x:c r="E175" s="16" t="str">
        <x:f>Coder_A!E175</x:f>
        <x:v>NR</x:v>
      </x:c>
      <x:c r="F175" s="16" t="n">
        <x:f>Coder_B!E175</x:f>
        <x:v>0</x:v>
      </x:c>
      <x:c r="G175" s="16" t="str">
        <x:f>IF(F175="","PENDING",IF(E175=F175,"AGREE","DISAGREE"))</x:f>
        <x:v>PENDING</x:v>
      </x:c>
      <x:c r="H175" s="16" t="str">
        <x:v>N</x:v>
      </x:c>
      <x:c r="I175" s="16" t="str">
        <x:f>Coder_A!F175</x:f>
        <x:v>Sec. 3 Datasets; Appendix A; Table 2; Table 1; Appendix B</x:v>
      </x:c>
      <x:c r="J175" s="16" t="n">
        <x:f>Coder_B!F175</x:f>
        <x:v>0</x:v>
      </x:c>
    </x:row>
    <x:row r="176">
      <x:c r="A176" s="16" t="n">
        <x:v>175</x:v>
      </x:c>
      <x:c r="B176" s="16" t="str">
        <x:v>EXPERIMENT</x:v>
      </x:c>
      <x:c r="C176" s="16" t="str">
        <x:f>Coder_A!C176</x:f>
        <x:v>PILOT_01_E01</x:v>
      </x:c>
      <x:c r="D176" s="16" t="str">
        <x:v>min_sequence_filter</x:v>
      </x:c>
      <x:c r="E176" s="16" t="str">
        <x:f>Coder_A!E176</x:f>
        <x:v>NR</x:v>
      </x:c>
      <x:c r="F176" s="16" t="n">
        <x:f>Coder_B!E176</x:f>
        <x:v>0</x:v>
      </x:c>
      <x:c r="G176" s="16" t="str">
        <x:f>IF(F176="","PENDING",IF(E176=F176,"AGREE","DISAGREE"))</x:f>
        <x:v>PENDING</x:v>
      </x:c>
      <x:c r="H176" s="16" t="str">
        <x:v>N</x:v>
      </x:c>
      <x:c r="I176" s="16" t="str">
        <x:f>Coder_A!F176</x:f>
        <x:v>Sec. 3 Datasets; Appendix A; Table 2; Table 1; Appendix B</x:v>
      </x:c>
      <x:c r="J176" s="16" t="n">
        <x:f>Coder_B!F176</x:f>
        <x:v>0</x:v>
      </x:c>
    </x:row>
    <x:row r="177">
      <x:c r="A177" s="16" t="n">
        <x:v>176</x:v>
      </x:c>
      <x:c r="B177" s="16" t="str">
        <x:v>EXPERIMENT</x:v>
      </x:c>
      <x:c r="C177" s="16" t="str">
        <x:f>Coder_A!C177</x:f>
        <x:v>PILOT_01_E01</x:v>
      </x:c>
      <x:c r="D177" s="16" t="str">
        <x:v>timestamp_used</x:v>
      </x:c>
      <x:c r="E177" s="16" t="str">
        <x:f>Coder_A!E177</x:f>
        <x:v>UNCLEAR</x:v>
      </x:c>
      <x:c r="F177" s="16" t="n">
        <x:f>Coder_B!E177</x:f>
        <x:v>0</x:v>
      </x:c>
      <x:c r="G177" s="16" t="str">
        <x:f>IF(F177="","PENDING",IF(E177=F177,"AGREE","DISAGREE"))</x:f>
        <x:v>PENDING</x:v>
      </x:c>
      <x:c r="H177" s="16" t="str">
        <x:v>Y</x:v>
      </x:c>
      <x:c r="I177" s="16" t="str">
        <x:f>Coder_A!F177</x:f>
        <x:v>Sec. 3 Datasets; Appendix A; Table 2; Table 1; Appendix B</x:v>
      </x:c>
      <x:c r="J177" s="16" t="n">
        <x:f>Coder_B!F177</x:f>
        <x:v>0</x:v>
      </x:c>
    </x:row>
    <x:row r="178">
      <x:c r="A178" s="16" t="n">
        <x:v>177</x:v>
      </x:c>
      <x:c r="B178" s="16" t="str">
        <x:v>EXPERIMENT</x:v>
      </x:c>
      <x:c r="C178" s="16" t="str">
        <x:f>Coder_A!C178</x:f>
        <x:v>PILOT_01_E01</x:v>
      </x:c>
      <x:c r="D178" s="16" t="str">
        <x:v>preprocessing_code_available</x:v>
      </x:c>
      <x:c r="E178" s="16" t="str">
        <x:f>Coder_A!E178</x:f>
        <x:v>NR</x:v>
      </x:c>
      <x:c r="F178" s="16" t="n">
        <x:f>Coder_B!E178</x:f>
        <x:v>0</x:v>
      </x:c>
      <x:c r="G178" s="16" t="str">
        <x:f>IF(F178="","PENDING",IF(E178=F178,"AGREE","DISAGREE"))</x:f>
        <x:v>PENDING</x:v>
      </x:c>
      <x:c r="H178" s="16" t="str">
        <x:v>Y</x:v>
      </x:c>
      <x:c r="I178" s="16" t="str">
        <x:f>Coder_A!F178</x:f>
        <x:v>Sec. 3 Datasets; Appendix A; Table 2; Table 1; Appendix B</x:v>
      </x:c>
      <x:c r="J178" s="16" t="n">
        <x:f>Coder_B!F178</x:f>
        <x:v>0</x:v>
      </x:c>
    </x:row>
    <x:row r="179">
      <x:c r="A179" s="16" t="n">
        <x:v>178</x:v>
      </x:c>
      <x:c r="B179" s="16" t="str">
        <x:v>EXPERIMENT</x:v>
      </x:c>
      <x:c r="C179" s="16" t="str">
        <x:f>Coder_A!C179</x:f>
        <x:v>PILOT_01_E01</x:v>
      </x:c>
      <x:c r="D179" s="16" t="str">
        <x:v>split_type</x:v>
      </x:c>
      <x:c r="E179" s="16" t="str">
        <x:f>Coder_A!E179</x:f>
        <x:v>LEARNER_BASED</x:v>
      </x:c>
      <x:c r="F179" s="16" t="n">
        <x:f>Coder_B!E179</x:f>
        <x:v>0</x:v>
      </x:c>
      <x:c r="G179" s="16" t="str">
        <x:f>IF(F179="","PENDING",IF(E179=F179,"AGREE","DISAGREE"))</x:f>
        <x:v>PENDING</x:v>
      </x:c>
      <x:c r="H179" s="16" t="str">
        <x:v>Y</x:v>
      </x:c>
      <x:c r="I179" s="16" t="str">
        <x:f>Coder_A!F179</x:f>
        <x:v>Sec. 3 Datasets; Appendix A; Table 2; Table 1; Appendix B</x:v>
      </x:c>
      <x:c r="J179" s="16" t="n">
        <x:f>Coder_B!F179</x:f>
        <x:v>0</x:v>
      </x:c>
    </x:row>
    <x:row r="180">
      <x:c r="A180" s="16" t="n">
        <x:v>179</x:v>
      </x:c>
      <x:c r="B180" s="16" t="str">
        <x:v>EXPERIMENT</x:v>
      </x:c>
      <x:c r="C180" s="16" t="str">
        <x:f>Coder_A!C180</x:f>
        <x:v>PILOT_01_E01</x:v>
      </x:c>
      <x:c r="D180" s="16" t="str">
        <x:v>split_unit_original</x:v>
      </x:c>
      <x:c r="E180" s="16" t="str">
        <x:f>Coder_A!E180</x:f>
        <x:v>students</x:v>
      </x:c>
      <x:c r="F180" s="16" t="n">
        <x:f>Coder_B!E180</x:f>
        <x:v>0</x:v>
      </x:c>
      <x:c r="G180" s="16" t="str">
        <x:f>IF(F180="","PENDING",IF(E180=F180,"AGREE","DISAGREE"))</x:f>
        <x:v>PENDING</x:v>
      </x:c>
      <x:c r="H180" s="16" t="str">
        <x:v>N</x:v>
      </x:c>
      <x:c r="I180" s="16" t="str">
        <x:f>Coder_A!F180</x:f>
        <x:v>Sec. 3 Datasets; Appendix A; Table 2; Table 1; Appendix B</x:v>
      </x:c>
      <x:c r="J180" s="16" t="n">
        <x:f>Coder_B!F180</x:f>
        <x:v>0</x:v>
      </x:c>
    </x:row>
    <x:row r="181">
      <x:c r="A181" s="16" t="n">
        <x:v>180</x:v>
      </x:c>
      <x:c r="B181" s="16" t="str">
        <x:v>EXPERIMENT</x:v>
      </x:c>
      <x:c r="C181" s="16" t="str">
        <x:f>Coder_A!C181</x:f>
        <x:v>PILOT_01_E01</x:v>
      </x:c>
      <x:c r="D181" s="16" t="str">
        <x:v>train_fraction</x:v>
      </x:c>
      <x:c r="E181" s="16" t="n">
        <x:f>Coder_A!E181</x:f>
        <x:v>0.8</x:v>
      </x:c>
      <x:c r="F181" s="16" t="n">
        <x:f>Coder_B!E181</x:f>
        <x:v>0</x:v>
      </x:c>
      <x:c r="G181" s="16" t="str">
        <x:f>IF(F181="","PENDING",IF(E181=F181,"AGREE","DISAGREE"))</x:f>
        <x:v>PENDING</x:v>
      </x:c>
      <x:c r="H181" s="16" t="str">
        <x:v>N</x:v>
      </x:c>
      <x:c r="I181" s="16" t="str">
        <x:f>Coder_A!F181</x:f>
        <x:v>Sec. 3 Datasets; Appendix A; Table 2; Table 1; Appendix B</x:v>
      </x:c>
      <x:c r="J181" s="16" t="n">
        <x:f>Coder_B!F181</x:f>
        <x:v>0</x:v>
      </x:c>
    </x:row>
    <x:row r="182">
      <x:c r="A182" s="16" t="n">
        <x:v>181</x:v>
      </x:c>
      <x:c r="B182" s="16" t="str">
        <x:v>EXPERIMENT</x:v>
      </x:c>
      <x:c r="C182" s="16" t="str">
        <x:f>Coder_A!C182</x:f>
        <x:v>PILOT_01_E01</x:v>
      </x:c>
      <x:c r="D182" s="16" t="str">
        <x:v>validation_fraction</x:v>
      </x:c>
      <x:c r="E182" s="16" t="n">
        <x:f>Coder_A!E182</x:f>
        <x:v>0.1</x:v>
      </x:c>
      <x:c r="F182" s="16" t="n">
        <x:f>Coder_B!E182</x:f>
        <x:v>0</x:v>
      </x:c>
      <x:c r="G182" s="16" t="str">
        <x:f>IF(F182="","PENDING",IF(E182=F182,"AGREE","DISAGREE"))</x:f>
        <x:v>PENDING</x:v>
      </x:c>
      <x:c r="H182" s="16" t="str">
        <x:v>N</x:v>
      </x:c>
      <x:c r="I182" s="16" t="str">
        <x:f>Coder_A!F182</x:f>
        <x:v>Sec. 3 Datasets; Appendix A; Table 2; Table 1; Appendix B</x:v>
      </x:c>
      <x:c r="J182" s="16" t="n">
        <x:f>Coder_B!F182</x:f>
        <x:v>0</x:v>
      </x:c>
    </x:row>
    <x:row r="183">
      <x:c r="A183" s="16" t="n">
        <x:v>182</x:v>
      </x:c>
      <x:c r="B183" s="16" t="str">
        <x:v>EXPERIMENT</x:v>
      </x:c>
      <x:c r="C183" s="16" t="str">
        <x:f>Coder_A!C183</x:f>
        <x:v>PILOT_01_E01</x:v>
      </x:c>
      <x:c r="D183" s="16" t="str">
        <x:v>test_fraction</x:v>
      </x:c>
      <x:c r="E183" s="16" t="n">
        <x:f>Coder_A!E183</x:f>
        <x:v>0.1</x:v>
      </x:c>
      <x:c r="F183" s="16" t="n">
        <x:f>Coder_B!E183</x:f>
        <x:v>0</x:v>
      </x:c>
      <x:c r="G183" s="16" t="str">
        <x:f>IF(F183="","PENDING",IF(E183=F183,"AGREE","DISAGREE"))</x:f>
        <x:v>PENDING</x:v>
      </x:c>
      <x:c r="H183" s="16" t="str">
        <x:v>N</x:v>
      </x:c>
      <x:c r="I183" s="16" t="str">
        <x:f>Coder_A!F183</x:f>
        <x:v>Sec. 3 Datasets; Appendix A; Table 2; Table 1; Appendix B</x:v>
      </x:c>
      <x:c r="J183" s="16" t="n">
        <x:f>Coder_B!F183</x:f>
        <x:v>0</x:v>
      </x:c>
    </x:row>
    <x:row r="184">
      <x:c r="A184" s="16" t="n">
        <x:v>183</x:v>
      </x:c>
      <x:c r="B184" s="16" t="str">
        <x:v>EXPERIMENT</x:v>
      </x:c>
      <x:c r="C184" s="16" t="str">
        <x:f>Coder_A!C184</x:f>
        <x:v>PILOT_01_E01</x:v>
      </x:c>
      <x:c r="D184" s="16" t="str">
        <x:v>validation_set_separate</x:v>
      </x:c>
      <x:c r="E184" s="16" t="str">
        <x:f>Coder_A!E184</x:f>
        <x:v>Y</x:v>
      </x:c>
      <x:c r="F184" s="16" t="n">
        <x:f>Coder_B!E184</x:f>
        <x:v>0</x:v>
      </x:c>
      <x:c r="G184" s="16" t="str">
        <x:f>IF(F184="","PENDING",IF(E184=F184,"AGREE","DISAGREE"))</x:f>
        <x:v>PENDING</x:v>
      </x:c>
      <x:c r="H184" s="16" t="str">
        <x:v>Y</x:v>
      </x:c>
      <x:c r="I184" s="16" t="str">
        <x:f>Coder_A!F184</x:f>
        <x:v>Sec. 3 Datasets; Appendix A; Table 2; Table 1; Appendix B</x:v>
      </x:c>
      <x:c r="J184" s="16" t="n">
        <x:f>Coder_B!F184</x:f>
        <x:v>0</x:v>
      </x:c>
    </x:row>
    <x:row r="185">
      <x:c r="A185" s="16" t="n">
        <x:v>184</x:v>
      </x:c>
      <x:c r="B185" s="16" t="str">
        <x:v>EXPERIMENT</x:v>
      </x:c>
      <x:c r="C185" s="16" t="str">
        <x:f>Coder_A!C185</x:f>
        <x:v>PILOT_01_E01</x:v>
      </x:c>
      <x:c r="D185" s="16" t="str">
        <x:v>early_stopping_validation_only</x:v>
      </x:c>
      <x:c r="E185" s="16" t="str">
        <x:f>Coder_A!E185</x:f>
        <x:v>UNCLEAR</x:v>
      </x:c>
      <x:c r="F185" s="16" t="n">
        <x:f>Coder_B!E185</x:f>
        <x:v>0</x:v>
      </x:c>
      <x:c r="G185" s="16" t="str">
        <x:f>IF(F185="","PENDING",IF(E185=F185,"AGREE","DISAGREE"))</x:f>
        <x:v>PENDING</x:v>
      </x:c>
      <x:c r="H185" s="16" t="str">
        <x:v>Y</x:v>
      </x:c>
      <x:c r="I185" s="16" t="str">
        <x:f>Coder_A!F185</x:f>
        <x:v>Sec. 3 Datasets; Appendix A; Table 2; Table 1; Appendix B</x:v>
      </x:c>
      <x:c r="J185" s="16" t="n">
        <x:f>Coder_B!F185</x:f>
        <x:v>0</x:v>
      </x:c>
    </x:row>
    <x:row r="186">
      <x:c r="A186" s="16" t="n">
        <x:v>185</x:v>
      </x:c>
      <x:c r="B186" s="16" t="str">
        <x:v>EXPERIMENT</x:v>
      </x:c>
      <x:c r="C186" s="16" t="str">
        <x:f>Coder_A!C186</x:f>
        <x:v>PILOT_01_E01</x:v>
      </x:c>
      <x:c r="D186" s="16" t="str">
        <x:v>graph_train_only</x:v>
      </x:c>
      <x:c r="E186" s="16" t="str">
        <x:f>Coder_A!E186</x:f>
        <x:v>NA</x:v>
      </x:c>
      <x:c r="F186" s="16" t="n">
        <x:f>Coder_B!E186</x:f>
        <x:v>0</x:v>
      </x:c>
      <x:c r="G186" s="16" t="str">
        <x:f>IF(F186="","PENDING",IF(E186=F186,"AGREE","DISAGREE"))</x:f>
        <x:v>PENDING</x:v>
      </x:c>
      <x:c r="H186" s="16" t="str">
        <x:v>Y</x:v>
      </x:c>
      <x:c r="I186" s="16" t="str">
        <x:f>Coder_A!F186</x:f>
        <x:v>Sec. 3 Datasets; Appendix A; Table 2; Table 1; Appendix B</x:v>
      </x:c>
      <x:c r="J186" s="16" t="n">
        <x:f>Coder_B!F186</x:f>
        <x:v>0</x:v>
      </x:c>
    </x:row>
    <x:row r="187">
      <x:c r="A187" s="16" t="n">
        <x:v>186</x:v>
      </x:c>
      <x:c r="B187" s="16" t="str">
        <x:v>EXPERIMENT</x:v>
      </x:c>
      <x:c r="C187" s="16" t="str">
        <x:f>Coder_A!C187</x:f>
        <x:v>PILOT_01_E01</x:v>
      </x:c>
      <x:c r="D187" s="16" t="str">
        <x:v>normalization_train_only</x:v>
      </x:c>
      <x:c r="E187" s="16" t="str">
        <x:f>Coder_A!E187</x:f>
        <x:v>NR</x:v>
      </x:c>
      <x:c r="F187" s="16" t="n">
        <x:f>Coder_B!E187</x:f>
        <x:v>0</x:v>
      </x:c>
      <x:c r="G187" s="16" t="str">
        <x:f>IF(F187="","PENDING",IF(E187=F187,"AGREE","DISAGREE"))</x:f>
        <x:v>PENDING</x:v>
      </x:c>
      <x:c r="H187" s="16" t="str">
        <x:v>Y</x:v>
      </x:c>
      <x:c r="I187" s="16" t="str">
        <x:f>Coder_A!F187</x:f>
        <x:v>Sec. 3 Datasets; Appendix A; Table 2; Table 1; Appendix B</x:v>
      </x:c>
      <x:c r="J187" s="16" t="n">
        <x:f>Coder_B!F187</x:f>
        <x:v>0</x:v>
      </x:c>
    </x:row>
    <x:row r="188">
      <x:c r="A188" s="16" t="n">
        <x:v>187</x:v>
      </x:c>
      <x:c r="B188" s="16" t="str">
        <x:v>EXPERIMENT</x:v>
      </x:c>
      <x:c r="C188" s="16" t="str">
        <x:f>Coder_A!C188</x:f>
        <x:v>PILOT_01_E01</x:v>
      </x:c>
      <x:c r="D188" s="16" t="str">
        <x:v>sparse_strata_train_only</x:v>
      </x:c>
      <x:c r="E188" s="16" t="str">
        <x:f>Coder_A!E188</x:f>
        <x:v>NA</x:v>
      </x:c>
      <x:c r="F188" s="16" t="n">
        <x:f>Coder_B!E188</x:f>
        <x:v>0</x:v>
      </x:c>
      <x:c r="G188" s="16" t="str">
        <x:f>IF(F188="","PENDING",IF(E188=F188,"AGREE","DISAGREE"))</x:f>
        <x:v>PENDING</x:v>
      </x:c>
      <x:c r="H188" s="16" t="str">
        <x:v>Y</x:v>
      </x:c>
      <x:c r="I188" s="16" t="str">
        <x:f>Coder_A!F188</x:f>
        <x:v>Sec. 3 Datasets; Appendix A; Table 2; Table 1; Appendix B</x:v>
      </x:c>
      <x:c r="J188" s="16" t="n">
        <x:f>Coder_B!F188</x:f>
        <x:v>0</x:v>
      </x:c>
    </x:row>
    <x:row r="189">
      <x:c r="A189" s="16" t="n">
        <x:v>188</x:v>
      </x:c>
      <x:c r="B189" s="16" t="str">
        <x:v>EXPERIMENT</x:v>
      </x:c>
      <x:c r="C189" s="16" t="str">
        <x:f>Coder_A!C189</x:f>
        <x:v>PILOT_01_E01</x:v>
      </x:c>
      <x:c r="D189" s="16" t="str">
        <x:v>temporal_alignment_audited</x:v>
      </x:c>
      <x:c r="E189" s="16" t="str">
        <x:f>Coder_A!E189</x:f>
        <x:v>NR</x:v>
      </x:c>
      <x:c r="F189" s="16" t="n">
        <x:f>Coder_B!E189</x:f>
        <x:v>0</x:v>
      </x:c>
      <x:c r="G189" s="16" t="str">
        <x:f>IF(F189="","PENDING",IF(E189=F189,"AGREE","DISAGREE"))</x:f>
        <x:v>PENDING</x:v>
      </x:c>
      <x:c r="H189" s="16" t="str">
        <x:v>Y</x:v>
      </x:c>
      <x:c r="I189" s="16" t="str">
        <x:f>Coder_A!F189</x:f>
        <x:v>Sec. 3 Datasets; Appendix A; Table 2; Table 1; Appendix B</x:v>
      </x:c>
      <x:c r="J189" s="16" t="n">
        <x:f>Coder_B!F189</x:f>
        <x:v>0</x:v>
      </x:c>
    </x:row>
    <x:row r="190">
      <x:c r="A190" s="16" t="n">
        <x:v>189</x:v>
      </x:c>
      <x:c r="B190" s="16" t="str">
        <x:v>EXPERIMENT</x:v>
      </x:c>
      <x:c r="C190" s="16" t="str">
        <x:f>Coder_A!C190</x:f>
        <x:v>PILOT_01_E01</x:v>
      </x:c>
      <x:c r="D190" s="16" t="str">
        <x:v>duplicate_entity_leakage_checked</x:v>
      </x:c>
      <x:c r="E190" s="16" t="str">
        <x:f>Coder_A!E190</x:f>
        <x:v>NR</x:v>
      </x:c>
      <x:c r="F190" s="16" t="n">
        <x:f>Coder_B!E190</x:f>
        <x:v>0</x:v>
      </x:c>
      <x:c r="G190" s="16" t="str">
        <x:f>IF(F190="","PENDING",IF(E190=F190,"AGREE","DISAGREE"))</x:f>
        <x:v>PENDING</x:v>
      </x:c>
      <x:c r="H190" s="16" t="str">
        <x:v>Y</x:v>
      </x:c>
      <x:c r="I190" s="16" t="str">
        <x:f>Coder_A!F190</x:f>
        <x:v>Sec. 3 Datasets; Appendix A; Table 2; Table 1; Appendix B</x:v>
      </x:c>
      <x:c r="J190" s="16" t="n">
        <x:f>Coder_B!F190</x:f>
        <x:v>0</x:v>
      </x:c>
    </x:row>
    <x:row r="191">
      <x:c r="A191" s="16" t="n">
        <x:v>190</x:v>
      </x:c>
      <x:c r="B191" s="16" t="str">
        <x:v>EXPERIMENT</x:v>
      </x:c>
      <x:c r="C191" s="16" t="str">
        <x:f>Coder_A!C191</x:f>
        <x:v>PILOT_01_E01</x:v>
      </x:c>
      <x:c r="D191" s="16" t="str">
        <x:v>sparsity_construct</x:v>
      </x:c>
      <x:c r="E191" s="16" t="str">
        <x:f>Coder_A!E191</x:f>
        <x:v>NO_EXPLICIT_FOCUS</x:v>
      </x:c>
      <x:c r="F191" s="16" t="n">
        <x:f>Coder_B!E191</x:f>
        <x:v>0</x:v>
      </x:c>
      <x:c r="G191" s="16" t="str">
        <x:f>IF(F191="","PENDING",IF(E191=F191,"AGREE","DISAGREE"))</x:f>
        <x:v>PENDING</x:v>
      </x:c>
      <x:c r="H191" s="16" t="str">
        <x:v>Y</x:v>
      </x:c>
      <x:c r="I191" s="16" t="str">
        <x:f>Coder_A!F191</x:f>
        <x:v>Sec. 3 Datasets; Appendix A; Table 2; Table 1; Appendix B</x:v>
      </x:c>
      <x:c r="J191" s="16" t="n">
        <x:f>Coder_B!F191</x:f>
        <x:v>0</x:v>
      </x:c>
    </x:row>
    <x:row r="192">
      <x:c r="A192" s="16" t="n">
        <x:v>191</x:v>
      </x:c>
      <x:c r="B192" s="16" t="str">
        <x:v>EXPERIMENT</x:v>
      </x:c>
      <x:c r="C192" s="16" t="str">
        <x:f>Coder_A!C192</x:f>
        <x:v>PILOT_01_E01</x:v>
      </x:c>
      <x:c r="D192" s="16" t="str">
        <x:v>sparse_definition_original</x:v>
      </x:c>
      <x:c r="E192" s="16" t="str">
        <x:f>Coder_A!E192</x:f>
        <x:v>NA</x:v>
      </x:c>
      <x:c r="F192" s="16" t="n">
        <x:f>Coder_B!E192</x:f>
        <x:v>0</x:v>
      </x:c>
      <x:c r="G192" s="16" t="str">
        <x:f>IF(F192="","PENDING",IF(E192=F192,"AGREE","DISAGREE"))</x:f>
        <x:v>PENDING</x:v>
      </x:c>
      <x:c r="H192" s="16" t="str">
        <x:v>N</x:v>
      </x:c>
      <x:c r="I192" s="16" t="str">
        <x:f>Coder_A!F192</x:f>
        <x:v>Sec. 3 Datasets; Appendix A; Table 2; Table 1; Appendix B</x:v>
      </x:c>
      <x:c r="J192" s="16" t="n">
        <x:f>Coder_B!F192</x:f>
        <x:v>0</x:v>
      </x:c>
    </x:row>
    <x:row r="193">
      <x:c r="A193" s="16" t="n">
        <x:v>192</x:v>
      </x:c>
      <x:c r="B193" s="16" t="str">
        <x:v>EXPERIMENT</x:v>
      </x:c>
      <x:c r="C193" s="16" t="str">
        <x:f>Coder_A!C193</x:f>
        <x:v>PILOT_01_E01</x:v>
      </x:c>
      <x:c r="D193" s="16" t="str">
        <x:v>sparse_threshold_original</x:v>
      </x:c>
      <x:c r="E193" s="16" t="str">
        <x:f>Coder_A!E193</x:f>
        <x:v>NA</x:v>
      </x:c>
      <x:c r="F193" s="16" t="n">
        <x:f>Coder_B!E193</x:f>
        <x:v>0</x:v>
      </x:c>
      <x:c r="G193" s="16" t="str">
        <x:f>IF(F193="","PENDING",IF(E193=F193,"AGREE","DISAGREE"))</x:f>
        <x:v>PENDING</x:v>
      </x:c>
      <x:c r="H193" s="16" t="str">
        <x:v>N</x:v>
      </x:c>
      <x:c r="I193" s="16" t="str">
        <x:f>Coder_A!F193</x:f>
        <x:v>Sec. 3 Datasets; Appendix A; Table 2; Table 1; Appendix B</x:v>
      </x:c>
      <x:c r="J193" s="16" t="n">
        <x:f>Coder_B!F193</x:f>
        <x:v>0</x:v>
      </x:c>
    </x:row>
    <x:row r="194">
      <x:c r="A194" s="16" t="n">
        <x:v>193</x:v>
      </x:c>
      <x:c r="B194" s="16" t="str">
        <x:v>EXPERIMENT</x:v>
      </x:c>
      <x:c r="C194" s="16" t="str">
        <x:f>Coder_A!C194</x:f>
        <x:v>PILOT_01_E01</x:v>
      </x:c>
      <x:c r="D194" s="16" t="str">
        <x:v>threshold_source</x:v>
      </x:c>
      <x:c r="E194" s="16" t="str">
        <x:f>Coder_A!E194</x:f>
        <x:v>NA</x:v>
      </x:c>
      <x:c r="F194" s="16" t="n">
        <x:f>Coder_B!E194</x:f>
        <x:v>0</x:v>
      </x:c>
      <x:c r="G194" s="16" t="str">
        <x:f>IF(F194="","PENDING",IF(E194=F194,"AGREE","DISAGREE"))</x:f>
        <x:v>PENDING</x:v>
      </x:c>
      <x:c r="H194" s="16" t="str">
        <x:v>Y</x:v>
      </x:c>
      <x:c r="I194" s="16" t="str">
        <x:f>Coder_A!F194</x:f>
        <x:v>Sec. 3 Datasets; Appendix A; Table 2; Table 1; Appendix B</x:v>
      </x:c>
      <x:c r="J194" s="16" t="n">
        <x:f>Coder_B!F194</x:f>
        <x:v>0</x:v>
      </x:c>
    </x:row>
    <x:row r="195">
      <x:c r="A195" s="16" t="n">
        <x:v>194</x:v>
      </x:c>
      <x:c r="B195" s="16" t="str">
        <x:v>EXPERIMENT</x:v>
      </x:c>
      <x:c r="C195" s="16" t="str">
        <x:f>Coder_A!C195</x:f>
        <x:v>PILOT_01_E01</x:v>
      </x:c>
      <x:c r="D195" s="16" t="str">
        <x:v>frequency_computed_on</x:v>
      </x:c>
      <x:c r="E195" s="16" t="str">
        <x:f>Coder_A!E195</x:f>
        <x:v>NA</x:v>
      </x:c>
      <x:c r="F195" s="16" t="n">
        <x:f>Coder_B!E195</x:f>
        <x:v>0</x:v>
      </x:c>
      <x:c r="G195" s="16" t="str">
        <x:f>IF(F195="","PENDING",IF(E195=F195,"AGREE","DISAGREE"))</x:f>
        <x:v>PENDING</x:v>
      </x:c>
      <x:c r="H195" s="16" t="str">
        <x:v>Y</x:v>
      </x:c>
      <x:c r="I195" s="16" t="str">
        <x:f>Coder_A!F195</x:f>
        <x:v>Sec. 3 Datasets; Appendix A; Table 2; Table 1; Appendix B</x:v>
      </x:c>
      <x:c r="J195" s="16" t="n">
        <x:f>Coder_B!F195</x:f>
        <x:v>0</x:v>
      </x:c>
    </x:row>
    <x:row r="196">
      <x:c r="A196" s="16" t="n">
        <x:v>195</x:v>
      </x:c>
      <x:c r="B196" s="16" t="str">
        <x:v>EXPERIMENT</x:v>
      </x:c>
      <x:c r="C196" s="16" t="str">
        <x:f>Coder_A!C196</x:f>
        <x:v>PILOT_01_E01</x:v>
      </x:c>
      <x:c r="D196" s="16" t="str">
        <x:v>strict_zero_train_verified</x:v>
      </x:c>
      <x:c r="E196" s="16" t="str">
        <x:f>Coder_A!E196</x:f>
        <x:v>NA</x:v>
      </x:c>
      <x:c r="F196" s="16" t="n">
        <x:f>Coder_B!E196</x:f>
        <x:v>0</x:v>
      </x:c>
      <x:c r="G196" s="16" t="str">
        <x:f>IF(F196="","PENDING",IF(E196=F196,"AGREE","DISAGREE"))</x:f>
        <x:v>PENDING</x:v>
      </x:c>
      <x:c r="H196" s="16" t="str">
        <x:v>Y</x:v>
      </x:c>
      <x:c r="I196" s="16" t="str">
        <x:f>Coder_A!F196</x:f>
        <x:v>Sec. 3 Datasets; Appendix A; Table 2; Table 1; Appendix B</x:v>
      </x:c>
      <x:c r="J196" s="16" t="n">
        <x:f>Coder_B!F196</x:f>
        <x:v>0</x:v>
      </x:c>
    </x:row>
    <x:row r="197">
      <x:c r="A197" s="16" t="n">
        <x:v>196</x:v>
      </x:c>
      <x:c r="B197" s="16" t="str">
        <x:v>EXPERIMENT</x:v>
      </x:c>
      <x:c r="C197" s="16" t="str">
        <x:f>Coder_A!C197</x:f>
        <x:v>PILOT_01_E01</x:v>
      </x:c>
      <x:c r="D197" s="16" t="str">
        <x:v>external_info_for_unseen_kc</x:v>
      </x:c>
      <x:c r="E197" s="16" t="str">
        <x:f>Coder_A!E197</x:f>
        <x:v>NA</x:v>
      </x:c>
      <x:c r="F197" s="16" t="n">
        <x:f>Coder_B!E197</x:f>
        <x:v>0</x:v>
      </x:c>
      <x:c r="G197" s="16" t="str">
        <x:f>IF(F197="","PENDING",IF(E197=F197,"AGREE","DISAGREE"))</x:f>
        <x:v>PENDING</x:v>
      </x:c>
      <x:c r="H197" s="16" t="str">
        <x:v>Y</x:v>
      </x:c>
      <x:c r="I197" s="16" t="str">
        <x:f>Coder_A!F197</x:f>
        <x:v>Sec. 3 Datasets; Appendix A; Table 2; Table 1; Appendix B</x:v>
      </x:c>
      <x:c r="J197" s="16" t="n">
        <x:f>Coder_B!F197</x:f>
        <x:v>0</x:v>
      </x:c>
    </x:row>
    <x:row r="198">
      <x:c r="A198" s="16" t="n">
        <x:v>197</x:v>
      </x:c>
      <x:c r="B198" s="16" t="str">
        <x:v>EXPERIMENT</x:v>
      </x:c>
      <x:c r="C198" s="16" t="str">
        <x:f>Coder_A!C198</x:f>
        <x:v>PILOT_01_E01</x:v>
      </x:c>
      <x:c r="D198" s="16" t="str">
        <x:v>support_kcs</x:v>
      </x:c>
      <x:c r="E198" s="16" t="str">
        <x:f>Coder_A!E198</x:f>
        <x:v>NA</x:v>
      </x:c>
      <x:c r="F198" s="16" t="n">
        <x:f>Coder_B!E198</x:f>
        <x:v>0</x:v>
      </x:c>
      <x:c r="G198" s="16" t="str">
        <x:f>IF(F198="","PENDING",IF(E198=F198,"AGREE","DISAGREE"))</x:f>
        <x:v>PENDING</x:v>
      </x:c>
      <x:c r="H198" s="16" t="str">
        <x:v>N</x:v>
      </x:c>
      <x:c r="I198" s="16" t="str">
        <x:f>Coder_A!F198</x:f>
        <x:v>Sec. 3 Datasets; Appendix A; Table 2; Table 1; Appendix B</x:v>
      </x:c>
      <x:c r="J198" s="16" t="n">
        <x:f>Coder_B!F198</x:f>
        <x:v>0</x:v>
      </x:c>
    </x:row>
    <x:row r="199">
      <x:c r="A199" s="16" t="n">
        <x:v>198</x:v>
      </x:c>
      <x:c r="B199" s="16" t="str">
        <x:v>EXPERIMENT</x:v>
      </x:c>
      <x:c r="C199" s="16" t="str">
        <x:f>Coder_A!C199</x:f>
        <x:v>PILOT_01_E01</x:v>
      </x:c>
      <x:c r="D199" s="16" t="str">
        <x:v>support_learners</x:v>
      </x:c>
      <x:c r="E199" s="16" t="str">
        <x:f>Coder_A!E199</x:f>
        <x:v>NA</x:v>
      </x:c>
      <x:c r="F199" s="16" t="n">
        <x:f>Coder_B!E199</x:f>
        <x:v>0</x:v>
      </x:c>
      <x:c r="G199" s="16" t="str">
        <x:f>IF(F199="","PENDING",IF(E199=F199,"AGREE","DISAGREE"))</x:f>
        <x:v>PENDING</x:v>
      </x:c>
      <x:c r="H199" s="16" t="str">
        <x:v>N</x:v>
      </x:c>
      <x:c r="I199" s="16" t="str">
        <x:f>Coder_A!F199</x:f>
        <x:v>Sec. 3 Datasets; Appendix A; Table 2; Table 1; Appendix B</x:v>
      </x:c>
      <x:c r="J199" s="16" t="n">
        <x:f>Coder_B!F199</x:f>
        <x:v>0</x:v>
      </x:c>
    </x:row>
    <x:row r="200">
      <x:c r="A200" s="16" t="n">
        <x:v>199</x:v>
      </x:c>
      <x:c r="B200" s="16" t="str">
        <x:v>EXPERIMENT</x:v>
      </x:c>
      <x:c r="C200" s="16" t="str">
        <x:f>Coder_A!C200</x:f>
        <x:v>PILOT_01_E01</x:v>
      </x:c>
      <x:c r="D200" s="16" t="str">
        <x:v>support_items</x:v>
      </x:c>
      <x:c r="E200" s="16" t="str">
        <x:f>Coder_A!E200</x:f>
        <x:v>NA</x:v>
      </x:c>
      <x:c r="F200" s="16" t="n">
        <x:f>Coder_B!E200</x:f>
        <x:v>0</x:v>
      </x:c>
      <x:c r="G200" s="16" t="str">
        <x:f>IF(F200="","PENDING",IF(E200=F200,"AGREE","DISAGREE"))</x:f>
        <x:v>PENDING</x:v>
      </x:c>
      <x:c r="H200" s="16" t="str">
        <x:v>N</x:v>
      </x:c>
      <x:c r="I200" s="16" t="str">
        <x:f>Coder_A!F200</x:f>
        <x:v>Sec. 3 Datasets; Appendix A; Table 2; Table 1; Appendix B</x:v>
      </x:c>
      <x:c r="J200" s="16" t="n">
        <x:f>Coder_B!F200</x:f>
        <x:v>0</x:v>
      </x:c>
    </x:row>
    <x:row r="201">
      <x:c r="A201" s="16" t="n">
        <x:v>200</x:v>
      </x:c>
      <x:c r="B201" s="16" t="str">
        <x:v>EXPERIMENT</x:v>
      </x:c>
      <x:c r="C201" s="16" t="str">
        <x:f>Coder_A!C201</x:f>
        <x:v>PILOT_01_E01</x:v>
      </x:c>
      <x:c r="D201" s="16" t="str">
        <x:v>support_test_interactions</x:v>
      </x:c>
      <x:c r="E201" s="16" t="str">
        <x:f>Coder_A!E201</x:f>
        <x:v>NA</x:v>
      </x:c>
      <x:c r="F201" s="16" t="n">
        <x:f>Coder_B!E201</x:f>
        <x:v>0</x:v>
      </x:c>
      <x:c r="G201" s="16" t="str">
        <x:f>IF(F201="","PENDING",IF(E201=F201,"AGREE","DISAGREE"))</x:f>
        <x:v>PENDING</x:v>
      </x:c>
      <x:c r="H201" s="16" t="str">
        <x:v>N</x:v>
      </x:c>
      <x:c r="I201" s="16" t="str">
        <x:f>Coder_A!F201</x:f>
        <x:v>Sec. 3 Datasets; Appendix A; Table 2; Table 1; Appendix B</x:v>
      </x:c>
      <x:c r="J201" s="16" t="n">
        <x:f>Coder_B!F201</x:f>
        <x:v>0</x:v>
      </x:c>
    </x:row>
    <x:row r="202">
      <x:c r="A202" s="16" t="n">
        <x:v>201</x:v>
      </x:c>
      <x:c r="B202" s="16" t="str">
        <x:v>EXPERIMENT</x:v>
      </x:c>
      <x:c r="C202" s="16" t="str">
        <x:f>Coder_A!C202</x:f>
        <x:v>PILOT_01_E01</x:v>
      </x:c>
      <x:c r="D202" s="16" t="str">
        <x:v>positive_count</x:v>
      </x:c>
      <x:c r="E202" s="16" t="str">
        <x:f>Coder_A!E202</x:f>
        <x:v>NA</x:v>
      </x:c>
      <x:c r="F202" s="16" t="n">
        <x:f>Coder_B!E202</x:f>
        <x:v>0</x:v>
      </x:c>
      <x:c r="G202" s="16" t="str">
        <x:f>IF(F202="","PENDING",IF(E202=F202,"AGREE","DISAGREE"))</x:f>
        <x:v>PENDING</x:v>
      </x:c>
      <x:c r="H202" s="16" t="str">
        <x:v>N</x:v>
      </x:c>
      <x:c r="I202" s="16" t="str">
        <x:f>Coder_A!F202</x:f>
        <x:v>Sec. 3 Datasets; Appendix A; Table 2; Table 1; Appendix B</x:v>
      </x:c>
      <x:c r="J202" s="16" t="n">
        <x:f>Coder_B!F202</x:f>
        <x:v>0</x:v>
      </x:c>
    </x:row>
    <x:row r="203">
      <x:c r="A203" s="16" t="n">
        <x:v>202</x:v>
      </x:c>
      <x:c r="B203" s="16" t="str">
        <x:v>EXPERIMENT</x:v>
      </x:c>
      <x:c r="C203" s="16" t="str">
        <x:f>Coder_A!C203</x:f>
        <x:v>PILOT_01_E01</x:v>
      </x:c>
      <x:c r="D203" s="16" t="str">
        <x:v>negative_count</x:v>
      </x:c>
      <x:c r="E203" s="16" t="str">
        <x:f>Coder_A!E203</x:f>
        <x:v>NA</x:v>
      </x:c>
      <x:c r="F203" s="16" t="n">
        <x:f>Coder_B!E203</x:f>
        <x:v>0</x:v>
      </x:c>
      <x:c r="G203" s="16" t="str">
        <x:f>IF(F203="","PENDING",IF(E203=F203,"AGREE","DISAGREE"))</x:f>
        <x:v>PENDING</x:v>
      </x:c>
      <x:c r="H203" s="16" t="str">
        <x:v>N</x:v>
      </x:c>
      <x:c r="I203" s="16" t="str">
        <x:f>Coder_A!F203</x:f>
        <x:v>Sec. 3 Datasets; Appendix A; Table 2; Table 1; Appendix B</x:v>
      </x:c>
      <x:c r="J203" s="16" t="n">
        <x:f>Coder_B!F203</x:f>
        <x:v>0</x:v>
      </x:c>
    </x:row>
    <x:row r="204">
      <x:c r="A204" s="16" t="n">
        <x:v>203</x:v>
      </x:c>
      <x:c r="B204" s="16" t="str">
        <x:v>EXPERIMENT</x:v>
      </x:c>
      <x:c r="C204" s="16" t="str">
        <x:f>Coder_A!C204</x:f>
        <x:v>PILOT_01_E01</x:v>
      </x:c>
      <x:c r="D204" s="16" t="str">
        <x:v>metric_name_original</x:v>
      </x:c>
      <x:c r="E204" s="16" t="str">
        <x:f>Coder_A!E204</x:f>
        <x:v>AUC</x:v>
      </x:c>
      <x:c r="F204" s="16" t="n">
        <x:f>Coder_B!E204</x:f>
        <x:v>0</x:v>
      </x:c>
      <x:c r="G204" s="16" t="str">
        <x:f>IF(F204="","PENDING",IF(E204=F204,"AGREE","DISAGREE"))</x:f>
        <x:v>PENDING</x:v>
      </x:c>
      <x:c r="H204" s="16" t="str">
        <x:v>N</x:v>
      </x:c>
      <x:c r="I204" s="16" t="str">
        <x:f>Coder_A!F204</x:f>
        <x:v>Sec. 3 Datasets; Appendix A; Table 2; Table 1; Appendix B</x:v>
      </x:c>
      <x:c r="J204" s="16" t="n">
        <x:f>Coder_B!F204</x:f>
        <x:v>0</x:v>
      </x:c>
    </x:row>
    <x:row r="205">
      <x:c r="A205" s="16" t="n">
        <x:v>204</x:v>
      </x:c>
      <x:c r="B205" s="16" t="str">
        <x:v>EXPERIMENT</x:v>
      </x:c>
      <x:c r="C205" s="16" t="str">
        <x:f>Coder_A!C205</x:f>
        <x:v>PILOT_01_E01</x:v>
      </x:c>
      <x:c r="D205" s="16" t="str">
        <x:v>metric_value_original</x:v>
      </x:c>
      <x:c r="E205" s="16" t="n">
        <x:f>Coder_A!E205</x:f>
        <x:v>0.722</x:v>
      </x:c>
      <x:c r="F205" s="16" t="n">
        <x:f>Coder_B!E205</x:f>
        <x:v>0</x:v>
      </x:c>
      <x:c r="G205" s="16" t="str">
        <x:f>IF(F205="","PENDING",IF(E205=F205,"AGREE","DISAGREE"))</x:f>
        <x:v>PENDING</x:v>
      </x:c>
      <x:c r="H205" s="16" t="str">
        <x:v>N</x:v>
      </x:c>
      <x:c r="I205" s="16" t="str">
        <x:f>Coder_A!F205</x:f>
        <x:v>Sec. 3 Datasets; Appendix A; Table 2; Table 1; Appendix B</x:v>
      </x:c>
      <x:c r="J205" s="16" t="n">
        <x:f>Coder_B!F205</x:f>
        <x:v>0</x:v>
      </x:c>
    </x:row>
    <x:row r="206">
      <x:c r="A206" s="16" t="n">
        <x:v>205</x:v>
      </x:c>
      <x:c r="B206" s="16" t="str">
        <x:v>EXPERIMENT</x:v>
      </x:c>
      <x:c r="C206" s="16" t="str">
        <x:f>Coder_A!C206</x:f>
        <x:v>PILOT_01_E01</x:v>
      </x:c>
      <x:c r="D206" s="16" t="str">
        <x:v>metric_scope</x:v>
      </x:c>
      <x:c r="E206" s="16" t="str">
        <x:f>Coder_A!E206</x:f>
        <x:v>OVERALL</x:v>
      </x:c>
      <x:c r="F206" s="16" t="n">
        <x:f>Coder_B!E206</x:f>
        <x:v>0</x:v>
      </x:c>
      <x:c r="G206" s="16" t="str">
        <x:f>IF(F206="","PENDING",IF(E206=F206,"AGREE","DISAGREE"))</x:f>
        <x:v>PENDING</x:v>
      </x:c>
      <x:c r="H206" s="16" t="str">
        <x:v>Y</x:v>
      </x:c>
      <x:c r="I206" s="16" t="str">
        <x:f>Coder_A!F206</x:f>
        <x:v>Sec. 3 Datasets; Appendix A; Table 2; Table 1; Appendix B</x:v>
      </x:c>
      <x:c r="J206" s="16" t="n">
        <x:f>Coder_B!F206</x:f>
        <x:v>0</x:v>
      </x:c>
    </x:row>
    <x:row r="207">
      <x:c r="A207" s="16" t="n">
        <x:v>206</x:v>
      </x:c>
      <x:c r="B207" s="16" t="str">
        <x:v>EXPERIMENT</x:v>
      </x:c>
      <x:c r="C207" s="16" t="str">
        <x:f>Coder_A!C207</x:f>
        <x:v>PILOT_01_E01</x:v>
      </x:c>
      <x:c r="D207" s="16" t="str">
        <x:v>n_seeds</x:v>
      </x:c>
      <x:c r="E207" s="16" t="str">
        <x:f>Coder_A!E207</x:f>
        <x:v>NR</x:v>
      </x:c>
      <x:c r="F207" s="16" t="n">
        <x:f>Coder_B!E207</x:f>
        <x:v>0</x:v>
      </x:c>
      <x:c r="G207" s="16" t="str">
        <x:f>IF(F207="","PENDING",IF(E207=F207,"AGREE","DISAGREE"))</x:f>
        <x:v>PENDING</x:v>
      </x:c>
      <x:c r="H207" s="16" t="str">
        <x:v>N</x:v>
      </x:c>
      <x:c r="I207" s="16" t="str">
        <x:f>Coder_A!F207</x:f>
        <x:v>Sec. 3 Datasets; Appendix A; Table 2; Table 1; Appendix B</x:v>
      </x:c>
      <x:c r="J207" s="16" t="n">
        <x:f>Coder_B!F207</x:f>
        <x:v>0</x:v>
      </x:c>
    </x:row>
    <x:row r="208">
      <x:c r="A208" s="16" t="n">
        <x:v>207</x:v>
      </x:c>
      <x:c r="B208" s="16" t="str">
        <x:v>EXPERIMENT</x:v>
      </x:c>
      <x:c r="C208" s="16" t="str">
        <x:f>Coder_A!C208</x:f>
        <x:v>PILOT_01_E01</x:v>
      </x:c>
      <x:c r="D208" s="16" t="str">
        <x:v>seed_values_reported</x:v>
      </x:c>
      <x:c r="E208" s="16" t="str">
        <x:f>Coder_A!E208</x:f>
        <x:v>NR</x:v>
      </x:c>
      <x:c r="F208" s="16" t="n">
        <x:f>Coder_B!E208</x:f>
        <x:v>0</x:v>
      </x:c>
      <x:c r="G208" s="16" t="str">
        <x:f>IF(F208="","PENDING",IF(E208=F208,"AGREE","DISAGREE"))</x:f>
        <x:v>PENDING</x:v>
      </x:c>
      <x:c r="H208" s="16" t="str">
        <x:v>N</x:v>
      </x:c>
      <x:c r="I208" s="16" t="str">
        <x:f>Coder_A!F208</x:f>
        <x:v>Sec. 3 Datasets; Appendix A; Table 2; Table 1; Appendix B</x:v>
      </x:c>
      <x:c r="J208" s="16" t="n">
        <x:f>Coder_B!F208</x:f>
        <x:v>0</x:v>
      </x:c>
    </x:row>
    <x:row r="209">
      <x:c r="A209" s="16" t="n">
        <x:v>208</x:v>
      </x:c>
      <x:c r="B209" s="16" t="str">
        <x:v>EXPERIMENT</x:v>
      </x:c>
      <x:c r="C209" s="16" t="str">
        <x:f>Coder_A!C209</x:f>
        <x:v>PILOT_01_E01</x:v>
      </x:c>
      <x:c r="D209" s="16" t="str">
        <x:v>mean_std_reported</x:v>
      </x:c>
      <x:c r="E209" s="16" t="str">
        <x:f>Coder_A!E209</x:f>
        <x:v>N</x:v>
      </x:c>
      <x:c r="F209" s="16" t="n">
        <x:f>Coder_B!E209</x:f>
        <x:v>0</x:v>
      </x:c>
      <x:c r="G209" s="16" t="str">
        <x:f>IF(F209="","PENDING",IF(E209=F209,"AGREE","DISAGREE"))</x:f>
        <x:v>PENDING</x:v>
      </x:c>
      <x:c r="H209" s="16" t="str">
        <x:v>Y</x:v>
      </x:c>
      <x:c r="I209" s="16" t="str">
        <x:f>Coder_A!F209</x:f>
        <x:v>Sec. 3 Datasets; Appendix A; Table 2; Table 1; Appendix B</x:v>
      </x:c>
      <x:c r="J209" s="16" t="n">
        <x:f>Coder_B!F209</x:f>
        <x:v>0</x:v>
      </x:c>
    </x:row>
    <x:row r="210">
      <x:c r="A210" s="16" t="n">
        <x:v>209</x:v>
      </x:c>
      <x:c r="B210" s="16" t="str">
        <x:v>EXPERIMENT</x:v>
      </x:c>
      <x:c r="C210" s="16" t="str">
        <x:f>Coder_A!C210</x:f>
        <x:v>PILOT_01_E01</x:v>
      </x:c>
      <x:c r="D210" s="16" t="str">
        <x:v>confidence_interval</x:v>
      </x:c>
      <x:c r="E210" s="16" t="str">
        <x:f>Coder_A!E210</x:f>
        <x:v>NR</x:v>
      </x:c>
      <x:c r="F210" s="16" t="n">
        <x:f>Coder_B!E210</x:f>
        <x:v>0</x:v>
      </x:c>
      <x:c r="G210" s="16" t="str">
        <x:f>IF(F210="","PENDING",IF(E210=F210,"AGREE","DISAGREE"))</x:f>
        <x:v>PENDING</x:v>
      </x:c>
      <x:c r="H210" s="16" t="str">
        <x:v>N</x:v>
      </x:c>
      <x:c r="I210" s="16" t="str">
        <x:f>Coder_A!F210</x:f>
        <x:v>Sec. 3 Datasets; Appendix A; Table 2; Table 1; Appendix B</x:v>
      </x:c>
      <x:c r="J210" s="16" t="n">
        <x:f>Coder_B!F210</x:f>
        <x:v>0</x:v>
      </x:c>
    </x:row>
    <x:row r="211">
      <x:c r="A211" s="16" t="n">
        <x:v>210</x:v>
      </x:c>
      <x:c r="B211" s="16" t="str">
        <x:v>EXPERIMENT</x:v>
      </x:c>
      <x:c r="C211" s="16" t="str">
        <x:f>Coder_A!C211</x:f>
        <x:v>PILOT_01_E01</x:v>
      </x:c>
      <x:c r="D211" s="16" t="str">
        <x:v>bootstrap_unit</x:v>
      </x:c>
      <x:c r="E211" s="16" t="str">
        <x:f>Coder_A!E211</x:f>
        <x:v>NA</x:v>
      </x:c>
      <x:c r="F211" s="16" t="n">
        <x:f>Coder_B!E211</x:f>
        <x:v>0</x:v>
      </x:c>
      <x:c r="G211" s="16" t="str">
        <x:f>IF(F211="","PENDING",IF(E211=F211,"AGREE","DISAGREE"))</x:f>
        <x:v>PENDING</x:v>
      </x:c>
      <x:c r="H211" s="16" t="str">
        <x:v>Y</x:v>
      </x:c>
      <x:c r="I211" s="16" t="str">
        <x:f>Coder_A!F211</x:f>
        <x:v>Sec. 3 Datasets; Appendix A; Table 2; Table 1; Appendix B</x:v>
      </x:c>
      <x:c r="J211" s="16" t="n">
        <x:f>Coder_B!F211</x:f>
        <x:v>0</x:v>
      </x:c>
    </x:row>
    <x:row r="212">
      <x:c r="A212" s="16" t="n">
        <x:v>211</x:v>
      </x:c>
      <x:c r="B212" s="16" t="str">
        <x:v>EXPERIMENT</x:v>
      </x:c>
      <x:c r="C212" s="16" t="str">
        <x:f>Coder_A!C212</x:f>
        <x:v>PILOT_01_E01</x:v>
      </x:c>
      <x:c r="D212" s="16" t="str">
        <x:v>statistical_test</x:v>
      </x:c>
      <x:c r="E212" s="16" t="str">
        <x:f>Coder_A!E212</x:f>
        <x:v>NR</x:v>
      </x:c>
      <x:c r="F212" s="16" t="n">
        <x:f>Coder_B!E212</x:f>
        <x:v>0</x:v>
      </x:c>
      <x:c r="G212" s="16" t="str">
        <x:f>IF(F212="","PENDING",IF(E212=F212,"AGREE","DISAGREE"))</x:f>
        <x:v>PENDING</x:v>
      </x:c>
      <x:c r="H212" s="16" t="str">
        <x:v>N</x:v>
      </x:c>
      <x:c r="I212" s="16" t="str">
        <x:f>Coder_A!F212</x:f>
        <x:v>Sec. 3 Datasets; Appendix A; Table 2; Table 1; Appendix B</x:v>
      </x:c>
      <x:c r="J212" s="16" t="n">
        <x:f>Coder_B!F212</x:f>
        <x:v>0</x:v>
      </x:c>
    </x:row>
    <x:row r="213">
      <x:c r="A213" s="16" t="n">
        <x:v>212</x:v>
      </x:c>
      <x:c r="B213" s="16" t="str">
        <x:v>EXPERIMENT</x:v>
      </x:c>
      <x:c r="C213" s="16" t="str">
        <x:f>Coder_A!C213</x:f>
        <x:v>PILOT_01_E01</x:v>
      </x:c>
      <x:c r="D213" s="16" t="str">
        <x:v>multiple_comparison_correction</x:v>
      </x:c>
      <x:c r="E213" s="16" t="str">
        <x:f>Coder_A!E213</x:f>
        <x:v>NR</x:v>
      </x:c>
      <x:c r="F213" s="16" t="n">
        <x:f>Coder_B!E213</x:f>
        <x:v>0</x:v>
      </x:c>
      <x:c r="G213" s="16" t="str">
        <x:f>IF(F213="","PENDING",IF(E213=F213,"AGREE","DISAGREE"))</x:f>
        <x:v>PENDING</x:v>
      </x:c>
      <x:c r="H213" s="16" t="str">
        <x:v>N</x:v>
      </x:c>
      <x:c r="I213" s="16" t="str">
        <x:f>Coder_A!F213</x:f>
        <x:v>Sec. 3 Datasets; Appendix A; Table 2; Table 1; Appendix B</x:v>
      </x:c>
      <x:c r="J213" s="16" t="n">
        <x:f>Coder_B!F213</x:f>
        <x:v>0</x:v>
      </x:c>
    </x:row>
    <x:row r="214">
      <x:c r="A214" s="16" t="n">
        <x:v>213</x:v>
      </x:c>
      <x:c r="B214" s="16" t="str">
        <x:v>EXPERIMENT</x:v>
      </x:c>
      <x:c r="C214" s="16" t="str">
        <x:f>Coder_A!C214</x:f>
        <x:v>PILOT_01_E01</x:v>
      </x:c>
      <x:c r="D214" s="16" t="str">
        <x:v>effect_size</x:v>
      </x:c>
      <x:c r="E214" s="16" t="str">
        <x:f>Coder_A!E214</x:f>
        <x:v>NR</x:v>
      </x:c>
      <x:c r="F214" s="16" t="n">
        <x:f>Coder_B!E214</x:f>
        <x:v>0</x:v>
      </x:c>
      <x:c r="G214" s="16" t="str">
        <x:f>IF(F214="","PENDING",IF(E214=F214,"AGREE","DISAGREE"))</x:f>
        <x:v>PENDING</x:v>
      </x:c>
      <x:c r="H214" s="16" t="str">
        <x:v>N</x:v>
      </x:c>
      <x:c r="I214" s="16" t="str">
        <x:f>Coder_A!F214</x:f>
        <x:v>Sec. 3 Datasets; Appendix A; Table 2; Table 1; Appendix B</x:v>
      </x:c>
      <x:c r="J214" s="16" t="n">
        <x:f>Coder_B!F214</x:f>
        <x:v>0</x:v>
      </x:c>
    </x:row>
    <x:row r="215">
      <x:c r="A215" s="16" t="n">
        <x:v>214</x:v>
      </x:c>
      <x:c r="B215" s="16" t="str">
        <x:v>EXPERIMENT</x:v>
      </x:c>
      <x:c r="C215" s="16" t="str">
        <x:f>Coder_A!C215</x:f>
        <x:v>PILOT_01_E01</x:v>
      </x:c>
      <x:c r="D215" s="16" t="str">
        <x:v>paired_design</x:v>
      </x:c>
      <x:c r="E215" s="16" t="str">
        <x:f>Coder_A!E215</x:f>
        <x:v>NR</x:v>
      </x:c>
      <x:c r="F215" s="16" t="n">
        <x:f>Coder_B!E215</x:f>
        <x:v>0</x:v>
      </x:c>
      <x:c r="G215" s="16" t="str">
        <x:f>IF(F215="","PENDING",IF(E215=F215,"AGREE","DISAGREE"))</x:f>
        <x:v>PENDING</x:v>
      </x:c>
      <x:c r="H215" s="16" t="str">
        <x:v>Y</x:v>
      </x:c>
      <x:c r="I215" s="16" t="str">
        <x:f>Coder_A!F215</x:f>
        <x:v>Sec. 3 Datasets; Appendix A; Table 2; Table 1; Appendix B</x:v>
      </x:c>
      <x:c r="J215" s="16" t="n">
        <x:f>Coder_B!F215</x:f>
        <x:v>0</x:v>
      </x:c>
    </x:row>
    <x:row r="216">
      <x:c r="A216" s="16" t="n">
        <x:v>215</x:v>
      </x:c>
      <x:c r="B216" s="16" t="str">
        <x:v>EXPERIMENT</x:v>
      </x:c>
      <x:c r="C216" s="16" t="str">
        <x:f>Coder_A!C216</x:f>
        <x:v>PILOT_01_E01</x:v>
      </x:c>
      <x:c r="D216" s="16" t="str">
        <x:v>significance_threshold</x:v>
      </x:c>
      <x:c r="E216" s="16" t="str">
        <x:f>Coder_A!E216</x:f>
        <x:v>NR</x:v>
      </x:c>
      <x:c r="F216" s="16" t="n">
        <x:f>Coder_B!E216</x:f>
        <x:v>0</x:v>
      </x:c>
      <x:c r="G216" s="16" t="str">
        <x:f>IF(F216="","PENDING",IF(E216=F216,"AGREE","DISAGREE"))</x:f>
        <x:v>PENDING</x:v>
      </x:c>
      <x:c r="H216" s="16" t="str">
        <x:v>N</x:v>
      </x:c>
      <x:c r="I216" s="16" t="str">
        <x:f>Coder_A!F216</x:f>
        <x:v>Sec. 3 Datasets; Appendix A; Table 2; Table 1; Appendix B</x:v>
      </x:c>
      <x:c r="J216" s="16" t="n">
        <x:f>Coder_B!F216</x:f>
        <x:v>0</x:v>
      </x:c>
    </x:row>
    <x:row r="217">
      <x:c r="A217" s="16" t="n">
        <x:v>216</x:v>
      </x:c>
      <x:c r="B217" s="16" t="str">
        <x:v>EXPERIMENT</x:v>
      </x:c>
      <x:c r="C217" s="16" t="str">
        <x:f>Coder_A!C217</x:f>
        <x:v>PILOT_01_E01</x:v>
      </x:c>
      <x:c r="D217" s="16" t="str">
        <x:v>parameter_count</x:v>
      </x:c>
      <x:c r="E217" s="16" t="str">
        <x:f>Coder_A!E217</x:f>
        <x:v>NR</x:v>
      </x:c>
      <x:c r="F217" s="16" t="n">
        <x:f>Coder_B!E217</x:f>
        <x:v>0</x:v>
      </x:c>
      <x:c r="G217" s="16" t="str">
        <x:f>IF(F217="","PENDING",IF(E217=F217,"AGREE","DISAGREE"))</x:f>
        <x:v>PENDING</x:v>
      </x:c>
      <x:c r="H217" s="16" t="str">
        <x:v>N</x:v>
      </x:c>
      <x:c r="I217" s="16" t="str">
        <x:f>Coder_A!F217</x:f>
        <x:v>Sec. 3 Datasets; Appendix A; Table 2; Table 1; Appendix B</x:v>
      </x:c>
      <x:c r="J217" s="16" t="n">
        <x:f>Coder_B!F217</x:f>
        <x:v>0</x:v>
      </x:c>
    </x:row>
    <x:row r="218">
      <x:c r="A218" s="16" t="n">
        <x:v>217</x:v>
      </x:c>
      <x:c r="B218" s="16" t="str">
        <x:v>EXPERIMENT</x:v>
      </x:c>
      <x:c r="C218" s="16" t="str">
        <x:f>Coder_A!C218</x:f>
        <x:v>PILOT_01_E01</x:v>
      </x:c>
      <x:c r="D218" s="16" t="str">
        <x:v>train_time</x:v>
      </x:c>
      <x:c r="E218" s="16" t="str">
        <x:f>Coder_A!E218</x:f>
        <x:v>NR</x:v>
      </x:c>
      <x:c r="F218" s="16" t="n">
        <x:f>Coder_B!E218</x:f>
        <x:v>0</x:v>
      </x:c>
      <x:c r="G218" s="16" t="str">
        <x:f>IF(F218="","PENDING",IF(E218=F218,"AGREE","DISAGREE"))</x:f>
        <x:v>PENDING</x:v>
      </x:c>
      <x:c r="H218" s="16" t="str">
        <x:v>N</x:v>
      </x:c>
      <x:c r="I218" s="16" t="str">
        <x:f>Coder_A!F218</x:f>
        <x:v>Sec. 3 Datasets; Appendix A; Table 2; Table 1; Appendix B</x:v>
      </x:c>
      <x:c r="J218" s="16" t="n">
        <x:f>Coder_B!F218</x:f>
        <x:v>0</x:v>
      </x:c>
    </x:row>
    <x:row r="219">
      <x:c r="A219" s="16" t="n">
        <x:v>218</x:v>
      </x:c>
      <x:c r="B219" s="16" t="str">
        <x:v>EXPERIMENT</x:v>
      </x:c>
      <x:c r="C219" s="16" t="str">
        <x:f>Coder_A!C219</x:f>
        <x:v>PILOT_01_E01</x:v>
      </x:c>
      <x:c r="D219" s="16" t="str">
        <x:v>time_per_epoch</x:v>
      </x:c>
      <x:c r="E219" s="16" t="str">
        <x:f>Coder_A!E219</x:f>
        <x:v>NR</x:v>
      </x:c>
      <x:c r="F219" s="16" t="n">
        <x:f>Coder_B!E219</x:f>
        <x:v>0</x:v>
      </x:c>
      <x:c r="G219" s="16" t="str">
        <x:f>IF(F219="","PENDING",IF(E219=F219,"AGREE","DISAGREE"))</x:f>
        <x:v>PENDING</x:v>
      </x:c>
      <x:c r="H219" s="16" t="str">
        <x:v>N</x:v>
      </x:c>
      <x:c r="I219" s="16" t="str">
        <x:f>Coder_A!F219</x:f>
        <x:v>Sec. 3 Datasets; Appendix A; Table 2; Table 1; Appendix B</x:v>
      </x:c>
      <x:c r="J219" s="16" t="n">
        <x:f>Coder_B!F219</x:f>
        <x:v>0</x:v>
      </x:c>
    </x:row>
    <x:row r="220">
      <x:c r="A220" s="16" t="n">
        <x:v>219</x:v>
      </x:c>
      <x:c r="B220" s="16" t="str">
        <x:v>EXPERIMENT</x:v>
      </x:c>
      <x:c r="C220" s="16" t="str">
        <x:f>Coder_A!C220</x:f>
        <x:v>PILOT_01_E01</x:v>
      </x:c>
      <x:c r="D220" s="16" t="str">
        <x:v>inference_latency</x:v>
      </x:c>
      <x:c r="E220" s="16" t="str">
        <x:f>Coder_A!E220</x:f>
        <x:v>NR</x:v>
      </x:c>
      <x:c r="F220" s="16" t="n">
        <x:f>Coder_B!E220</x:f>
        <x:v>0</x:v>
      </x:c>
      <x:c r="G220" s="16" t="str">
        <x:f>IF(F220="","PENDING",IF(E220=F220,"AGREE","DISAGREE"))</x:f>
        <x:v>PENDING</x:v>
      </x:c>
      <x:c r="H220" s="16" t="str">
        <x:v>N</x:v>
      </x:c>
      <x:c r="I220" s="16" t="str">
        <x:f>Coder_A!F220</x:f>
        <x:v>Sec. 3 Datasets; Appendix A; Table 2; Table 1; Appendix B</x:v>
      </x:c>
      <x:c r="J220" s="16" t="n">
        <x:f>Coder_B!F220</x:f>
        <x:v>0</x:v>
      </x:c>
    </x:row>
    <x:row r="221">
      <x:c r="A221" s="16" t="n">
        <x:v>220</x:v>
      </x:c>
      <x:c r="B221" s="16" t="str">
        <x:v>EXPERIMENT</x:v>
      </x:c>
      <x:c r="C221" s="16" t="str">
        <x:f>Coder_A!C221</x:f>
        <x:v>PILOT_01_E01</x:v>
      </x:c>
      <x:c r="D221" s="16" t="str">
        <x:v>throughput</x:v>
      </x:c>
      <x:c r="E221" s="16" t="str">
        <x:f>Coder_A!E221</x:f>
        <x:v>NR</x:v>
      </x:c>
      <x:c r="F221" s="16" t="n">
        <x:f>Coder_B!E221</x:f>
        <x:v>0</x:v>
      </x:c>
      <x:c r="G221" s="16" t="str">
        <x:f>IF(F221="","PENDING",IF(E221=F221,"AGREE","DISAGREE"))</x:f>
        <x:v>PENDING</x:v>
      </x:c>
      <x:c r="H221" s="16" t="str">
        <x:v>N</x:v>
      </x:c>
      <x:c r="I221" s="16" t="str">
        <x:f>Coder_A!F221</x:f>
        <x:v>Sec. 3 Datasets; Appendix A; Table 2; Table 1; Appendix B</x:v>
      </x:c>
      <x:c r="J221" s="16" t="n">
        <x:f>Coder_B!F221</x:f>
        <x:v>0</x:v>
      </x:c>
    </x:row>
    <x:row r="222">
      <x:c r="A222" s="16" t="n">
        <x:v>221</x:v>
      </x:c>
      <x:c r="B222" s="16" t="str">
        <x:v>EXPERIMENT</x:v>
      </x:c>
      <x:c r="C222" s="16" t="str">
        <x:f>Coder_A!C222</x:f>
        <x:v>PILOT_01_E01</x:v>
      </x:c>
      <x:c r="D222" s="16" t="str">
        <x:v>cpu_ram</x:v>
      </x:c>
      <x:c r="E222" s="16" t="str">
        <x:f>Coder_A!E222</x:f>
        <x:v>NR</x:v>
      </x:c>
      <x:c r="F222" s="16" t="n">
        <x:f>Coder_B!E222</x:f>
        <x:v>0</x:v>
      </x:c>
      <x:c r="G222" s="16" t="str">
        <x:f>IF(F222="","PENDING",IF(E222=F222,"AGREE","DISAGREE"))</x:f>
        <x:v>PENDING</x:v>
      </x:c>
      <x:c r="H222" s="16" t="str">
        <x:v>N</x:v>
      </x:c>
      <x:c r="I222" s="16" t="str">
        <x:f>Coder_A!F222</x:f>
        <x:v>Sec. 3 Datasets; Appendix A; Table 2; Table 1; Appendix B</x:v>
      </x:c>
      <x:c r="J222" s="16" t="n">
        <x:f>Coder_B!F222</x:f>
        <x:v>0</x:v>
      </x:c>
    </x:row>
    <x:row r="223">
      <x:c r="A223" s="16" t="n">
        <x:v>222</x:v>
      </x:c>
      <x:c r="B223" s="16" t="str">
        <x:v>EXPERIMENT</x:v>
      </x:c>
      <x:c r="C223" s="16" t="str">
        <x:f>Coder_A!C223</x:f>
        <x:v>PILOT_01_E01</x:v>
      </x:c>
      <x:c r="D223" s="16" t="str">
        <x:v>gpu_vram</x:v>
      </x:c>
      <x:c r="E223" s="16" t="str">
        <x:f>Coder_A!E223</x:f>
        <x:v>NR</x:v>
      </x:c>
      <x:c r="F223" s="16" t="n">
        <x:f>Coder_B!E223</x:f>
        <x:v>0</x:v>
      </x:c>
      <x:c r="G223" s="16" t="str">
        <x:f>IF(F223="","PENDING",IF(E223=F223,"AGREE","DISAGREE"))</x:f>
        <x:v>PENDING</x:v>
      </x:c>
      <x:c r="H223" s="16" t="str">
        <x:v>N</x:v>
      </x:c>
      <x:c r="I223" s="16" t="str">
        <x:f>Coder_A!F223</x:f>
        <x:v>Sec. 3 Datasets; Appendix A; Table 2; Table 1; Appendix B</x:v>
      </x:c>
      <x:c r="J223" s="16" t="n">
        <x:f>Coder_B!F223</x:f>
        <x:v>0</x:v>
      </x:c>
    </x:row>
    <x:row r="224">
      <x:c r="A224" s="16" t="n">
        <x:v>223</x:v>
      </x:c>
      <x:c r="B224" s="16" t="str">
        <x:v>EXPERIMENT</x:v>
      </x:c>
      <x:c r="C224" s="16" t="str">
        <x:f>Coder_A!C224</x:f>
        <x:v>PILOT_01_E01</x:v>
      </x:c>
      <x:c r="D224" s="16" t="str">
        <x:v>hardware</x:v>
      </x:c>
      <x:c r="E224" s="16" t="str">
        <x:f>Coder_A!E224</x:f>
        <x:v>NR</x:v>
      </x:c>
      <x:c r="F224" s="16" t="n">
        <x:f>Coder_B!E224</x:f>
        <x:v>0</x:v>
      </x:c>
      <x:c r="G224" s="16" t="str">
        <x:f>IF(F224="","PENDING",IF(E224=F224,"AGREE","DISAGREE"))</x:f>
        <x:v>PENDING</x:v>
      </x:c>
      <x:c r="H224" s="16" t="str">
        <x:v>N</x:v>
      </x:c>
      <x:c r="I224" s="16" t="str">
        <x:f>Coder_A!F224</x:f>
        <x:v>Sec. 3 Datasets; Appendix A; Table 2; Table 1; Appendix B</x:v>
      </x:c>
      <x:c r="J224" s="16" t="n">
        <x:f>Coder_B!F224</x:f>
        <x:v>0</x:v>
      </x:c>
    </x:row>
    <x:row r="225">
      <x:c r="A225" s="16" t="n">
        <x:v>224</x:v>
      </x:c>
      <x:c r="B225" s="16" t="str">
        <x:v>EXPERIMENT</x:v>
      </x:c>
      <x:c r="C225" s="16" t="str">
        <x:f>Coder_A!C225</x:f>
        <x:v>PILOT_01_E01</x:v>
      </x:c>
      <x:c r="D225" s="16" t="str">
        <x:v>graph_construction_time</x:v>
      </x:c>
      <x:c r="E225" s="16" t="str">
        <x:f>Coder_A!E225</x:f>
        <x:v>NR</x:v>
      </x:c>
      <x:c r="F225" s="16" t="n">
        <x:f>Coder_B!E225</x:f>
        <x:v>0</x:v>
      </x:c>
      <x:c r="G225" s="16" t="str">
        <x:f>IF(F225="","PENDING",IF(E225=F225,"AGREE","DISAGREE"))</x:f>
        <x:v>PENDING</x:v>
      </x:c>
      <x:c r="H225" s="16" t="str">
        <x:v>N</x:v>
      </x:c>
      <x:c r="I225" s="16" t="str">
        <x:f>Coder_A!F225</x:f>
        <x:v>Sec. 3 Datasets; Appendix A; Table 2; Table 1; Appendix B</x:v>
      </x:c>
      <x:c r="J225" s="16" t="n">
        <x:f>Coder_B!F225</x:f>
        <x:v>0</x:v>
      </x:c>
    </x:row>
    <x:row r="226">
      <x:c r="A226" s="16" t="n">
        <x:v>225</x:v>
      </x:c>
      <x:c r="B226" s="16" t="str">
        <x:v>EXPERIMENT</x:v>
      </x:c>
      <x:c r="C226" s="16" t="str">
        <x:f>Coder_A!C226</x:f>
        <x:v>PILOT_01_E01</x:v>
      </x:c>
      <x:c r="D226" s="16" t="str">
        <x:v>complexity_formula</x:v>
      </x:c>
      <x:c r="E226" s="16" t="str">
        <x:f>Coder_A!E226</x:f>
        <x:v>NR</x:v>
      </x:c>
      <x:c r="F226" s="16" t="n">
        <x:f>Coder_B!E226</x:f>
        <x:v>0</x:v>
      </x:c>
      <x:c r="G226" s="16" t="str">
        <x:f>IF(F226="","PENDING",IF(E226=F226,"AGREE","DISAGREE"))</x:f>
        <x:v>PENDING</x:v>
      </x:c>
      <x:c r="H226" s="16" t="str">
        <x:v>N</x:v>
      </x:c>
      <x:c r="I226" s="16" t="str">
        <x:f>Coder_A!F226</x:f>
        <x:v>Sec. 3 Datasets; Appendix A; Table 2; Table 1; Appendix B</x:v>
      </x:c>
      <x:c r="J226" s="16" t="n">
        <x:f>Coder_B!F226</x:f>
        <x:v>0</x:v>
      </x:c>
    </x:row>
    <x:row r="227">
      <x:c r="A227" s="16" t="n">
        <x:v>226</x:v>
      </x:c>
      <x:c r="B227" s="16" t="str">
        <x:v>EXPERIMENT</x:v>
      </x:c>
      <x:c r="C227" s="16" t="str">
        <x:f>Coder_A!C227</x:f>
        <x:v>PILOT_01_E01</x:v>
      </x:c>
      <x:c r="D227" s="16" t="str">
        <x:v>scale_up_experiment</x:v>
      </x:c>
      <x:c r="E227" s="16" t="str">
        <x:f>Coder_A!E227</x:f>
        <x:v>N</x:v>
      </x:c>
      <x:c r="F227" s="16" t="n">
        <x:f>Coder_B!E227</x:f>
        <x:v>0</x:v>
      </x:c>
      <x:c r="G227" s="16" t="str">
        <x:f>IF(F227="","PENDING",IF(E227=F227,"AGREE","DISAGREE"))</x:f>
        <x:v>PENDING</x:v>
      </x:c>
      <x:c r="H227" s="16" t="str">
        <x:v>Y</x:v>
      </x:c>
      <x:c r="I227" s="16" t="str">
        <x:f>Coder_A!F227</x:f>
        <x:v>Sec. 3 Datasets; Appendix A; Table 2; Table 1; Appendix B</x:v>
      </x:c>
      <x:c r="J227" s="16" t="n">
        <x:f>Coder_B!F227</x:f>
        <x:v>0</x:v>
      </x:c>
    </x:row>
    <x:row r="228">
      <x:c r="A228" s="16" t="n">
        <x:v>227</x:v>
      </x:c>
      <x:c r="B228" s="16" t="str">
        <x:v>EXPERIMENT</x:v>
      </x:c>
      <x:c r="C228" s="16" t="str">
        <x:f>Coder_A!C228</x:f>
        <x:v>PILOT_01_E01</x:v>
      </x:c>
      <x:c r="D228" s="16" t="str">
        <x:v>oom_timeout_reported</x:v>
      </x:c>
      <x:c r="E228" s="16" t="str">
        <x:f>Coder_A!E228</x:f>
        <x:v>NR</x:v>
      </x:c>
      <x:c r="F228" s="16" t="n">
        <x:f>Coder_B!E228</x:f>
        <x:v>0</x:v>
      </x:c>
      <x:c r="G228" s="16" t="str">
        <x:f>IF(F228="","PENDING",IF(E228=F228,"AGREE","DISAGREE"))</x:f>
        <x:v>PENDING</x:v>
      </x:c>
      <x:c r="H228" s="16" t="str">
        <x:v>Y</x:v>
      </x:c>
      <x:c r="I228" s="16" t="str">
        <x:f>Coder_A!F228</x:f>
        <x:v>Sec. 3 Datasets; Appendix A; Table 2; Table 1; Appendix B</x:v>
      </x:c>
      <x:c r="J228" s="16" t="n">
        <x:f>Coder_B!F228</x:f>
        <x:v>0</x:v>
      </x:c>
    </x:row>
    <x:row r="229">
      <x:c r="A229" s="16" t="n">
        <x:v>228</x:v>
      </x:c>
      <x:c r="B229" s="16" t="str">
        <x:v>EXPERIMENT</x:v>
      </x:c>
      <x:c r="C229" s="16" t="str">
        <x:f>Coder_A!C229</x:f>
        <x:v>PILOT_01_E02</x:v>
      </x:c>
      <x:c r="D229" s="16" t="str">
        <x:v>dataset_name</x:v>
      </x:c>
      <x:c r="E229" s="16" t="str">
        <x:f>Coder_A!E229</x:f>
        <x:v>KDDCup</x:v>
      </x:c>
      <x:c r="F229" s="16" t="n">
        <x:f>Coder_B!E229</x:f>
        <x:v>0</x:v>
      </x:c>
      <x:c r="G229" s="16" t="str">
        <x:f>IF(F229="","PENDING",IF(E229=F229,"AGREE","DISAGREE"))</x:f>
        <x:v>PENDING</x:v>
      </x:c>
      <x:c r="H229" s="16" t="str">
        <x:v>N</x:v>
      </x:c>
      <x:c r="I229" s="16" t="str">
        <x:f>Coder_A!F229</x:f>
        <x:v>Sec. 3 Datasets; Appendix A; Table 2; Table 1; Appendix B</x:v>
      </x:c>
      <x:c r="J229" s="16" t="n">
        <x:f>Coder_B!F229</x:f>
        <x:v>0</x:v>
      </x:c>
    </x:row>
    <x:row r="230">
      <x:c r="A230" s="16" t="n">
        <x:v>229</x:v>
      </x:c>
      <x:c r="B230" s="16" t="str">
        <x:v>EXPERIMENT</x:v>
      </x:c>
      <x:c r="C230" s="16" t="str">
        <x:f>Coder_A!C230</x:f>
        <x:v>PILOT_01_E02</x:v>
      </x:c>
      <x:c r="D230" s="16" t="str">
        <x:v>dataset_version</x:v>
      </x:c>
      <x:c r="E230" s="16" t="str">
        <x:f>Coder_A!E230</x:f>
        <x:v>Bridge to Algebra 2006-2007</x:v>
      </x:c>
      <x:c r="F230" s="16" t="n">
        <x:f>Coder_B!E230</x:f>
        <x:v>0</x:v>
      </x:c>
      <x:c r="G230" s="16" t="str">
        <x:f>IF(F230="","PENDING",IF(E230=F230,"AGREE","DISAGREE"))</x:f>
        <x:v>PENDING</x:v>
      </x:c>
      <x:c r="H230" s="16" t="str">
        <x:v>N</x:v>
      </x:c>
      <x:c r="I230" s="16" t="str">
        <x:f>Coder_A!F230</x:f>
        <x:v>Sec. 3 Datasets; Appendix A; Table 2; Table 1; Appendix B</x:v>
      </x:c>
      <x:c r="J230" s="16" t="n">
        <x:f>Coder_B!F230</x:f>
        <x:v>0</x:v>
      </x:c>
    </x:row>
    <x:row r="231">
      <x:c r="A231" s="16" t="n">
        <x:v>230</x:v>
      </x:c>
      <x:c r="B231" s="16" t="str">
        <x:v>EXPERIMENT</x:v>
      </x:c>
      <x:c r="C231" s="16" t="str">
        <x:f>Coder_A!C231</x:f>
        <x:v>PILOT_01_E02</x:v>
      </x:c>
      <x:c r="D231" s="16" t="str">
        <x:v>n_learners_reported</x:v>
      </x:c>
      <x:c r="E231" s="16" t="n">
        <x:f>Coder_A!E231</x:f>
        <x:v>1000</x:v>
      </x:c>
      <x:c r="F231" s="16" t="n">
        <x:f>Coder_B!E231</x:f>
        <x:v>0</x:v>
      </x:c>
      <x:c r="G231" s="16" t="str">
        <x:f>IF(F231="","PENDING",IF(E231=F231,"AGREE","DISAGREE"))</x:f>
        <x:v>PENDING</x:v>
      </x:c>
      <x:c r="H231" s="16" t="str">
        <x:v>N</x:v>
      </x:c>
      <x:c r="I231" s="16" t="str">
        <x:f>Coder_A!F231</x:f>
        <x:v>Sec. 3 Datasets; Appendix A; Table 2; Table 1; Appendix B</x:v>
      </x:c>
      <x:c r="J231" s="16" t="n">
        <x:f>Coder_B!F231</x:f>
        <x:v>0</x:v>
      </x:c>
    </x:row>
    <x:row r="232">
      <x:c r="A232" s="16" t="n">
        <x:v>231</x:v>
      </x:c>
      <x:c r="B232" s="16" t="str">
        <x:v>EXPERIMENT</x:v>
      </x:c>
      <x:c r="C232" s="16" t="str">
        <x:f>Coder_A!C232</x:f>
        <x:v>PILOT_01_E02</x:v>
      </x:c>
      <x:c r="D232" s="16" t="str">
        <x:v>n_items_reported</x:v>
      </x:c>
      <x:c r="E232" s="16" t="str">
        <x:f>Coder_A!E232</x:f>
        <x:v>NR</x:v>
      </x:c>
      <x:c r="F232" s="16" t="n">
        <x:f>Coder_B!E232</x:f>
        <x:v>0</x:v>
      </x:c>
      <x:c r="G232" s="16" t="str">
        <x:f>IF(F232="","PENDING",IF(E232=F232,"AGREE","DISAGREE"))</x:f>
        <x:v>PENDING</x:v>
      </x:c>
      <x:c r="H232" s="16" t="str">
        <x:v>N</x:v>
      </x:c>
      <x:c r="I232" s="16" t="str">
        <x:f>Coder_A!F232</x:f>
        <x:v>Sec. 3 Datasets; Appendix A; Table 2; Table 1; Appendix B</x:v>
      </x:c>
      <x:c r="J232" s="16" t="n">
        <x:f>Coder_B!F232</x:f>
        <x:v>0</x:v>
      </x:c>
    </x:row>
    <x:row r="233">
      <x:c r="A233" s="16" t="n">
        <x:v>232</x:v>
      </x:c>
      <x:c r="B233" s="16" t="str">
        <x:v>EXPERIMENT</x:v>
      </x:c>
      <x:c r="C233" s="16" t="str">
        <x:f>Coder_A!C233</x:f>
        <x:v>PILOT_01_E02</x:v>
      </x:c>
      <x:c r="D233" s="16" t="str">
        <x:v>n_kcs_reported</x:v>
      </x:c>
      <x:c r="E233" s="16" t="n">
        <x:f>Coder_A!E233</x:f>
        <x:v>211</x:v>
      </x:c>
      <x:c r="F233" s="16" t="n">
        <x:f>Coder_B!E233</x:f>
        <x:v>0</x:v>
      </x:c>
      <x:c r="G233" s="16" t="str">
        <x:f>IF(F233="","PENDING",IF(E233=F233,"AGREE","DISAGREE"))</x:f>
        <x:v>PENDING</x:v>
      </x:c>
      <x:c r="H233" s="16" t="str">
        <x:v>N</x:v>
      </x:c>
      <x:c r="I233" s="16" t="str">
        <x:f>Coder_A!F233</x:f>
        <x:v>Sec. 3 Datasets; Appendix A; Table 2; Table 1; Appendix B</x:v>
      </x:c>
      <x:c r="J233" s="16" t="n">
        <x:f>Coder_B!F233</x:f>
        <x:v>0</x:v>
      </x:c>
    </x:row>
    <x:row r="234">
      <x:c r="A234" s="16" t="n">
        <x:v>233</x:v>
      </x:c>
      <x:c r="B234" s="16" t="str">
        <x:v>EXPERIMENT</x:v>
      </x:c>
      <x:c r="C234" s="16" t="str">
        <x:f>Coder_A!C234</x:f>
        <x:v>PILOT_01_E02</x:v>
      </x:c>
      <x:c r="D234" s="16" t="str">
        <x:v>n_interactions_reported</x:v>
      </x:c>
      <x:c r="E234" s="16" t="n">
        <x:f>Coder_A!E234</x:f>
        <x:v>98200</x:v>
      </x:c>
      <x:c r="F234" s="16" t="n">
        <x:f>Coder_B!E234</x:f>
        <x:v>0</x:v>
      </x:c>
      <x:c r="G234" s="16" t="str">
        <x:f>IF(F234="","PENDING",IF(E234=F234,"AGREE","DISAGREE"))</x:f>
        <x:v>PENDING</x:v>
      </x:c>
      <x:c r="H234" s="16" t="str">
        <x:v>N</x:v>
      </x:c>
      <x:c r="I234" s="16" t="str">
        <x:f>Coder_A!F234</x:f>
        <x:v>Sec. 3 Datasets; Appendix A; Table 2; Table 1; Appendix B</x:v>
      </x:c>
      <x:c r="J234" s="16" t="n">
        <x:f>Coder_B!F234</x:f>
        <x:v>0</x:v>
      </x:c>
    </x:row>
    <x:row r="235">
      <x:c r="A235" s="16" t="n">
        <x:v>234</x:v>
      </x:c>
      <x:c r="B235" s="16" t="str">
        <x:v>EXPERIMENT</x:v>
      </x:c>
      <x:c r="C235" s="16" t="str">
        <x:f>Coder_A!C235</x:f>
        <x:v>PILOT_01_E02</x:v>
      </x:c>
      <x:c r="D235" s="16" t="str">
        <x:v>multi_skill_present</x:v>
      </x:c>
      <x:c r="E235" s="16" t="str">
        <x:f>Coder_A!E235</x:f>
        <x:v>UNCLEAR</x:v>
      </x:c>
      <x:c r="F235" s="16" t="n">
        <x:f>Coder_B!E235</x:f>
        <x:v>0</x:v>
      </x:c>
      <x:c r="G235" s="16" t="str">
        <x:f>IF(F235="","PENDING",IF(E235=F235,"AGREE","DISAGREE"))</x:f>
        <x:v>PENDING</x:v>
      </x:c>
      <x:c r="H235" s="16" t="str">
        <x:v>Y</x:v>
      </x:c>
      <x:c r="I235" s="16" t="str">
        <x:f>Coder_A!F235</x:f>
        <x:v>Sec. 3 Datasets; Appendix A; Table 2; Table 1; Appendix B</x:v>
      </x:c>
      <x:c r="J235" s="16" t="n">
        <x:f>Coder_B!F235</x:f>
        <x:v>0</x:v>
      </x:c>
    </x:row>
    <x:row r="236">
      <x:c r="A236" s="16" t="n">
        <x:v>235</x:v>
      </x:c>
      <x:c r="B236" s="16" t="str">
        <x:v>EXPERIMENT</x:v>
      </x:c>
      <x:c r="C236" s="16" t="str">
        <x:f>Coder_A!C236</x:f>
        <x:v>PILOT_01_E02</x:v>
      </x:c>
      <x:c r="D236" s="16" t="str">
        <x:v>multi_skill_handling</x:v>
      </x:c>
      <x:c r="E236" s="16" t="str">
        <x:f>Coder_A!E236</x:f>
        <x:v>Combine simultaneous answer logs into one; extract named skill tags</x:v>
      </x:c>
      <x:c r="F236" s="16" t="n">
        <x:f>Coder_B!E236</x:f>
        <x:v>0</x:v>
      </x:c>
      <x:c r="G236" s="16" t="str">
        <x:f>IF(F236="","PENDING",IF(E236=F236,"AGREE","DISAGREE"))</x:f>
        <x:v>PENDING</x:v>
      </x:c>
      <x:c r="H236" s="16" t="str">
        <x:v>N</x:v>
      </x:c>
      <x:c r="I236" s="16" t="str">
        <x:f>Coder_A!F236</x:f>
        <x:v>Sec. 3 Datasets; Appendix A; Table 2; Table 1; Appendix B</x:v>
      </x:c>
      <x:c r="J236" s="16" t="n">
        <x:f>Coder_B!F236</x:f>
        <x:v>0</x:v>
      </x:c>
    </x:row>
    <x:row r="237">
      <x:c r="A237" s="16" t="n">
        <x:v>236</x:v>
      </x:c>
      <x:c r="B237" s="16" t="str">
        <x:v>EXPERIMENT</x:v>
      </x:c>
      <x:c r="C237" s="16" t="str">
        <x:f>Coder_A!C237</x:f>
        <x:v>PILOT_01_E02</x:v>
      </x:c>
      <x:c r="D237" s="16" t="str">
        <x:v>sequence_truncation</x:v>
      </x:c>
      <x:c r="E237" s="16" t="str">
        <x:f>Coder_A!E237</x:f>
        <x:v>NR</x:v>
      </x:c>
      <x:c r="F237" s="16" t="n">
        <x:f>Coder_B!E237</x:f>
        <x:v>0</x:v>
      </x:c>
      <x:c r="G237" s="16" t="str">
        <x:f>IF(F237="","PENDING",IF(E237=F237,"AGREE","DISAGREE"))</x:f>
        <x:v>PENDING</x:v>
      </x:c>
      <x:c r="H237" s="16" t="str">
        <x:v>N</x:v>
      </x:c>
      <x:c r="I237" s="16" t="str">
        <x:f>Coder_A!F237</x:f>
        <x:v>Sec. 3 Datasets; Appendix A; Table 2; Table 1; Appendix B</x:v>
      </x:c>
      <x:c r="J237" s="16" t="n">
        <x:f>Coder_B!F237</x:f>
        <x:v>0</x:v>
      </x:c>
    </x:row>
    <x:row r="238">
      <x:c r="A238" s="16" t="n">
        <x:v>237</x:v>
      </x:c>
      <x:c r="B238" s="16" t="str">
        <x:v>EXPERIMENT</x:v>
      </x:c>
      <x:c r="C238" s="16" t="str">
        <x:f>Coder_A!C238</x:f>
        <x:v>PILOT_01_E02</x:v>
      </x:c>
      <x:c r="D238" s="16" t="str">
        <x:v>min_sequence_filter</x:v>
      </x:c>
      <x:c r="E238" s="16" t="str">
        <x:f>Coder_A!E238</x:f>
        <x:v>NR</x:v>
      </x:c>
      <x:c r="F238" s="16" t="n">
        <x:f>Coder_B!E238</x:f>
        <x:v>0</x:v>
      </x:c>
      <x:c r="G238" s="16" t="str">
        <x:f>IF(F238="","PENDING",IF(E238=F238,"AGREE","DISAGREE"))</x:f>
        <x:v>PENDING</x:v>
      </x:c>
      <x:c r="H238" s="16" t="str">
        <x:v>N</x:v>
      </x:c>
      <x:c r="I238" s="16" t="str">
        <x:f>Coder_A!F238</x:f>
        <x:v>Sec. 3 Datasets; Appendix A; Table 2; Table 1; Appendix B</x:v>
      </x:c>
      <x:c r="J238" s="16" t="n">
        <x:f>Coder_B!F238</x:f>
        <x:v>0</x:v>
      </x:c>
    </x:row>
    <x:row r="239">
      <x:c r="A239" s="16" t="n">
        <x:v>238</x:v>
      </x:c>
      <x:c r="B239" s="16" t="str">
        <x:v>EXPERIMENT</x:v>
      </x:c>
      <x:c r="C239" s="16" t="str">
        <x:f>Coder_A!C239</x:f>
        <x:v>PILOT_01_E02</x:v>
      </x:c>
      <x:c r="D239" s="16" t="str">
        <x:v>timestamp_used</x:v>
      </x:c>
      <x:c r="E239" s="16" t="str">
        <x:f>Coder_A!E239</x:f>
        <x:v>UNCLEAR</x:v>
      </x:c>
      <x:c r="F239" s="16" t="n">
        <x:f>Coder_B!E239</x:f>
        <x:v>0</x:v>
      </x:c>
      <x:c r="G239" s="16" t="str">
        <x:f>IF(F239="","PENDING",IF(E239=F239,"AGREE","DISAGREE"))</x:f>
        <x:v>PENDING</x:v>
      </x:c>
      <x:c r="H239" s="16" t="str">
        <x:v>Y</x:v>
      </x:c>
      <x:c r="I239" s="16" t="str">
        <x:f>Coder_A!F239</x:f>
        <x:v>Sec. 3 Datasets; Appendix A; Table 2; Table 1; Appendix B</x:v>
      </x:c>
      <x:c r="J239" s="16" t="n">
        <x:f>Coder_B!F239</x:f>
        <x:v>0</x:v>
      </x:c>
    </x:row>
    <x:row r="240">
      <x:c r="A240" s="16" t="n">
        <x:v>239</x:v>
      </x:c>
      <x:c r="B240" s="16" t="str">
        <x:v>EXPERIMENT</x:v>
      </x:c>
      <x:c r="C240" s="16" t="str">
        <x:f>Coder_A!C240</x:f>
        <x:v>PILOT_01_E02</x:v>
      </x:c>
      <x:c r="D240" s="16" t="str">
        <x:v>preprocessing_code_available</x:v>
      </x:c>
      <x:c r="E240" s="16" t="str">
        <x:f>Coder_A!E240</x:f>
        <x:v>NR</x:v>
      </x:c>
      <x:c r="F240" s="16" t="n">
        <x:f>Coder_B!E240</x:f>
        <x:v>0</x:v>
      </x:c>
      <x:c r="G240" s="16" t="str">
        <x:f>IF(F240="","PENDING",IF(E240=F240,"AGREE","DISAGREE"))</x:f>
        <x:v>PENDING</x:v>
      </x:c>
      <x:c r="H240" s="16" t="str">
        <x:v>Y</x:v>
      </x:c>
      <x:c r="I240" s="16" t="str">
        <x:f>Coder_A!F240</x:f>
        <x:v>Sec. 3 Datasets; Appendix A; Table 2; Table 1; Appendix B</x:v>
      </x:c>
      <x:c r="J240" s="16" t="n">
        <x:f>Coder_B!F240</x:f>
        <x:v>0</x:v>
      </x:c>
    </x:row>
    <x:row r="241">
      <x:c r="A241" s="16" t="n">
        <x:v>240</x:v>
      </x:c>
      <x:c r="B241" s="16" t="str">
        <x:v>EXPERIMENT</x:v>
      </x:c>
      <x:c r="C241" s="16" t="str">
        <x:f>Coder_A!C241</x:f>
        <x:v>PILOT_01_E02</x:v>
      </x:c>
      <x:c r="D241" s="16" t="str">
        <x:v>split_type</x:v>
      </x:c>
      <x:c r="E241" s="16" t="str">
        <x:f>Coder_A!E241</x:f>
        <x:v>LEARNER_BASED</x:v>
      </x:c>
      <x:c r="F241" s="16" t="n">
        <x:f>Coder_B!E241</x:f>
        <x:v>0</x:v>
      </x:c>
      <x:c r="G241" s="16" t="str">
        <x:f>IF(F241="","PENDING",IF(E241=F241,"AGREE","DISAGREE"))</x:f>
        <x:v>PENDING</x:v>
      </x:c>
      <x:c r="H241" s="16" t="str">
        <x:v>Y</x:v>
      </x:c>
      <x:c r="I241" s="16" t="str">
        <x:f>Coder_A!F241</x:f>
        <x:v>Sec. 3 Datasets; Appendix A; Table 2; Table 1; Appendix B</x:v>
      </x:c>
      <x:c r="J241" s="16" t="n">
        <x:f>Coder_B!F241</x:f>
        <x:v>0</x:v>
      </x:c>
    </x:row>
    <x:row r="242">
      <x:c r="A242" s="16" t="n">
        <x:v>241</x:v>
      </x:c>
      <x:c r="B242" s="16" t="str">
        <x:v>EXPERIMENT</x:v>
      </x:c>
      <x:c r="C242" s="16" t="str">
        <x:f>Coder_A!C242</x:f>
        <x:v>PILOT_01_E02</x:v>
      </x:c>
      <x:c r="D242" s="16" t="str">
        <x:v>split_unit_original</x:v>
      </x:c>
      <x:c r="E242" s="16" t="str">
        <x:f>Coder_A!E242</x:f>
        <x:v>students</x:v>
      </x:c>
      <x:c r="F242" s="16" t="n">
        <x:f>Coder_B!E242</x:f>
        <x:v>0</x:v>
      </x:c>
      <x:c r="G242" s="16" t="str">
        <x:f>IF(F242="","PENDING",IF(E242=F242,"AGREE","DISAGREE"))</x:f>
        <x:v>PENDING</x:v>
      </x:c>
      <x:c r="H242" s="16" t="str">
        <x:v>N</x:v>
      </x:c>
      <x:c r="I242" s="16" t="str">
        <x:f>Coder_A!F242</x:f>
        <x:v>Sec. 3 Datasets; Appendix A; Table 2; Table 1; Appendix B</x:v>
      </x:c>
      <x:c r="J242" s="16" t="n">
        <x:f>Coder_B!F242</x:f>
        <x:v>0</x:v>
      </x:c>
    </x:row>
    <x:row r="243">
      <x:c r="A243" s="16" t="n">
        <x:v>242</x:v>
      </x:c>
      <x:c r="B243" s="16" t="str">
        <x:v>EXPERIMENT</x:v>
      </x:c>
      <x:c r="C243" s="16" t="str">
        <x:f>Coder_A!C243</x:f>
        <x:v>PILOT_01_E02</x:v>
      </x:c>
      <x:c r="D243" s="16" t="str">
        <x:v>train_fraction</x:v>
      </x:c>
      <x:c r="E243" s="16" t="n">
        <x:f>Coder_A!E243</x:f>
        <x:v>0.8</x:v>
      </x:c>
      <x:c r="F243" s="16" t="n">
        <x:f>Coder_B!E243</x:f>
        <x:v>0</x:v>
      </x:c>
      <x:c r="G243" s="16" t="str">
        <x:f>IF(F243="","PENDING",IF(E243=F243,"AGREE","DISAGREE"))</x:f>
        <x:v>PENDING</x:v>
      </x:c>
      <x:c r="H243" s="16" t="str">
        <x:v>N</x:v>
      </x:c>
      <x:c r="I243" s="16" t="str">
        <x:f>Coder_A!F243</x:f>
        <x:v>Sec. 3 Datasets; Appendix A; Table 2; Table 1; Appendix B</x:v>
      </x:c>
      <x:c r="J243" s="16" t="n">
        <x:f>Coder_B!F243</x:f>
        <x:v>0</x:v>
      </x:c>
    </x:row>
    <x:row r="244">
      <x:c r="A244" s="16" t="n">
        <x:v>243</x:v>
      </x:c>
      <x:c r="B244" s="16" t="str">
        <x:v>EXPERIMENT</x:v>
      </x:c>
      <x:c r="C244" s="16" t="str">
        <x:f>Coder_A!C244</x:f>
        <x:v>PILOT_01_E02</x:v>
      </x:c>
      <x:c r="D244" s="16" t="str">
        <x:v>validation_fraction</x:v>
      </x:c>
      <x:c r="E244" s="16" t="n">
        <x:f>Coder_A!E244</x:f>
        <x:v>0.1</x:v>
      </x:c>
      <x:c r="F244" s="16" t="n">
        <x:f>Coder_B!E244</x:f>
        <x:v>0</x:v>
      </x:c>
      <x:c r="G244" s="16" t="str">
        <x:f>IF(F244="","PENDING",IF(E244=F244,"AGREE","DISAGREE"))</x:f>
        <x:v>PENDING</x:v>
      </x:c>
      <x:c r="H244" s="16" t="str">
        <x:v>N</x:v>
      </x:c>
      <x:c r="I244" s="16" t="str">
        <x:f>Coder_A!F244</x:f>
        <x:v>Sec. 3 Datasets; Appendix A; Table 2; Table 1; Appendix B</x:v>
      </x:c>
      <x:c r="J244" s="16" t="n">
        <x:f>Coder_B!F244</x:f>
        <x:v>0</x:v>
      </x:c>
    </x:row>
    <x:row r="245">
      <x:c r="A245" s="16" t="n">
        <x:v>244</x:v>
      </x:c>
      <x:c r="B245" s="16" t="str">
        <x:v>EXPERIMENT</x:v>
      </x:c>
      <x:c r="C245" s="16" t="str">
        <x:f>Coder_A!C245</x:f>
        <x:v>PILOT_01_E02</x:v>
      </x:c>
      <x:c r="D245" s="16" t="str">
        <x:v>test_fraction</x:v>
      </x:c>
      <x:c r="E245" s="16" t="n">
        <x:f>Coder_A!E245</x:f>
        <x:v>0.1</x:v>
      </x:c>
      <x:c r="F245" s="16" t="n">
        <x:f>Coder_B!E245</x:f>
        <x:v>0</x:v>
      </x:c>
      <x:c r="G245" s="16" t="str">
        <x:f>IF(F245="","PENDING",IF(E245=F245,"AGREE","DISAGREE"))</x:f>
        <x:v>PENDING</x:v>
      </x:c>
      <x:c r="H245" s="16" t="str">
        <x:v>N</x:v>
      </x:c>
      <x:c r="I245" s="16" t="str">
        <x:f>Coder_A!F245</x:f>
        <x:v>Sec. 3 Datasets; Appendix A; Table 2; Table 1; Appendix B</x:v>
      </x:c>
      <x:c r="J245" s="16" t="n">
        <x:f>Coder_B!F245</x:f>
        <x:v>0</x:v>
      </x:c>
    </x:row>
    <x:row r="246">
      <x:c r="A246" s="16" t="n">
        <x:v>245</x:v>
      </x:c>
      <x:c r="B246" s="16" t="str">
        <x:v>EXPERIMENT</x:v>
      </x:c>
      <x:c r="C246" s="16" t="str">
        <x:f>Coder_A!C246</x:f>
        <x:v>PILOT_01_E02</x:v>
      </x:c>
      <x:c r="D246" s="16" t="str">
        <x:v>validation_set_separate</x:v>
      </x:c>
      <x:c r="E246" s="16" t="str">
        <x:f>Coder_A!E246</x:f>
        <x:v>Y</x:v>
      </x:c>
      <x:c r="F246" s="16" t="n">
        <x:f>Coder_B!E246</x:f>
        <x:v>0</x:v>
      </x:c>
      <x:c r="G246" s="16" t="str">
        <x:f>IF(F246="","PENDING",IF(E246=F246,"AGREE","DISAGREE"))</x:f>
        <x:v>PENDING</x:v>
      </x:c>
      <x:c r="H246" s="16" t="str">
        <x:v>Y</x:v>
      </x:c>
      <x:c r="I246" s="16" t="str">
        <x:f>Coder_A!F246</x:f>
        <x:v>Sec. 3 Datasets; Appendix A; Table 2; Table 1; Appendix B</x:v>
      </x:c>
      <x:c r="J246" s="16" t="n">
        <x:f>Coder_B!F246</x:f>
        <x:v>0</x:v>
      </x:c>
    </x:row>
    <x:row r="247">
      <x:c r="A247" s="16" t="n">
        <x:v>246</x:v>
      </x:c>
      <x:c r="B247" s="16" t="str">
        <x:v>EXPERIMENT</x:v>
      </x:c>
      <x:c r="C247" s="16" t="str">
        <x:f>Coder_A!C247</x:f>
        <x:v>PILOT_01_E02</x:v>
      </x:c>
      <x:c r="D247" s="16" t="str">
        <x:v>early_stopping_validation_only</x:v>
      </x:c>
      <x:c r="E247" s="16" t="str">
        <x:f>Coder_A!E247</x:f>
        <x:v>UNCLEAR</x:v>
      </x:c>
      <x:c r="F247" s="16" t="n">
        <x:f>Coder_B!E247</x:f>
        <x:v>0</x:v>
      </x:c>
      <x:c r="G247" s="16" t="str">
        <x:f>IF(F247="","PENDING",IF(E247=F247,"AGREE","DISAGREE"))</x:f>
        <x:v>PENDING</x:v>
      </x:c>
      <x:c r="H247" s="16" t="str">
        <x:v>Y</x:v>
      </x:c>
      <x:c r="I247" s="16" t="str">
        <x:f>Coder_A!F247</x:f>
        <x:v>Sec. 3 Datasets; Appendix A; Table 2; Table 1; Appendix B</x:v>
      </x:c>
      <x:c r="J247" s="16" t="n">
        <x:f>Coder_B!F247</x:f>
        <x:v>0</x:v>
      </x:c>
    </x:row>
    <x:row r="248">
      <x:c r="A248" s="16" t="n">
        <x:v>247</x:v>
      </x:c>
      <x:c r="B248" s="16" t="str">
        <x:v>EXPERIMENT</x:v>
      </x:c>
      <x:c r="C248" s="16" t="str">
        <x:f>Coder_A!C248</x:f>
        <x:v>PILOT_01_E02</x:v>
      </x:c>
      <x:c r="D248" s="16" t="str">
        <x:v>graph_train_only</x:v>
      </x:c>
      <x:c r="E248" s="16" t="str">
        <x:f>Coder_A!E248</x:f>
        <x:v>NA</x:v>
      </x:c>
      <x:c r="F248" s="16" t="n">
        <x:f>Coder_B!E248</x:f>
        <x:v>0</x:v>
      </x:c>
      <x:c r="G248" s="16" t="str">
        <x:f>IF(F248="","PENDING",IF(E248=F248,"AGREE","DISAGREE"))</x:f>
        <x:v>PENDING</x:v>
      </x:c>
      <x:c r="H248" s="16" t="str">
        <x:v>Y</x:v>
      </x:c>
      <x:c r="I248" s="16" t="str">
        <x:f>Coder_A!F248</x:f>
        <x:v>Sec. 3 Datasets; Appendix A; Table 2; Table 1; Appendix B</x:v>
      </x:c>
      <x:c r="J248" s="16" t="n">
        <x:f>Coder_B!F248</x:f>
        <x:v>0</x:v>
      </x:c>
    </x:row>
    <x:row r="249">
      <x:c r="A249" s="16" t="n">
        <x:v>248</x:v>
      </x:c>
      <x:c r="B249" s="16" t="str">
        <x:v>EXPERIMENT</x:v>
      </x:c>
      <x:c r="C249" s="16" t="str">
        <x:f>Coder_A!C249</x:f>
        <x:v>PILOT_01_E02</x:v>
      </x:c>
      <x:c r="D249" s="16" t="str">
        <x:v>normalization_train_only</x:v>
      </x:c>
      <x:c r="E249" s="16" t="str">
        <x:f>Coder_A!E249</x:f>
        <x:v>NR</x:v>
      </x:c>
      <x:c r="F249" s="16" t="n">
        <x:f>Coder_B!E249</x:f>
        <x:v>0</x:v>
      </x:c>
      <x:c r="G249" s="16" t="str">
        <x:f>IF(F249="","PENDING",IF(E249=F249,"AGREE","DISAGREE"))</x:f>
        <x:v>PENDING</x:v>
      </x:c>
      <x:c r="H249" s="16" t="str">
        <x:v>Y</x:v>
      </x:c>
      <x:c r="I249" s="16" t="str">
        <x:f>Coder_A!F249</x:f>
        <x:v>Sec. 3 Datasets; Appendix A; Table 2; Table 1; Appendix B</x:v>
      </x:c>
      <x:c r="J249" s="16" t="n">
        <x:f>Coder_B!F249</x:f>
        <x:v>0</x:v>
      </x:c>
    </x:row>
    <x:row r="250">
      <x:c r="A250" s="16" t="n">
        <x:v>249</x:v>
      </x:c>
      <x:c r="B250" s="16" t="str">
        <x:v>EXPERIMENT</x:v>
      </x:c>
      <x:c r="C250" s="16" t="str">
        <x:f>Coder_A!C250</x:f>
        <x:v>PILOT_01_E02</x:v>
      </x:c>
      <x:c r="D250" s="16" t="str">
        <x:v>sparse_strata_train_only</x:v>
      </x:c>
      <x:c r="E250" s="16" t="str">
        <x:f>Coder_A!E250</x:f>
        <x:v>NA</x:v>
      </x:c>
      <x:c r="F250" s="16" t="n">
        <x:f>Coder_B!E250</x:f>
        <x:v>0</x:v>
      </x:c>
      <x:c r="G250" s="16" t="str">
        <x:f>IF(F250="","PENDING",IF(E250=F250,"AGREE","DISAGREE"))</x:f>
        <x:v>PENDING</x:v>
      </x:c>
      <x:c r="H250" s="16" t="str">
        <x:v>Y</x:v>
      </x:c>
      <x:c r="I250" s="16" t="str">
        <x:f>Coder_A!F250</x:f>
        <x:v>Sec. 3 Datasets; Appendix A; Table 2; Table 1; Appendix B</x:v>
      </x:c>
      <x:c r="J250" s="16" t="n">
        <x:f>Coder_B!F250</x:f>
        <x:v>0</x:v>
      </x:c>
    </x:row>
    <x:row r="251">
      <x:c r="A251" s="16" t="n">
        <x:v>250</x:v>
      </x:c>
      <x:c r="B251" s="16" t="str">
        <x:v>EXPERIMENT</x:v>
      </x:c>
      <x:c r="C251" s="16" t="str">
        <x:f>Coder_A!C251</x:f>
        <x:v>PILOT_01_E02</x:v>
      </x:c>
      <x:c r="D251" s="16" t="str">
        <x:v>temporal_alignment_audited</x:v>
      </x:c>
      <x:c r="E251" s="16" t="str">
        <x:f>Coder_A!E251</x:f>
        <x:v>NR</x:v>
      </x:c>
      <x:c r="F251" s="16" t="n">
        <x:f>Coder_B!E251</x:f>
        <x:v>0</x:v>
      </x:c>
      <x:c r="G251" s="16" t="str">
        <x:f>IF(F251="","PENDING",IF(E251=F251,"AGREE","DISAGREE"))</x:f>
        <x:v>PENDING</x:v>
      </x:c>
      <x:c r="H251" s="16" t="str">
        <x:v>Y</x:v>
      </x:c>
      <x:c r="I251" s="16" t="str">
        <x:f>Coder_A!F251</x:f>
        <x:v>Sec. 3 Datasets; Appendix A; Table 2; Table 1; Appendix B</x:v>
      </x:c>
      <x:c r="J251" s="16" t="n">
        <x:f>Coder_B!F251</x:f>
        <x:v>0</x:v>
      </x:c>
    </x:row>
    <x:row r="252">
      <x:c r="A252" s="16" t="n">
        <x:v>251</x:v>
      </x:c>
      <x:c r="B252" s="16" t="str">
        <x:v>EXPERIMENT</x:v>
      </x:c>
      <x:c r="C252" s="16" t="str">
        <x:f>Coder_A!C252</x:f>
        <x:v>PILOT_01_E02</x:v>
      </x:c>
      <x:c r="D252" s="16" t="str">
        <x:v>duplicate_entity_leakage_checked</x:v>
      </x:c>
      <x:c r="E252" s="16" t="str">
        <x:f>Coder_A!E252</x:f>
        <x:v>NR</x:v>
      </x:c>
      <x:c r="F252" s="16" t="n">
        <x:f>Coder_B!E252</x:f>
        <x:v>0</x:v>
      </x:c>
      <x:c r="G252" s="16" t="str">
        <x:f>IF(F252="","PENDING",IF(E252=F252,"AGREE","DISAGREE"))</x:f>
        <x:v>PENDING</x:v>
      </x:c>
      <x:c r="H252" s="16" t="str">
        <x:v>Y</x:v>
      </x:c>
      <x:c r="I252" s="16" t="str">
        <x:f>Coder_A!F252</x:f>
        <x:v>Sec. 3 Datasets; Appendix A; Table 2; Table 1; Appendix B</x:v>
      </x:c>
      <x:c r="J252" s="16" t="n">
        <x:f>Coder_B!F252</x:f>
        <x:v>0</x:v>
      </x:c>
    </x:row>
    <x:row r="253">
      <x:c r="A253" s="16" t="n">
        <x:v>252</x:v>
      </x:c>
      <x:c r="B253" s="16" t="str">
        <x:v>EXPERIMENT</x:v>
      </x:c>
      <x:c r="C253" s="16" t="str">
        <x:f>Coder_A!C253</x:f>
        <x:v>PILOT_01_E02</x:v>
      </x:c>
      <x:c r="D253" s="16" t="str">
        <x:v>sparsity_construct</x:v>
      </x:c>
      <x:c r="E253" s="16" t="str">
        <x:f>Coder_A!E253</x:f>
        <x:v>NO_EXPLICIT_FOCUS</x:v>
      </x:c>
      <x:c r="F253" s="16" t="n">
        <x:f>Coder_B!E253</x:f>
        <x:v>0</x:v>
      </x:c>
      <x:c r="G253" s="16" t="str">
        <x:f>IF(F253="","PENDING",IF(E253=F253,"AGREE","DISAGREE"))</x:f>
        <x:v>PENDING</x:v>
      </x:c>
      <x:c r="H253" s="16" t="str">
        <x:v>Y</x:v>
      </x:c>
      <x:c r="I253" s="16" t="str">
        <x:f>Coder_A!F253</x:f>
        <x:v>Sec. 3 Datasets; Appendix A; Table 2; Table 1; Appendix B</x:v>
      </x:c>
      <x:c r="J253" s="16" t="n">
        <x:f>Coder_B!F253</x:f>
        <x:v>0</x:v>
      </x:c>
    </x:row>
    <x:row r="254">
      <x:c r="A254" s="16" t="n">
        <x:v>253</x:v>
      </x:c>
      <x:c r="B254" s="16" t="str">
        <x:v>EXPERIMENT</x:v>
      </x:c>
      <x:c r="C254" s="16" t="str">
        <x:f>Coder_A!C254</x:f>
        <x:v>PILOT_01_E02</x:v>
      </x:c>
      <x:c r="D254" s="16" t="str">
        <x:v>sparse_definition_original</x:v>
      </x:c>
      <x:c r="E254" s="16" t="str">
        <x:f>Coder_A!E254</x:f>
        <x:v>NA</x:v>
      </x:c>
      <x:c r="F254" s="16" t="n">
        <x:f>Coder_B!E254</x:f>
        <x:v>0</x:v>
      </x:c>
      <x:c r="G254" s="16" t="str">
        <x:f>IF(F254="","PENDING",IF(E254=F254,"AGREE","DISAGREE"))</x:f>
        <x:v>PENDING</x:v>
      </x:c>
      <x:c r="H254" s="16" t="str">
        <x:v>N</x:v>
      </x:c>
      <x:c r="I254" s="16" t="str">
        <x:f>Coder_A!F254</x:f>
        <x:v>Sec. 3 Datasets; Appendix A; Table 2; Table 1; Appendix B</x:v>
      </x:c>
      <x:c r="J254" s="16" t="n">
        <x:f>Coder_B!F254</x:f>
        <x:v>0</x:v>
      </x:c>
    </x:row>
    <x:row r="255">
      <x:c r="A255" s="16" t="n">
        <x:v>254</x:v>
      </x:c>
      <x:c r="B255" s="16" t="str">
        <x:v>EXPERIMENT</x:v>
      </x:c>
      <x:c r="C255" s="16" t="str">
        <x:f>Coder_A!C255</x:f>
        <x:v>PILOT_01_E02</x:v>
      </x:c>
      <x:c r="D255" s="16" t="str">
        <x:v>sparse_threshold_original</x:v>
      </x:c>
      <x:c r="E255" s="16" t="str">
        <x:f>Coder_A!E255</x:f>
        <x:v>NA</x:v>
      </x:c>
      <x:c r="F255" s="16" t="n">
        <x:f>Coder_B!E255</x:f>
        <x:v>0</x:v>
      </x:c>
      <x:c r="G255" s="16" t="str">
        <x:f>IF(F255="","PENDING",IF(E255=F255,"AGREE","DISAGREE"))</x:f>
        <x:v>PENDING</x:v>
      </x:c>
      <x:c r="H255" s="16" t="str">
        <x:v>N</x:v>
      </x:c>
      <x:c r="I255" s="16" t="str">
        <x:f>Coder_A!F255</x:f>
        <x:v>Sec. 3 Datasets; Appendix A; Table 2; Table 1; Appendix B</x:v>
      </x:c>
      <x:c r="J255" s="16" t="n">
        <x:f>Coder_B!F255</x:f>
        <x:v>0</x:v>
      </x:c>
    </x:row>
    <x:row r="256">
      <x:c r="A256" s="16" t="n">
        <x:v>255</x:v>
      </x:c>
      <x:c r="B256" s="16" t="str">
        <x:v>EXPERIMENT</x:v>
      </x:c>
      <x:c r="C256" s="16" t="str">
        <x:f>Coder_A!C256</x:f>
        <x:v>PILOT_01_E02</x:v>
      </x:c>
      <x:c r="D256" s="16" t="str">
        <x:v>threshold_source</x:v>
      </x:c>
      <x:c r="E256" s="16" t="str">
        <x:f>Coder_A!E256</x:f>
        <x:v>NA</x:v>
      </x:c>
      <x:c r="F256" s="16" t="n">
        <x:f>Coder_B!E256</x:f>
        <x:v>0</x:v>
      </x:c>
      <x:c r="G256" s="16" t="str">
        <x:f>IF(F256="","PENDING",IF(E256=F256,"AGREE","DISAGREE"))</x:f>
        <x:v>PENDING</x:v>
      </x:c>
      <x:c r="H256" s="16" t="str">
        <x:v>Y</x:v>
      </x:c>
      <x:c r="I256" s="16" t="str">
        <x:f>Coder_A!F256</x:f>
        <x:v>Sec. 3 Datasets; Appendix A; Table 2; Table 1; Appendix B</x:v>
      </x:c>
      <x:c r="J256" s="16" t="n">
        <x:f>Coder_B!F256</x:f>
        <x:v>0</x:v>
      </x:c>
    </x:row>
    <x:row r="257">
      <x:c r="A257" s="16" t="n">
        <x:v>256</x:v>
      </x:c>
      <x:c r="B257" s="16" t="str">
        <x:v>EXPERIMENT</x:v>
      </x:c>
      <x:c r="C257" s="16" t="str">
        <x:f>Coder_A!C257</x:f>
        <x:v>PILOT_01_E02</x:v>
      </x:c>
      <x:c r="D257" s="16" t="str">
        <x:v>frequency_computed_on</x:v>
      </x:c>
      <x:c r="E257" s="16" t="str">
        <x:f>Coder_A!E257</x:f>
        <x:v>NA</x:v>
      </x:c>
      <x:c r="F257" s="16" t="n">
        <x:f>Coder_B!E257</x:f>
        <x:v>0</x:v>
      </x:c>
      <x:c r="G257" s="16" t="str">
        <x:f>IF(F257="","PENDING",IF(E257=F257,"AGREE","DISAGREE"))</x:f>
        <x:v>PENDING</x:v>
      </x:c>
      <x:c r="H257" s="16" t="str">
        <x:v>Y</x:v>
      </x:c>
      <x:c r="I257" s="16" t="str">
        <x:f>Coder_A!F257</x:f>
        <x:v>Sec. 3 Datasets; Appendix A; Table 2; Table 1; Appendix B</x:v>
      </x:c>
      <x:c r="J257" s="16" t="n">
        <x:f>Coder_B!F257</x:f>
        <x:v>0</x:v>
      </x:c>
    </x:row>
    <x:row r="258">
      <x:c r="A258" s="16" t="n">
        <x:v>257</x:v>
      </x:c>
      <x:c r="B258" s="16" t="str">
        <x:v>EXPERIMENT</x:v>
      </x:c>
      <x:c r="C258" s="16" t="str">
        <x:f>Coder_A!C258</x:f>
        <x:v>PILOT_01_E02</x:v>
      </x:c>
      <x:c r="D258" s="16" t="str">
        <x:v>strict_zero_train_verified</x:v>
      </x:c>
      <x:c r="E258" s="16" t="str">
        <x:f>Coder_A!E258</x:f>
        <x:v>NA</x:v>
      </x:c>
      <x:c r="F258" s="16" t="n">
        <x:f>Coder_B!E258</x:f>
        <x:v>0</x:v>
      </x:c>
      <x:c r="G258" s="16" t="str">
        <x:f>IF(F258="","PENDING",IF(E258=F258,"AGREE","DISAGREE"))</x:f>
        <x:v>PENDING</x:v>
      </x:c>
      <x:c r="H258" s="16" t="str">
        <x:v>Y</x:v>
      </x:c>
      <x:c r="I258" s="16" t="str">
        <x:f>Coder_A!F258</x:f>
        <x:v>Sec. 3 Datasets; Appendix A; Table 2; Table 1; Appendix B</x:v>
      </x:c>
      <x:c r="J258" s="16" t="n">
        <x:f>Coder_B!F258</x:f>
        <x:v>0</x:v>
      </x:c>
    </x:row>
    <x:row r="259">
      <x:c r="A259" s="16" t="n">
        <x:v>258</x:v>
      </x:c>
      <x:c r="B259" s="16" t="str">
        <x:v>EXPERIMENT</x:v>
      </x:c>
      <x:c r="C259" s="16" t="str">
        <x:f>Coder_A!C259</x:f>
        <x:v>PILOT_01_E02</x:v>
      </x:c>
      <x:c r="D259" s="16" t="str">
        <x:v>external_info_for_unseen_kc</x:v>
      </x:c>
      <x:c r="E259" s="16" t="str">
        <x:f>Coder_A!E259</x:f>
        <x:v>NA</x:v>
      </x:c>
      <x:c r="F259" s="16" t="n">
        <x:f>Coder_B!E259</x:f>
        <x:v>0</x:v>
      </x:c>
      <x:c r="G259" s="16" t="str">
        <x:f>IF(F259="","PENDING",IF(E259=F259,"AGREE","DISAGREE"))</x:f>
        <x:v>PENDING</x:v>
      </x:c>
      <x:c r="H259" s="16" t="str">
        <x:v>Y</x:v>
      </x:c>
      <x:c r="I259" s="16" t="str">
        <x:f>Coder_A!F259</x:f>
        <x:v>Sec. 3 Datasets; Appendix A; Table 2; Table 1; Appendix B</x:v>
      </x:c>
      <x:c r="J259" s="16" t="n">
        <x:f>Coder_B!F259</x:f>
        <x:v>0</x:v>
      </x:c>
    </x:row>
    <x:row r="260">
      <x:c r="A260" s="16" t="n">
        <x:v>259</x:v>
      </x:c>
      <x:c r="B260" s="16" t="str">
        <x:v>EXPERIMENT</x:v>
      </x:c>
      <x:c r="C260" s="16" t="str">
        <x:f>Coder_A!C260</x:f>
        <x:v>PILOT_01_E02</x:v>
      </x:c>
      <x:c r="D260" s="16" t="str">
        <x:v>support_kcs</x:v>
      </x:c>
      <x:c r="E260" s="16" t="str">
        <x:f>Coder_A!E260</x:f>
        <x:v>NA</x:v>
      </x:c>
      <x:c r="F260" s="16" t="n">
        <x:f>Coder_B!E260</x:f>
        <x:v>0</x:v>
      </x:c>
      <x:c r="G260" s="16" t="str">
        <x:f>IF(F260="","PENDING",IF(E260=F260,"AGREE","DISAGREE"))</x:f>
        <x:v>PENDING</x:v>
      </x:c>
      <x:c r="H260" s="16" t="str">
        <x:v>N</x:v>
      </x:c>
      <x:c r="I260" s="16" t="str">
        <x:f>Coder_A!F260</x:f>
        <x:v>Sec. 3 Datasets; Appendix A; Table 2; Table 1; Appendix B</x:v>
      </x:c>
      <x:c r="J260" s="16" t="n">
        <x:f>Coder_B!F260</x:f>
        <x:v>0</x:v>
      </x:c>
    </x:row>
    <x:row r="261">
      <x:c r="A261" s="16" t="n">
        <x:v>260</x:v>
      </x:c>
      <x:c r="B261" s="16" t="str">
        <x:v>EXPERIMENT</x:v>
      </x:c>
      <x:c r="C261" s="16" t="str">
        <x:f>Coder_A!C261</x:f>
        <x:v>PILOT_01_E02</x:v>
      </x:c>
      <x:c r="D261" s="16" t="str">
        <x:v>support_learners</x:v>
      </x:c>
      <x:c r="E261" s="16" t="str">
        <x:f>Coder_A!E261</x:f>
        <x:v>NA</x:v>
      </x:c>
      <x:c r="F261" s="16" t="n">
        <x:f>Coder_B!E261</x:f>
        <x:v>0</x:v>
      </x:c>
      <x:c r="G261" s="16" t="str">
        <x:f>IF(F261="","PENDING",IF(E261=F261,"AGREE","DISAGREE"))</x:f>
        <x:v>PENDING</x:v>
      </x:c>
      <x:c r="H261" s="16" t="str">
        <x:v>N</x:v>
      </x:c>
      <x:c r="I261" s="16" t="str">
        <x:f>Coder_A!F261</x:f>
        <x:v>Sec. 3 Datasets; Appendix A; Table 2; Table 1; Appendix B</x:v>
      </x:c>
      <x:c r="J261" s="16" t="n">
        <x:f>Coder_B!F261</x:f>
        <x:v>0</x:v>
      </x:c>
    </x:row>
    <x:row r="262">
      <x:c r="A262" s="16" t="n">
        <x:v>261</x:v>
      </x:c>
      <x:c r="B262" s="16" t="str">
        <x:v>EXPERIMENT</x:v>
      </x:c>
      <x:c r="C262" s="16" t="str">
        <x:f>Coder_A!C262</x:f>
        <x:v>PILOT_01_E02</x:v>
      </x:c>
      <x:c r="D262" s="16" t="str">
        <x:v>support_items</x:v>
      </x:c>
      <x:c r="E262" s="16" t="str">
        <x:f>Coder_A!E262</x:f>
        <x:v>NA</x:v>
      </x:c>
      <x:c r="F262" s="16" t="n">
        <x:f>Coder_B!E262</x:f>
        <x:v>0</x:v>
      </x:c>
      <x:c r="G262" s="16" t="str">
        <x:f>IF(F262="","PENDING",IF(E262=F262,"AGREE","DISAGREE"))</x:f>
        <x:v>PENDING</x:v>
      </x:c>
      <x:c r="H262" s="16" t="str">
        <x:v>N</x:v>
      </x:c>
      <x:c r="I262" s="16" t="str">
        <x:f>Coder_A!F262</x:f>
        <x:v>Sec. 3 Datasets; Appendix A; Table 2; Table 1; Appendix B</x:v>
      </x:c>
      <x:c r="J262" s="16" t="n">
        <x:f>Coder_B!F262</x:f>
        <x:v>0</x:v>
      </x:c>
    </x:row>
    <x:row r="263">
      <x:c r="A263" s="16" t="n">
        <x:v>262</x:v>
      </x:c>
      <x:c r="B263" s="16" t="str">
        <x:v>EXPERIMENT</x:v>
      </x:c>
      <x:c r="C263" s="16" t="str">
        <x:f>Coder_A!C263</x:f>
        <x:v>PILOT_01_E02</x:v>
      </x:c>
      <x:c r="D263" s="16" t="str">
        <x:v>support_test_interactions</x:v>
      </x:c>
      <x:c r="E263" s="16" t="str">
        <x:f>Coder_A!E263</x:f>
        <x:v>NA</x:v>
      </x:c>
      <x:c r="F263" s="16" t="n">
        <x:f>Coder_B!E263</x:f>
        <x:v>0</x:v>
      </x:c>
      <x:c r="G263" s="16" t="str">
        <x:f>IF(F263="","PENDING",IF(E263=F263,"AGREE","DISAGREE"))</x:f>
        <x:v>PENDING</x:v>
      </x:c>
      <x:c r="H263" s="16" t="str">
        <x:v>N</x:v>
      </x:c>
      <x:c r="I263" s="16" t="str">
        <x:f>Coder_A!F263</x:f>
        <x:v>Sec. 3 Datasets; Appendix A; Table 2; Table 1; Appendix B</x:v>
      </x:c>
      <x:c r="J263" s="16" t="n">
        <x:f>Coder_B!F263</x:f>
        <x:v>0</x:v>
      </x:c>
    </x:row>
    <x:row r="264">
      <x:c r="A264" s="16" t="n">
        <x:v>263</x:v>
      </x:c>
      <x:c r="B264" s="16" t="str">
        <x:v>EXPERIMENT</x:v>
      </x:c>
      <x:c r="C264" s="16" t="str">
        <x:f>Coder_A!C264</x:f>
        <x:v>PILOT_01_E02</x:v>
      </x:c>
      <x:c r="D264" s="16" t="str">
        <x:v>positive_count</x:v>
      </x:c>
      <x:c r="E264" s="16" t="str">
        <x:f>Coder_A!E264</x:f>
        <x:v>NA</x:v>
      </x:c>
      <x:c r="F264" s="16" t="n">
        <x:f>Coder_B!E264</x:f>
        <x:v>0</x:v>
      </x:c>
      <x:c r="G264" s="16" t="str">
        <x:f>IF(F264="","PENDING",IF(E264=F264,"AGREE","DISAGREE"))</x:f>
        <x:v>PENDING</x:v>
      </x:c>
      <x:c r="H264" s="16" t="str">
        <x:v>N</x:v>
      </x:c>
      <x:c r="I264" s="16" t="str">
        <x:f>Coder_A!F264</x:f>
        <x:v>Sec. 3 Datasets; Appendix A; Table 2; Table 1; Appendix B</x:v>
      </x:c>
      <x:c r="J264" s="16" t="n">
        <x:f>Coder_B!F264</x:f>
        <x:v>0</x:v>
      </x:c>
    </x:row>
    <x:row r="265">
      <x:c r="A265" s="16" t="n">
        <x:v>264</x:v>
      </x:c>
      <x:c r="B265" s="16" t="str">
        <x:v>EXPERIMENT</x:v>
      </x:c>
      <x:c r="C265" s="16" t="str">
        <x:f>Coder_A!C265</x:f>
        <x:v>PILOT_01_E02</x:v>
      </x:c>
      <x:c r="D265" s="16" t="str">
        <x:v>negative_count</x:v>
      </x:c>
      <x:c r="E265" s="16" t="str">
        <x:f>Coder_A!E265</x:f>
        <x:v>NA</x:v>
      </x:c>
      <x:c r="F265" s="16" t="n">
        <x:f>Coder_B!E265</x:f>
        <x:v>0</x:v>
      </x:c>
      <x:c r="G265" s="16" t="str">
        <x:f>IF(F265="","PENDING",IF(E265=F265,"AGREE","DISAGREE"))</x:f>
        <x:v>PENDING</x:v>
      </x:c>
      <x:c r="H265" s="16" t="str">
        <x:v>N</x:v>
      </x:c>
      <x:c r="I265" s="16" t="str">
        <x:f>Coder_A!F265</x:f>
        <x:v>Sec. 3 Datasets; Appendix A; Table 2; Table 1; Appendix B</x:v>
      </x:c>
      <x:c r="J265" s="16" t="n">
        <x:f>Coder_B!F265</x:f>
        <x:v>0</x:v>
      </x:c>
    </x:row>
    <x:row r="266">
      <x:c r="A266" s="16" t="n">
        <x:v>265</x:v>
      </x:c>
      <x:c r="B266" s="16" t="str">
        <x:v>EXPERIMENT</x:v>
      </x:c>
      <x:c r="C266" s="16" t="str">
        <x:f>Coder_A!C266</x:f>
        <x:v>PILOT_01_E02</x:v>
      </x:c>
      <x:c r="D266" s="16" t="str">
        <x:v>metric_name_original</x:v>
      </x:c>
      <x:c r="E266" s="16" t="str">
        <x:f>Coder_A!E266</x:f>
        <x:v>AUC</x:v>
      </x:c>
      <x:c r="F266" s="16" t="n">
        <x:f>Coder_B!E266</x:f>
        <x:v>0</x:v>
      </x:c>
      <x:c r="G266" s="16" t="str">
        <x:f>IF(F266="","PENDING",IF(E266=F266,"AGREE","DISAGREE"))</x:f>
        <x:v>PENDING</x:v>
      </x:c>
      <x:c r="H266" s="16" t="str">
        <x:v>N</x:v>
      </x:c>
      <x:c r="I266" s="16" t="str">
        <x:f>Coder_A!F266</x:f>
        <x:v>Sec. 3 Datasets; Appendix A; Table 2; Table 1; Appendix B</x:v>
      </x:c>
      <x:c r="J266" s="16" t="n">
        <x:f>Coder_B!F266</x:f>
        <x:v>0</x:v>
      </x:c>
    </x:row>
    <x:row r="267">
      <x:c r="A267" s="16" t="n">
        <x:v>266</x:v>
      </x:c>
      <x:c r="B267" s="16" t="str">
        <x:v>EXPERIMENT</x:v>
      </x:c>
      <x:c r="C267" s="16" t="str">
        <x:f>Coder_A!C267</x:f>
        <x:v>PILOT_01_E02</x:v>
      </x:c>
      <x:c r="D267" s="16" t="str">
        <x:v>metric_value_original</x:v>
      </x:c>
      <x:c r="E267" s="16" t="n">
        <x:f>Coder_A!E267</x:f>
        <x:v>0.762</x:v>
      </x:c>
      <x:c r="F267" s="16" t="n">
        <x:f>Coder_B!E267</x:f>
        <x:v>0</x:v>
      </x:c>
      <x:c r="G267" s="16" t="str">
        <x:f>IF(F267="","PENDING",IF(E267=F267,"AGREE","DISAGREE"))</x:f>
        <x:v>PENDING</x:v>
      </x:c>
      <x:c r="H267" s="16" t="str">
        <x:v>N</x:v>
      </x:c>
      <x:c r="I267" s="16" t="str">
        <x:f>Coder_A!F267</x:f>
        <x:v>Sec. 3 Datasets; Appendix A; Table 2; Table 1; Appendix B</x:v>
      </x:c>
      <x:c r="J267" s="16" t="n">
        <x:f>Coder_B!F267</x:f>
        <x:v>0</x:v>
      </x:c>
    </x:row>
    <x:row r="268">
      <x:c r="A268" s="16" t="n">
        <x:v>267</x:v>
      </x:c>
      <x:c r="B268" s="16" t="str">
        <x:v>EXPERIMENT</x:v>
      </x:c>
      <x:c r="C268" s="16" t="str">
        <x:f>Coder_A!C268</x:f>
        <x:v>PILOT_01_E02</x:v>
      </x:c>
      <x:c r="D268" s="16" t="str">
        <x:v>metric_scope</x:v>
      </x:c>
      <x:c r="E268" s="16" t="str">
        <x:f>Coder_A!E268</x:f>
        <x:v>OVERALL</x:v>
      </x:c>
      <x:c r="F268" s="16" t="n">
        <x:f>Coder_B!E268</x:f>
        <x:v>0</x:v>
      </x:c>
      <x:c r="G268" s="16" t="str">
        <x:f>IF(F268="","PENDING",IF(E268=F268,"AGREE","DISAGREE"))</x:f>
        <x:v>PENDING</x:v>
      </x:c>
      <x:c r="H268" s="16" t="str">
        <x:v>Y</x:v>
      </x:c>
      <x:c r="I268" s="16" t="str">
        <x:f>Coder_A!F268</x:f>
        <x:v>Sec. 3 Datasets; Appendix A; Table 2; Table 1; Appendix B</x:v>
      </x:c>
      <x:c r="J268" s="16" t="n">
        <x:f>Coder_B!F268</x:f>
        <x:v>0</x:v>
      </x:c>
    </x:row>
    <x:row r="269">
      <x:c r="A269" s="16" t="n">
        <x:v>268</x:v>
      </x:c>
      <x:c r="B269" s="16" t="str">
        <x:v>EXPERIMENT</x:v>
      </x:c>
      <x:c r="C269" s="16" t="str">
        <x:f>Coder_A!C269</x:f>
        <x:v>PILOT_01_E02</x:v>
      </x:c>
      <x:c r="D269" s="16" t="str">
        <x:v>n_seeds</x:v>
      </x:c>
      <x:c r="E269" s="16" t="str">
        <x:f>Coder_A!E269</x:f>
        <x:v>NR</x:v>
      </x:c>
      <x:c r="F269" s="16" t="n">
        <x:f>Coder_B!E269</x:f>
        <x:v>0</x:v>
      </x:c>
      <x:c r="G269" s="16" t="str">
        <x:f>IF(F269="","PENDING",IF(E269=F269,"AGREE","DISAGREE"))</x:f>
        <x:v>PENDING</x:v>
      </x:c>
      <x:c r="H269" s="16" t="str">
        <x:v>N</x:v>
      </x:c>
      <x:c r="I269" s="16" t="str">
        <x:f>Coder_A!F269</x:f>
        <x:v>Sec. 3 Datasets; Appendix A; Table 2; Table 1; Appendix B</x:v>
      </x:c>
      <x:c r="J269" s="16" t="n">
        <x:f>Coder_B!F269</x:f>
        <x:v>0</x:v>
      </x:c>
    </x:row>
    <x:row r="270">
      <x:c r="A270" s="16" t="n">
        <x:v>269</x:v>
      </x:c>
      <x:c r="B270" s="16" t="str">
        <x:v>EXPERIMENT</x:v>
      </x:c>
      <x:c r="C270" s="16" t="str">
        <x:f>Coder_A!C270</x:f>
        <x:v>PILOT_01_E02</x:v>
      </x:c>
      <x:c r="D270" s="16" t="str">
        <x:v>seed_values_reported</x:v>
      </x:c>
      <x:c r="E270" s="16" t="str">
        <x:f>Coder_A!E270</x:f>
        <x:v>NR</x:v>
      </x:c>
      <x:c r="F270" s="16" t="n">
        <x:f>Coder_B!E270</x:f>
        <x:v>0</x:v>
      </x:c>
      <x:c r="G270" s="16" t="str">
        <x:f>IF(F270="","PENDING",IF(E270=F270,"AGREE","DISAGREE"))</x:f>
        <x:v>PENDING</x:v>
      </x:c>
      <x:c r="H270" s="16" t="str">
        <x:v>N</x:v>
      </x:c>
      <x:c r="I270" s="16" t="str">
        <x:f>Coder_A!F270</x:f>
        <x:v>Sec. 3 Datasets; Appendix A; Table 2; Table 1; Appendix B</x:v>
      </x:c>
      <x:c r="J270" s="16" t="n">
        <x:f>Coder_B!F270</x:f>
        <x:v>0</x:v>
      </x:c>
    </x:row>
    <x:row r="271">
      <x:c r="A271" s="16" t="n">
        <x:v>270</x:v>
      </x:c>
      <x:c r="B271" s="16" t="str">
        <x:v>EXPERIMENT</x:v>
      </x:c>
      <x:c r="C271" s="16" t="str">
        <x:f>Coder_A!C271</x:f>
        <x:v>PILOT_01_E02</x:v>
      </x:c>
      <x:c r="D271" s="16" t="str">
        <x:v>mean_std_reported</x:v>
      </x:c>
      <x:c r="E271" s="16" t="str">
        <x:f>Coder_A!E271</x:f>
        <x:v>N</x:v>
      </x:c>
      <x:c r="F271" s="16" t="n">
        <x:f>Coder_B!E271</x:f>
        <x:v>0</x:v>
      </x:c>
      <x:c r="G271" s="16" t="str">
        <x:f>IF(F271="","PENDING",IF(E271=F271,"AGREE","DISAGREE"))</x:f>
        <x:v>PENDING</x:v>
      </x:c>
      <x:c r="H271" s="16" t="str">
        <x:v>Y</x:v>
      </x:c>
      <x:c r="I271" s="16" t="str">
        <x:f>Coder_A!F271</x:f>
        <x:v>Sec. 3 Datasets; Appendix A; Table 2; Table 1; Appendix B</x:v>
      </x:c>
      <x:c r="J271" s="16" t="n">
        <x:f>Coder_B!F271</x:f>
        <x:v>0</x:v>
      </x:c>
    </x:row>
    <x:row r="272">
      <x:c r="A272" s="16" t="n">
        <x:v>271</x:v>
      </x:c>
      <x:c r="B272" s="16" t="str">
        <x:v>EXPERIMENT</x:v>
      </x:c>
      <x:c r="C272" s="16" t="str">
        <x:f>Coder_A!C272</x:f>
        <x:v>PILOT_01_E02</x:v>
      </x:c>
      <x:c r="D272" s="16" t="str">
        <x:v>confidence_interval</x:v>
      </x:c>
      <x:c r="E272" s="16" t="str">
        <x:f>Coder_A!E272</x:f>
        <x:v>NR</x:v>
      </x:c>
      <x:c r="F272" s="16" t="n">
        <x:f>Coder_B!E272</x:f>
        <x:v>0</x:v>
      </x:c>
      <x:c r="G272" s="16" t="str">
        <x:f>IF(F272="","PENDING",IF(E272=F272,"AGREE","DISAGREE"))</x:f>
        <x:v>PENDING</x:v>
      </x:c>
      <x:c r="H272" s="16" t="str">
        <x:v>N</x:v>
      </x:c>
      <x:c r="I272" s="16" t="str">
        <x:f>Coder_A!F272</x:f>
        <x:v>Sec. 3 Datasets; Appendix A; Table 2; Table 1; Appendix B</x:v>
      </x:c>
      <x:c r="J272" s="16" t="n">
        <x:f>Coder_B!F272</x:f>
        <x:v>0</x:v>
      </x:c>
    </x:row>
    <x:row r="273">
      <x:c r="A273" s="16" t="n">
        <x:v>272</x:v>
      </x:c>
      <x:c r="B273" s="16" t="str">
        <x:v>EXPERIMENT</x:v>
      </x:c>
      <x:c r="C273" s="16" t="str">
        <x:f>Coder_A!C273</x:f>
        <x:v>PILOT_01_E02</x:v>
      </x:c>
      <x:c r="D273" s="16" t="str">
        <x:v>bootstrap_unit</x:v>
      </x:c>
      <x:c r="E273" s="16" t="str">
        <x:f>Coder_A!E273</x:f>
        <x:v>NA</x:v>
      </x:c>
      <x:c r="F273" s="16" t="n">
        <x:f>Coder_B!E273</x:f>
        <x:v>0</x:v>
      </x:c>
      <x:c r="G273" s="16" t="str">
        <x:f>IF(F273="","PENDING",IF(E273=F273,"AGREE","DISAGREE"))</x:f>
        <x:v>PENDING</x:v>
      </x:c>
      <x:c r="H273" s="16" t="str">
        <x:v>Y</x:v>
      </x:c>
      <x:c r="I273" s="16" t="str">
        <x:f>Coder_A!F273</x:f>
        <x:v>Sec. 3 Datasets; Appendix A; Table 2; Table 1; Appendix B</x:v>
      </x:c>
      <x:c r="J273" s="16" t="n">
        <x:f>Coder_B!F273</x:f>
        <x:v>0</x:v>
      </x:c>
    </x:row>
    <x:row r="274">
      <x:c r="A274" s="16" t="n">
        <x:v>273</x:v>
      </x:c>
      <x:c r="B274" s="16" t="str">
        <x:v>EXPERIMENT</x:v>
      </x:c>
      <x:c r="C274" s="16" t="str">
        <x:f>Coder_A!C274</x:f>
        <x:v>PILOT_01_E02</x:v>
      </x:c>
      <x:c r="D274" s="16" t="str">
        <x:v>statistical_test</x:v>
      </x:c>
      <x:c r="E274" s="16" t="str">
        <x:f>Coder_A!E274</x:f>
        <x:v>NR</x:v>
      </x:c>
      <x:c r="F274" s="16" t="n">
        <x:f>Coder_B!E274</x:f>
        <x:v>0</x:v>
      </x:c>
      <x:c r="G274" s="16" t="str">
        <x:f>IF(F274="","PENDING",IF(E274=F274,"AGREE","DISAGREE"))</x:f>
        <x:v>PENDING</x:v>
      </x:c>
      <x:c r="H274" s="16" t="str">
        <x:v>N</x:v>
      </x:c>
      <x:c r="I274" s="16" t="str">
        <x:f>Coder_A!F274</x:f>
        <x:v>Sec. 3 Datasets; Appendix A; Table 2; Table 1; Appendix B</x:v>
      </x:c>
      <x:c r="J274" s="16" t="n">
        <x:f>Coder_B!F274</x:f>
        <x:v>0</x:v>
      </x:c>
    </x:row>
    <x:row r="275">
      <x:c r="A275" s="16" t="n">
        <x:v>274</x:v>
      </x:c>
      <x:c r="B275" s="16" t="str">
        <x:v>EXPERIMENT</x:v>
      </x:c>
      <x:c r="C275" s="16" t="str">
        <x:f>Coder_A!C275</x:f>
        <x:v>PILOT_01_E02</x:v>
      </x:c>
      <x:c r="D275" s="16" t="str">
        <x:v>multiple_comparison_correction</x:v>
      </x:c>
      <x:c r="E275" s="16" t="str">
        <x:f>Coder_A!E275</x:f>
        <x:v>NR</x:v>
      </x:c>
      <x:c r="F275" s="16" t="n">
        <x:f>Coder_B!E275</x:f>
        <x:v>0</x:v>
      </x:c>
      <x:c r="G275" s="16" t="str">
        <x:f>IF(F275="","PENDING",IF(E275=F275,"AGREE","DISAGREE"))</x:f>
        <x:v>PENDING</x:v>
      </x:c>
      <x:c r="H275" s="16" t="str">
        <x:v>N</x:v>
      </x:c>
      <x:c r="I275" s="16" t="str">
        <x:f>Coder_A!F275</x:f>
        <x:v>Sec. 3 Datasets; Appendix A; Table 2; Table 1; Appendix B</x:v>
      </x:c>
      <x:c r="J275" s="16" t="n">
        <x:f>Coder_B!F275</x:f>
        <x:v>0</x:v>
      </x:c>
    </x:row>
    <x:row r="276">
      <x:c r="A276" s="16" t="n">
        <x:v>275</x:v>
      </x:c>
      <x:c r="B276" s="16" t="str">
        <x:v>EXPERIMENT</x:v>
      </x:c>
      <x:c r="C276" s="16" t="str">
        <x:f>Coder_A!C276</x:f>
        <x:v>PILOT_01_E02</x:v>
      </x:c>
      <x:c r="D276" s="16" t="str">
        <x:v>effect_size</x:v>
      </x:c>
      <x:c r="E276" s="16" t="str">
        <x:f>Coder_A!E276</x:f>
        <x:v>NR</x:v>
      </x:c>
      <x:c r="F276" s="16" t="n">
        <x:f>Coder_B!E276</x:f>
        <x:v>0</x:v>
      </x:c>
      <x:c r="G276" s="16" t="str">
        <x:f>IF(F276="","PENDING",IF(E276=F276,"AGREE","DISAGREE"))</x:f>
        <x:v>PENDING</x:v>
      </x:c>
      <x:c r="H276" s="16" t="str">
        <x:v>N</x:v>
      </x:c>
      <x:c r="I276" s="16" t="str">
        <x:f>Coder_A!F276</x:f>
        <x:v>Sec. 3 Datasets; Appendix A; Table 2; Table 1; Appendix B</x:v>
      </x:c>
      <x:c r="J276" s="16" t="n">
        <x:f>Coder_B!F276</x:f>
        <x:v>0</x:v>
      </x:c>
    </x:row>
    <x:row r="277">
      <x:c r="A277" s="16" t="n">
        <x:v>276</x:v>
      </x:c>
      <x:c r="B277" s="16" t="str">
        <x:v>EXPERIMENT</x:v>
      </x:c>
      <x:c r="C277" s="16" t="str">
        <x:f>Coder_A!C277</x:f>
        <x:v>PILOT_01_E02</x:v>
      </x:c>
      <x:c r="D277" s="16" t="str">
        <x:v>paired_design</x:v>
      </x:c>
      <x:c r="E277" s="16" t="str">
        <x:f>Coder_A!E277</x:f>
        <x:v>NR</x:v>
      </x:c>
      <x:c r="F277" s="16" t="n">
        <x:f>Coder_B!E277</x:f>
        <x:v>0</x:v>
      </x:c>
      <x:c r="G277" s="16" t="str">
        <x:f>IF(F277="","PENDING",IF(E277=F277,"AGREE","DISAGREE"))</x:f>
        <x:v>PENDING</x:v>
      </x:c>
      <x:c r="H277" s="16" t="str">
        <x:v>Y</x:v>
      </x:c>
      <x:c r="I277" s="16" t="str">
        <x:f>Coder_A!F277</x:f>
        <x:v>Sec. 3 Datasets; Appendix A; Table 2; Table 1; Appendix B</x:v>
      </x:c>
      <x:c r="J277" s="16" t="n">
        <x:f>Coder_B!F277</x:f>
        <x:v>0</x:v>
      </x:c>
    </x:row>
    <x:row r="278">
      <x:c r="A278" s="16" t="n">
        <x:v>277</x:v>
      </x:c>
      <x:c r="B278" s="16" t="str">
        <x:v>EXPERIMENT</x:v>
      </x:c>
      <x:c r="C278" s="16" t="str">
        <x:f>Coder_A!C278</x:f>
        <x:v>PILOT_01_E02</x:v>
      </x:c>
      <x:c r="D278" s="16" t="str">
        <x:v>significance_threshold</x:v>
      </x:c>
      <x:c r="E278" s="16" t="str">
        <x:f>Coder_A!E278</x:f>
        <x:v>NR</x:v>
      </x:c>
      <x:c r="F278" s="16" t="n">
        <x:f>Coder_B!E278</x:f>
        <x:v>0</x:v>
      </x:c>
      <x:c r="G278" s="16" t="str">
        <x:f>IF(F278="","PENDING",IF(E278=F278,"AGREE","DISAGREE"))</x:f>
        <x:v>PENDING</x:v>
      </x:c>
      <x:c r="H278" s="16" t="str">
        <x:v>N</x:v>
      </x:c>
      <x:c r="I278" s="16" t="str">
        <x:f>Coder_A!F278</x:f>
        <x:v>Sec. 3 Datasets; Appendix A; Table 2; Table 1; Appendix B</x:v>
      </x:c>
      <x:c r="J278" s="16" t="n">
        <x:f>Coder_B!F278</x:f>
        <x:v>0</x:v>
      </x:c>
    </x:row>
    <x:row r="279">
      <x:c r="A279" s="16" t="n">
        <x:v>278</x:v>
      </x:c>
      <x:c r="B279" s="16" t="str">
        <x:v>EXPERIMENT</x:v>
      </x:c>
      <x:c r="C279" s="16" t="str">
        <x:f>Coder_A!C279</x:f>
        <x:v>PILOT_01_E02</x:v>
      </x:c>
      <x:c r="D279" s="16" t="str">
        <x:v>parameter_count</x:v>
      </x:c>
      <x:c r="E279" s="16" t="str">
        <x:f>Coder_A!E279</x:f>
        <x:v>NR</x:v>
      </x:c>
      <x:c r="F279" s="16" t="n">
        <x:f>Coder_B!E279</x:f>
        <x:v>0</x:v>
      </x:c>
      <x:c r="G279" s="16" t="str">
        <x:f>IF(F279="","PENDING",IF(E279=F279,"AGREE","DISAGREE"))</x:f>
        <x:v>PENDING</x:v>
      </x:c>
      <x:c r="H279" s="16" t="str">
        <x:v>N</x:v>
      </x:c>
      <x:c r="I279" s="16" t="str">
        <x:f>Coder_A!F279</x:f>
        <x:v>Sec. 3 Datasets; Appendix A; Table 2; Table 1; Appendix B</x:v>
      </x:c>
      <x:c r="J279" s="16" t="n">
        <x:f>Coder_B!F279</x:f>
        <x:v>0</x:v>
      </x:c>
    </x:row>
    <x:row r="280">
      <x:c r="A280" s="16" t="n">
        <x:v>279</x:v>
      </x:c>
      <x:c r="B280" s="16" t="str">
        <x:v>EXPERIMENT</x:v>
      </x:c>
      <x:c r="C280" s="16" t="str">
        <x:f>Coder_A!C280</x:f>
        <x:v>PILOT_01_E02</x:v>
      </x:c>
      <x:c r="D280" s="16" t="str">
        <x:v>train_time</x:v>
      </x:c>
      <x:c r="E280" s="16" t="str">
        <x:f>Coder_A!E280</x:f>
        <x:v>NR</x:v>
      </x:c>
      <x:c r="F280" s="16" t="n">
        <x:f>Coder_B!E280</x:f>
        <x:v>0</x:v>
      </x:c>
      <x:c r="G280" s="16" t="str">
        <x:f>IF(F280="","PENDING",IF(E280=F280,"AGREE","DISAGREE"))</x:f>
        <x:v>PENDING</x:v>
      </x:c>
      <x:c r="H280" s="16" t="str">
        <x:v>N</x:v>
      </x:c>
      <x:c r="I280" s="16" t="str">
        <x:f>Coder_A!F280</x:f>
        <x:v>Sec. 3 Datasets; Appendix A; Table 2; Table 1; Appendix B</x:v>
      </x:c>
      <x:c r="J280" s="16" t="n">
        <x:f>Coder_B!F280</x:f>
        <x:v>0</x:v>
      </x:c>
    </x:row>
    <x:row r="281">
      <x:c r="A281" s="16" t="n">
        <x:v>280</x:v>
      </x:c>
      <x:c r="B281" s="16" t="str">
        <x:v>EXPERIMENT</x:v>
      </x:c>
      <x:c r="C281" s="16" t="str">
        <x:f>Coder_A!C281</x:f>
        <x:v>PILOT_01_E02</x:v>
      </x:c>
      <x:c r="D281" s="16" t="str">
        <x:v>time_per_epoch</x:v>
      </x:c>
      <x:c r="E281" s="16" t="str">
        <x:f>Coder_A!E281</x:f>
        <x:v>NR</x:v>
      </x:c>
      <x:c r="F281" s="16" t="n">
        <x:f>Coder_B!E281</x:f>
        <x:v>0</x:v>
      </x:c>
      <x:c r="G281" s="16" t="str">
        <x:f>IF(F281="","PENDING",IF(E281=F281,"AGREE","DISAGREE"))</x:f>
        <x:v>PENDING</x:v>
      </x:c>
      <x:c r="H281" s="16" t="str">
        <x:v>N</x:v>
      </x:c>
      <x:c r="I281" s="16" t="str">
        <x:f>Coder_A!F281</x:f>
        <x:v>Sec. 3 Datasets; Appendix A; Table 2; Table 1; Appendix B</x:v>
      </x:c>
      <x:c r="J281" s="16" t="n">
        <x:f>Coder_B!F281</x:f>
        <x:v>0</x:v>
      </x:c>
    </x:row>
    <x:row r="282">
      <x:c r="A282" s="16" t="n">
        <x:v>281</x:v>
      </x:c>
      <x:c r="B282" s="16" t="str">
        <x:v>EXPERIMENT</x:v>
      </x:c>
      <x:c r="C282" s="16" t="str">
        <x:f>Coder_A!C282</x:f>
        <x:v>PILOT_01_E02</x:v>
      </x:c>
      <x:c r="D282" s="16" t="str">
        <x:v>inference_latency</x:v>
      </x:c>
      <x:c r="E282" s="16" t="str">
        <x:f>Coder_A!E282</x:f>
        <x:v>NR</x:v>
      </x:c>
      <x:c r="F282" s="16" t="n">
        <x:f>Coder_B!E282</x:f>
        <x:v>0</x:v>
      </x:c>
      <x:c r="G282" s="16" t="str">
        <x:f>IF(F282="","PENDING",IF(E282=F282,"AGREE","DISAGREE"))</x:f>
        <x:v>PENDING</x:v>
      </x:c>
      <x:c r="H282" s="16" t="str">
        <x:v>N</x:v>
      </x:c>
      <x:c r="I282" s="16" t="str">
        <x:f>Coder_A!F282</x:f>
        <x:v>Sec. 3 Datasets; Appendix A; Table 2; Table 1; Appendix B</x:v>
      </x:c>
      <x:c r="J282" s="16" t="n">
        <x:f>Coder_B!F282</x:f>
        <x:v>0</x:v>
      </x:c>
    </x:row>
    <x:row r="283">
      <x:c r="A283" s="16" t="n">
        <x:v>282</x:v>
      </x:c>
      <x:c r="B283" s="16" t="str">
        <x:v>EXPERIMENT</x:v>
      </x:c>
      <x:c r="C283" s="16" t="str">
        <x:f>Coder_A!C283</x:f>
        <x:v>PILOT_01_E02</x:v>
      </x:c>
      <x:c r="D283" s="16" t="str">
        <x:v>throughput</x:v>
      </x:c>
      <x:c r="E283" s="16" t="str">
        <x:f>Coder_A!E283</x:f>
        <x:v>NR</x:v>
      </x:c>
      <x:c r="F283" s="16" t="n">
        <x:f>Coder_B!E283</x:f>
        <x:v>0</x:v>
      </x:c>
      <x:c r="G283" s="16" t="str">
        <x:f>IF(F283="","PENDING",IF(E283=F283,"AGREE","DISAGREE"))</x:f>
        <x:v>PENDING</x:v>
      </x:c>
      <x:c r="H283" s="16" t="str">
        <x:v>N</x:v>
      </x:c>
      <x:c r="I283" s="16" t="str">
        <x:f>Coder_A!F283</x:f>
        <x:v>Sec. 3 Datasets; Appendix A; Table 2; Table 1; Appendix B</x:v>
      </x:c>
      <x:c r="J283" s="16" t="n">
        <x:f>Coder_B!F283</x:f>
        <x:v>0</x:v>
      </x:c>
    </x:row>
    <x:row r="284">
      <x:c r="A284" s="16" t="n">
        <x:v>283</x:v>
      </x:c>
      <x:c r="B284" s="16" t="str">
        <x:v>EXPERIMENT</x:v>
      </x:c>
      <x:c r="C284" s="16" t="str">
        <x:f>Coder_A!C284</x:f>
        <x:v>PILOT_01_E02</x:v>
      </x:c>
      <x:c r="D284" s="16" t="str">
        <x:v>cpu_ram</x:v>
      </x:c>
      <x:c r="E284" s="16" t="str">
        <x:f>Coder_A!E284</x:f>
        <x:v>NR</x:v>
      </x:c>
      <x:c r="F284" s="16" t="n">
        <x:f>Coder_B!E284</x:f>
        <x:v>0</x:v>
      </x:c>
      <x:c r="G284" s="16" t="str">
        <x:f>IF(F284="","PENDING",IF(E284=F284,"AGREE","DISAGREE"))</x:f>
        <x:v>PENDING</x:v>
      </x:c>
      <x:c r="H284" s="16" t="str">
        <x:v>N</x:v>
      </x:c>
      <x:c r="I284" s="16" t="str">
        <x:f>Coder_A!F284</x:f>
        <x:v>Sec. 3 Datasets; Appendix A; Table 2; Table 1; Appendix B</x:v>
      </x:c>
      <x:c r="J284" s="16" t="n">
        <x:f>Coder_B!F284</x:f>
        <x:v>0</x:v>
      </x:c>
    </x:row>
    <x:row r="285">
      <x:c r="A285" s="16" t="n">
        <x:v>284</x:v>
      </x:c>
      <x:c r="B285" s="16" t="str">
        <x:v>EXPERIMENT</x:v>
      </x:c>
      <x:c r="C285" s="16" t="str">
        <x:f>Coder_A!C285</x:f>
        <x:v>PILOT_01_E02</x:v>
      </x:c>
      <x:c r="D285" s="16" t="str">
        <x:v>gpu_vram</x:v>
      </x:c>
      <x:c r="E285" s="16" t="str">
        <x:f>Coder_A!E285</x:f>
        <x:v>NR</x:v>
      </x:c>
      <x:c r="F285" s="16" t="n">
        <x:f>Coder_B!E285</x:f>
        <x:v>0</x:v>
      </x:c>
      <x:c r="G285" s="16" t="str">
        <x:f>IF(F285="","PENDING",IF(E285=F285,"AGREE","DISAGREE"))</x:f>
        <x:v>PENDING</x:v>
      </x:c>
      <x:c r="H285" s="16" t="str">
        <x:v>N</x:v>
      </x:c>
      <x:c r="I285" s="16" t="str">
        <x:f>Coder_A!F285</x:f>
        <x:v>Sec. 3 Datasets; Appendix A; Table 2; Table 1; Appendix B</x:v>
      </x:c>
      <x:c r="J285" s="16" t="n">
        <x:f>Coder_B!F285</x:f>
        <x:v>0</x:v>
      </x:c>
    </x:row>
    <x:row r="286">
      <x:c r="A286" s="16" t="n">
        <x:v>285</x:v>
      </x:c>
      <x:c r="B286" s="16" t="str">
        <x:v>EXPERIMENT</x:v>
      </x:c>
      <x:c r="C286" s="16" t="str">
        <x:f>Coder_A!C286</x:f>
        <x:v>PILOT_01_E02</x:v>
      </x:c>
      <x:c r="D286" s="16" t="str">
        <x:v>hardware</x:v>
      </x:c>
      <x:c r="E286" s="16" t="str">
        <x:f>Coder_A!E286</x:f>
        <x:v>NR</x:v>
      </x:c>
      <x:c r="F286" s="16" t="n">
        <x:f>Coder_B!E286</x:f>
        <x:v>0</x:v>
      </x:c>
      <x:c r="G286" s="16" t="str">
        <x:f>IF(F286="","PENDING",IF(E286=F286,"AGREE","DISAGREE"))</x:f>
        <x:v>PENDING</x:v>
      </x:c>
      <x:c r="H286" s="16" t="str">
        <x:v>N</x:v>
      </x:c>
      <x:c r="I286" s="16" t="str">
        <x:f>Coder_A!F286</x:f>
        <x:v>Sec. 3 Datasets; Appendix A; Table 2; Table 1; Appendix B</x:v>
      </x:c>
      <x:c r="J286" s="16" t="n">
        <x:f>Coder_B!F286</x:f>
        <x:v>0</x:v>
      </x:c>
    </x:row>
    <x:row r="287">
      <x:c r="A287" s="16" t="n">
        <x:v>286</x:v>
      </x:c>
      <x:c r="B287" s="16" t="str">
        <x:v>EXPERIMENT</x:v>
      </x:c>
      <x:c r="C287" s="16" t="str">
        <x:f>Coder_A!C287</x:f>
        <x:v>PILOT_01_E02</x:v>
      </x:c>
      <x:c r="D287" s="16" t="str">
        <x:v>graph_construction_time</x:v>
      </x:c>
      <x:c r="E287" s="16" t="str">
        <x:f>Coder_A!E287</x:f>
        <x:v>NR</x:v>
      </x:c>
      <x:c r="F287" s="16" t="n">
        <x:f>Coder_B!E287</x:f>
        <x:v>0</x:v>
      </x:c>
      <x:c r="G287" s="16" t="str">
        <x:f>IF(F287="","PENDING",IF(E287=F287,"AGREE","DISAGREE"))</x:f>
        <x:v>PENDING</x:v>
      </x:c>
      <x:c r="H287" s="16" t="str">
        <x:v>N</x:v>
      </x:c>
      <x:c r="I287" s="16" t="str">
        <x:f>Coder_A!F287</x:f>
        <x:v>Sec. 3 Datasets; Appendix A; Table 2; Table 1; Appendix B</x:v>
      </x:c>
      <x:c r="J287" s="16" t="n">
        <x:f>Coder_B!F287</x:f>
        <x:v>0</x:v>
      </x:c>
    </x:row>
    <x:row r="288">
      <x:c r="A288" s="16" t="n">
        <x:v>287</x:v>
      </x:c>
      <x:c r="B288" s="16" t="str">
        <x:v>EXPERIMENT</x:v>
      </x:c>
      <x:c r="C288" s="16" t="str">
        <x:f>Coder_A!C288</x:f>
        <x:v>PILOT_01_E02</x:v>
      </x:c>
      <x:c r="D288" s="16" t="str">
        <x:v>complexity_formula</x:v>
      </x:c>
      <x:c r="E288" s="16" t="str">
        <x:f>Coder_A!E288</x:f>
        <x:v>NR</x:v>
      </x:c>
      <x:c r="F288" s="16" t="n">
        <x:f>Coder_B!E288</x:f>
        <x:v>0</x:v>
      </x:c>
      <x:c r="G288" s="16" t="str">
        <x:f>IF(F288="","PENDING",IF(E288=F288,"AGREE","DISAGREE"))</x:f>
        <x:v>PENDING</x:v>
      </x:c>
      <x:c r="H288" s="16" t="str">
        <x:v>N</x:v>
      </x:c>
      <x:c r="I288" s="16" t="str">
        <x:f>Coder_A!F288</x:f>
        <x:v>Sec. 3 Datasets; Appendix A; Table 2; Table 1; Appendix B</x:v>
      </x:c>
      <x:c r="J288" s="16" t="n">
        <x:f>Coder_B!F288</x:f>
        <x:v>0</x:v>
      </x:c>
    </x:row>
    <x:row r="289">
      <x:c r="A289" s="16" t="n">
        <x:v>288</x:v>
      </x:c>
      <x:c r="B289" s="16" t="str">
        <x:v>EXPERIMENT</x:v>
      </x:c>
      <x:c r="C289" s="16" t="str">
        <x:f>Coder_A!C289</x:f>
        <x:v>PILOT_01_E02</x:v>
      </x:c>
      <x:c r="D289" s="16" t="str">
        <x:v>scale_up_experiment</x:v>
      </x:c>
      <x:c r="E289" s="16" t="str">
        <x:f>Coder_A!E289</x:f>
        <x:v>N</x:v>
      </x:c>
      <x:c r="F289" s="16" t="n">
        <x:f>Coder_B!E289</x:f>
        <x:v>0</x:v>
      </x:c>
      <x:c r="G289" s="16" t="str">
        <x:f>IF(F289="","PENDING",IF(E289=F289,"AGREE","DISAGREE"))</x:f>
        <x:v>PENDING</x:v>
      </x:c>
      <x:c r="H289" s="16" t="str">
        <x:v>Y</x:v>
      </x:c>
      <x:c r="I289" s="16" t="str">
        <x:f>Coder_A!F289</x:f>
        <x:v>Sec. 3 Datasets; Appendix A; Table 2; Table 1; Appendix B</x:v>
      </x:c>
      <x:c r="J289" s="16" t="n">
        <x:f>Coder_B!F289</x:f>
        <x:v>0</x:v>
      </x:c>
    </x:row>
    <x:row r="290">
      <x:c r="A290" s="16" t="n">
        <x:v>289</x:v>
      </x:c>
      <x:c r="B290" s="16" t="str">
        <x:v>EXPERIMENT</x:v>
      </x:c>
      <x:c r="C290" s="16" t="str">
        <x:f>Coder_A!C290</x:f>
        <x:v>PILOT_01_E02</x:v>
      </x:c>
      <x:c r="D290" s="16" t="str">
        <x:v>oom_timeout_reported</x:v>
      </x:c>
      <x:c r="E290" s="16" t="str">
        <x:f>Coder_A!E290</x:f>
        <x:v>NR</x:v>
      </x:c>
      <x:c r="F290" s="16" t="n">
        <x:f>Coder_B!E290</x:f>
        <x:v>0</x:v>
      </x:c>
      <x:c r="G290" s="16" t="str">
        <x:f>IF(F290="","PENDING",IF(E290=F290,"AGREE","DISAGREE"))</x:f>
        <x:v>PENDING</x:v>
      </x:c>
      <x:c r="H290" s="16" t="str">
        <x:v>Y</x:v>
      </x:c>
      <x:c r="I290" s="16" t="str">
        <x:f>Coder_A!F290</x:f>
        <x:v>Sec. 3 Datasets; Appendix A; Table 2; Table 1; Appendix B</x:v>
      </x:c>
      <x:c r="J290" s="16" t="n">
        <x:f>Coder_B!F290</x:f>
        <x:v>0</x:v>
      </x:c>
    </x:row>
    <x:row r="291">
      <x:c r="A291" s="16" t="n">
        <x:v>290</x:v>
      </x:c>
      <x:c r="B291" s="16" t="str">
        <x:v>EXPERIMENT</x:v>
      </x:c>
      <x:c r="C291" s="16" t="str">
        <x:f>Coder_A!C291</x:f>
        <x:v>PILOT_01_E03</x:v>
      </x:c>
      <x:c r="D291" s="16" t="str">
        <x:v>dataset_name</x:v>
      </x:c>
      <x:c r="E291" s="16" t="str">
        <x:f>Coder_A!E291</x:f>
        <x:v>ASSISTments</x:v>
      </x:c>
      <x:c r="F291" s="16" t="n">
        <x:f>Coder_B!E291</x:f>
        <x:v>0</x:v>
      </x:c>
      <x:c r="G291" s="16" t="str">
        <x:f>IF(F291="","PENDING",IF(E291=F291,"AGREE","DISAGREE"))</x:f>
        <x:v>PENDING</x:v>
      </x:c>
      <x:c r="H291" s="16" t="str">
        <x:v>N</x:v>
      </x:c>
      <x:c r="I291" s="16" t="str">
        <x:f>Coder_A!F291</x:f>
        <x:v>Sec. 3 Datasets; Appendix A; Table 2; Table 1; Appendix B</x:v>
      </x:c>
      <x:c r="J291" s="16" t="n">
        <x:f>Coder_B!F291</x:f>
        <x:v>0</x:v>
      </x:c>
    </x:row>
    <x:row r="292">
      <x:c r="A292" s="16" t="n">
        <x:v>291</x:v>
      </x:c>
      <x:c r="B292" s="16" t="str">
        <x:v>EXPERIMENT</x:v>
      </x:c>
      <x:c r="C292" s="16" t="str">
        <x:f>Coder_A!C292</x:f>
        <x:v>PILOT_01_E03</x:v>
      </x:c>
      <x:c r="D292" s="16" t="str">
        <x:v>dataset_version</x:v>
      </x:c>
      <x:c r="E292" s="16" t="str">
        <x:f>Coder_A!E292</x:f>
        <x:v>2009-2010 Skill Builder</x:v>
      </x:c>
      <x:c r="F292" s="16" t="n">
        <x:f>Coder_B!E292</x:f>
        <x:v>0</x:v>
      </x:c>
      <x:c r="G292" s="16" t="str">
        <x:f>IF(F292="","PENDING",IF(E292=F292,"AGREE","DISAGREE"))</x:f>
        <x:v>PENDING</x:v>
      </x:c>
      <x:c r="H292" s="16" t="str">
        <x:v>N</x:v>
      </x:c>
      <x:c r="I292" s="16" t="str">
        <x:f>Coder_A!F292</x:f>
        <x:v>Sec. 3 Datasets; Appendix A; Table 2; Table 1; Appendix B</x:v>
      </x:c>
      <x:c r="J292" s="16" t="n">
        <x:f>Coder_B!F292</x:f>
        <x:v>0</x:v>
      </x:c>
    </x:row>
    <x:row r="293">
      <x:c r="A293" s="16" t="n">
        <x:v>292</x:v>
      </x:c>
      <x:c r="B293" s="16" t="str">
        <x:v>EXPERIMENT</x:v>
      </x:c>
      <x:c r="C293" s="16" t="str">
        <x:f>Coder_A!C293</x:f>
        <x:v>PILOT_01_E03</x:v>
      </x:c>
      <x:c r="D293" s="16" t="str">
        <x:v>n_learners_reported</x:v>
      </x:c>
      <x:c r="E293" s="16" t="n">
        <x:f>Coder_A!E293</x:f>
        <x:v>1000</x:v>
      </x:c>
      <x:c r="F293" s="16" t="n">
        <x:f>Coder_B!E293</x:f>
        <x:v>0</x:v>
      </x:c>
      <x:c r="G293" s="16" t="str">
        <x:f>IF(F293="","PENDING",IF(E293=F293,"AGREE","DISAGREE"))</x:f>
        <x:v>PENDING</x:v>
      </x:c>
      <x:c r="H293" s="16" t="str">
        <x:v>N</x:v>
      </x:c>
      <x:c r="I293" s="16" t="str">
        <x:f>Coder_A!F293</x:f>
        <x:v>Sec. 3 Datasets; Appendix A; Table 2; Table 1; Appendix B</x:v>
      </x:c>
      <x:c r="J293" s="16" t="n">
        <x:f>Coder_B!F293</x:f>
        <x:v>0</x:v>
      </x:c>
    </x:row>
    <x:row r="294">
      <x:c r="A294" s="16" t="n">
        <x:v>293</x:v>
      </x:c>
      <x:c r="B294" s="16" t="str">
        <x:v>EXPERIMENT</x:v>
      </x:c>
      <x:c r="C294" s="16" t="str">
        <x:f>Coder_A!C294</x:f>
        <x:v>PILOT_01_E03</x:v>
      </x:c>
      <x:c r="D294" s="16" t="str">
        <x:v>n_items_reported</x:v>
      </x:c>
      <x:c r="E294" s="16" t="str">
        <x:f>Coder_A!E294</x:f>
        <x:v>NR</x:v>
      </x:c>
      <x:c r="F294" s="16" t="n">
        <x:f>Coder_B!E294</x:f>
        <x:v>0</x:v>
      </x:c>
      <x:c r="G294" s="16" t="str">
        <x:f>IF(F294="","PENDING",IF(E294=F294,"AGREE","DISAGREE"))</x:f>
        <x:v>PENDING</x:v>
      </x:c>
      <x:c r="H294" s="16" t="str">
        <x:v>N</x:v>
      </x:c>
      <x:c r="I294" s="16" t="str">
        <x:f>Coder_A!F294</x:f>
        <x:v>Sec. 3 Datasets; Appendix A; Table 2; Table 1; Appendix B</x:v>
      </x:c>
      <x:c r="J294" s="16" t="n">
        <x:f>Coder_B!F294</x:f>
        <x:v>0</x:v>
      </x:c>
    </x:row>
    <x:row r="295">
      <x:c r="A295" s="16" t="n">
        <x:v>294</x:v>
      </x:c>
      <x:c r="B295" s="16" t="str">
        <x:v>EXPERIMENT</x:v>
      </x:c>
      <x:c r="C295" s="16" t="str">
        <x:f>Coder_A!C295</x:f>
        <x:v>PILOT_01_E03</x:v>
      </x:c>
      <x:c r="D295" s="16" t="str">
        <x:v>n_kcs_reported</x:v>
      </x:c>
      <x:c r="E295" s="16" t="n">
        <x:f>Coder_A!E295</x:f>
        <x:v>101</x:v>
      </x:c>
      <x:c r="F295" s="16" t="n">
        <x:f>Coder_B!E295</x:f>
        <x:v>0</x:v>
      </x:c>
      <x:c r="G295" s="16" t="str">
        <x:f>IF(F295="","PENDING",IF(E295=F295,"AGREE","DISAGREE"))</x:f>
        <x:v>PENDING</x:v>
      </x:c>
      <x:c r="H295" s="16" t="str">
        <x:v>N</x:v>
      </x:c>
      <x:c r="I295" s="16" t="str">
        <x:f>Coder_A!F295</x:f>
        <x:v>Sec. 3 Datasets; Appendix A; Table 2; Table 1; Appendix B</x:v>
      </x:c>
      <x:c r="J295" s="16" t="n">
        <x:f>Coder_B!F295</x:f>
        <x:v>0</x:v>
      </x:c>
    </x:row>
    <x:row r="296">
      <x:c r="A296" s="16" t="n">
        <x:v>295</x:v>
      </x:c>
      <x:c r="B296" s="16" t="str">
        <x:v>EXPERIMENT</x:v>
      </x:c>
      <x:c r="C296" s="16" t="str">
        <x:f>Coder_A!C296</x:f>
        <x:v>PILOT_01_E03</x:v>
      </x:c>
      <x:c r="D296" s="16" t="str">
        <x:v>n_interactions_reported</x:v>
      </x:c>
      <x:c r="E296" s="16" t="n">
        <x:f>Coder_A!E296</x:f>
        <x:v>62955</x:v>
      </x:c>
      <x:c r="F296" s="16" t="n">
        <x:f>Coder_B!E296</x:f>
        <x:v>0</x:v>
      </x:c>
      <x:c r="G296" s="16" t="str">
        <x:f>IF(F296="","PENDING",IF(E296=F296,"AGREE","DISAGREE"))</x:f>
        <x:v>PENDING</x:v>
      </x:c>
      <x:c r="H296" s="16" t="str">
        <x:v>N</x:v>
      </x:c>
      <x:c r="I296" s="16" t="str">
        <x:f>Coder_A!F296</x:f>
        <x:v>Sec. 3 Datasets; Appendix A; Table 2; Table 1; Appendix B</x:v>
      </x:c>
      <x:c r="J296" s="16" t="n">
        <x:f>Coder_B!F296</x:f>
        <x:v>0</x:v>
      </x:c>
    </x:row>
    <x:row r="297">
      <x:c r="A297" s="16" t="n">
        <x:v>296</x:v>
      </x:c>
      <x:c r="B297" s="16" t="str">
        <x:v>EXPERIMENT</x:v>
      </x:c>
      <x:c r="C297" s="16" t="str">
        <x:f>Coder_A!C297</x:f>
        <x:v>PILOT_01_E03</x:v>
      </x:c>
      <x:c r="D297" s="16" t="str">
        <x:v>multi_skill_present</x:v>
      </x:c>
      <x:c r="E297" s="16" t="str">
        <x:f>Coder_A!E297</x:f>
        <x:v>UNCLEAR</x:v>
      </x:c>
      <x:c r="F297" s="16" t="n">
        <x:f>Coder_B!E297</x:f>
        <x:v>0</x:v>
      </x:c>
      <x:c r="G297" s="16" t="str">
        <x:f>IF(F297="","PENDING",IF(E297=F297,"AGREE","DISAGREE"))</x:f>
        <x:v>PENDING</x:v>
      </x:c>
      <x:c r="H297" s="16" t="str">
        <x:v>Y</x:v>
      </x:c>
      <x:c r="I297" s="16" t="str">
        <x:f>Coder_A!F297</x:f>
        <x:v>Sec. 3 Datasets; Appendix A; Table 2; Table 1; Appendix B</x:v>
      </x:c>
      <x:c r="J297" s="16" t="n">
        <x:f>Coder_B!F297</x:f>
        <x:v>0</x:v>
      </x:c>
    </x:row>
    <x:row r="298">
      <x:c r="A298" s="16" t="n">
        <x:v>297</x:v>
      </x:c>
      <x:c r="B298" s="16" t="str">
        <x:v>EXPERIMENT</x:v>
      </x:c>
      <x:c r="C298" s="16" t="str">
        <x:f>Coder_A!C298</x:f>
        <x:v>PILOT_01_E03</x:v>
      </x:c>
      <x:c r="D298" s="16" t="str">
        <x:v>multi_skill_handling</x:v>
      </x:c>
      <x:c r="E298" s="16" t="str">
        <x:f>Coder_A!E298</x:f>
        <x:v>Combine simultaneous answer logs into one; extract named skill tags</x:v>
      </x:c>
      <x:c r="F298" s="16" t="n">
        <x:f>Coder_B!E298</x:f>
        <x:v>0</x:v>
      </x:c>
      <x:c r="G298" s="16" t="str">
        <x:f>IF(F298="","PENDING",IF(E298=F298,"AGREE","DISAGREE"))</x:f>
        <x:v>PENDING</x:v>
      </x:c>
      <x:c r="H298" s="16" t="str">
        <x:v>N</x:v>
      </x:c>
      <x:c r="I298" s="16" t="str">
        <x:f>Coder_A!F298</x:f>
        <x:v>Sec. 3 Datasets; Appendix A; Table 2; Table 1; Appendix B</x:v>
      </x:c>
      <x:c r="J298" s="16" t="n">
        <x:f>Coder_B!F298</x:f>
        <x:v>0</x:v>
      </x:c>
    </x:row>
    <x:row r="299">
      <x:c r="A299" s="16" t="n">
        <x:v>298</x:v>
      </x:c>
      <x:c r="B299" s="16" t="str">
        <x:v>EXPERIMENT</x:v>
      </x:c>
      <x:c r="C299" s="16" t="str">
        <x:f>Coder_A!C299</x:f>
        <x:v>PILOT_01_E03</x:v>
      </x:c>
      <x:c r="D299" s="16" t="str">
        <x:v>sequence_truncation</x:v>
      </x:c>
      <x:c r="E299" s="16" t="str">
        <x:f>Coder_A!E299</x:f>
        <x:v>NR</x:v>
      </x:c>
      <x:c r="F299" s="16" t="n">
        <x:f>Coder_B!E299</x:f>
        <x:v>0</x:v>
      </x:c>
      <x:c r="G299" s="16" t="str">
        <x:f>IF(F299="","PENDING",IF(E299=F299,"AGREE","DISAGREE"))</x:f>
        <x:v>PENDING</x:v>
      </x:c>
      <x:c r="H299" s="16" t="str">
        <x:v>N</x:v>
      </x:c>
      <x:c r="I299" s="16" t="str">
        <x:f>Coder_A!F299</x:f>
        <x:v>Sec. 3 Datasets; Appendix A; Table 2; Table 1; Appendix B</x:v>
      </x:c>
      <x:c r="J299" s="16" t="n">
        <x:f>Coder_B!F299</x:f>
        <x:v>0</x:v>
      </x:c>
    </x:row>
    <x:row r="300">
      <x:c r="A300" s="16" t="n">
        <x:v>299</x:v>
      </x:c>
      <x:c r="B300" s="16" t="str">
        <x:v>EXPERIMENT</x:v>
      </x:c>
      <x:c r="C300" s="16" t="str">
        <x:f>Coder_A!C300</x:f>
        <x:v>PILOT_01_E03</x:v>
      </x:c>
      <x:c r="D300" s="16" t="str">
        <x:v>min_sequence_filter</x:v>
      </x:c>
      <x:c r="E300" s="16" t="str">
        <x:f>Coder_A!E300</x:f>
        <x:v>NR</x:v>
      </x:c>
      <x:c r="F300" s="16" t="n">
        <x:f>Coder_B!E300</x:f>
        <x:v>0</x:v>
      </x:c>
      <x:c r="G300" s="16" t="str">
        <x:f>IF(F300="","PENDING",IF(E300=F300,"AGREE","DISAGREE"))</x:f>
        <x:v>PENDING</x:v>
      </x:c>
      <x:c r="H300" s="16" t="str">
        <x:v>N</x:v>
      </x:c>
      <x:c r="I300" s="16" t="str">
        <x:f>Coder_A!F300</x:f>
        <x:v>Sec. 3 Datasets; Appendix A; Table 2; Table 1; Appendix B</x:v>
      </x:c>
      <x:c r="J300" s="16" t="n">
        <x:f>Coder_B!F300</x:f>
        <x:v>0</x:v>
      </x:c>
    </x:row>
    <x:row r="301">
      <x:c r="A301" s="16" t="n">
        <x:v>300</x:v>
      </x:c>
      <x:c r="B301" s="16" t="str">
        <x:v>EXPERIMENT</x:v>
      </x:c>
      <x:c r="C301" s="16" t="str">
        <x:f>Coder_A!C301</x:f>
        <x:v>PILOT_01_E03</x:v>
      </x:c>
      <x:c r="D301" s="16" t="str">
        <x:v>timestamp_used</x:v>
      </x:c>
      <x:c r="E301" s="16" t="str">
        <x:f>Coder_A!E301</x:f>
        <x:v>UNCLEAR</x:v>
      </x:c>
      <x:c r="F301" s="16" t="n">
        <x:f>Coder_B!E301</x:f>
        <x:v>0</x:v>
      </x:c>
      <x:c r="G301" s="16" t="str">
        <x:f>IF(F301="","PENDING",IF(E301=F301,"AGREE","DISAGREE"))</x:f>
        <x:v>PENDING</x:v>
      </x:c>
      <x:c r="H301" s="16" t="str">
        <x:v>Y</x:v>
      </x:c>
      <x:c r="I301" s="16" t="str">
        <x:f>Coder_A!F301</x:f>
        <x:v>Sec. 3 Datasets; Appendix A; Table 2; Table 1; Appendix B</x:v>
      </x:c>
      <x:c r="J301" s="16" t="n">
        <x:f>Coder_B!F301</x:f>
        <x:v>0</x:v>
      </x:c>
    </x:row>
    <x:row r="302">
      <x:c r="A302" s="16" t="n">
        <x:v>301</x:v>
      </x:c>
      <x:c r="B302" s="16" t="str">
        <x:v>EXPERIMENT</x:v>
      </x:c>
      <x:c r="C302" s="16" t="str">
        <x:f>Coder_A!C302</x:f>
        <x:v>PILOT_01_E03</x:v>
      </x:c>
      <x:c r="D302" s="16" t="str">
        <x:v>preprocessing_code_available</x:v>
      </x:c>
      <x:c r="E302" s="16" t="str">
        <x:f>Coder_A!E302</x:f>
        <x:v>NR</x:v>
      </x:c>
      <x:c r="F302" s="16" t="n">
        <x:f>Coder_B!E302</x:f>
        <x:v>0</x:v>
      </x:c>
      <x:c r="G302" s="16" t="str">
        <x:f>IF(F302="","PENDING",IF(E302=F302,"AGREE","DISAGREE"))</x:f>
        <x:v>PENDING</x:v>
      </x:c>
      <x:c r="H302" s="16" t="str">
        <x:v>Y</x:v>
      </x:c>
      <x:c r="I302" s="16" t="str">
        <x:f>Coder_A!F302</x:f>
        <x:v>Sec. 3 Datasets; Appendix A; Table 2; Table 1; Appendix B</x:v>
      </x:c>
      <x:c r="J302" s="16" t="n">
        <x:f>Coder_B!F302</x:f>
        <x:v>0</x:v>
      </x:c>
    </x:row>
    <x:row r="303">
      <x:c r="A303" s="16" t="n">
        <x:v>302</x:v>
      </x:c>
      <x:c r="B303" s="16" t="str">
        <x:v>EXPERIMENT</x:v>
      </x:c>
      <x:c r="C303" s="16" t="str">
        <x:f>Coder_A!C303</x:f>
        <x:v>PILOT_01_E03</x:v>
      </x:c>
      <x:c r="D303" s="16" t="str">
        <x:v>split_type</x:v>
      </x:c>
      <x:c r="E303" s="16" t="str">
        <x:f>Coder_A!E303</x:f>
        <x:v>LEARNER_BASED</x:v>
      </x:c>
      <x:c r="F303" s="16" t="n">
        <x:f>Coder_B!E303</x:f>
        <x:v>0</x:v>
      </x:c>
      <x:c r="G303" s="16" t="str">
        <x:f>IF(F303="","PENDING",IF(E303=F303,"AGREE","DISAGREE"))</x:f>
        <x:v>PENDING</x:v>
      </x:c>
      <x:c r="H303" s="16" t="str">
        <x:v>Y</x:v>
      </x:c>
      <x:c r="I303" s="16" t="str">
        <x:f>Coder_A!F303</x:f>
        <x:v>Sec. 3 Datasets; Appendix A; Table 2; Table 1; Appendix B</x:v>
      </x:c>
      <x:c r="J303" s="16" t="n">
        <x:f>Coder_B!F303</x:f>
        <x:v>0</x:v>
      </x:c>
    </x:row>
    <x:row r="304">
      <x:c r="A304" s="16" t="n">
        <x:v>303</x:v>
      </x:c>
      <x:c r="B304" s="16" t="str">
        <x:v>EXPERIMENT</x:v>
      </x:c>
      <x:c r="C304" s="16" t="str">
        <x:f>Coder_A!C304</x:f>
        <x:v>PILOT_01_E03</x:v>
      </x:c>
      <x:c r="D304" s="16" t="str">
        <x:v>split_unit_original</x:v>
      </x:c>
      <x:c r="E304" s="16" t="str">
        <x:f>Coder_A!E304</x:f>
        <x:v>students</x:v>
      </x:c>
      <x:c r="F304" s="16" t="n">
        <x:f>Coder_B!E304</x:f>
        <x:v>0</x:v>
      </x:c>
      <x:c r="G304" s="16" t="str">
        <x:f>IF(F304="","PENDING",IF(E304=F304,"AGREE","DISAGREE"))</x:f>
        <x:v>PENDING</x:v>
      </x:c>
      <x:c r="H304" s="16" t="str">
        <x:v>N</x:v>
      </x:c>
      <x:c r="I304" s="16" t="str">
        <x:f>Coder_A!F304</x:f>
        <x:v>Sec. 3 Datasets; Appendix A; Table 2; Table 1; Appendix B</x:v>
      </x:c>
      <x:c r="J304" s="16" t="n">
        <x:f>Coder_B!F304</x:f>
        <x:v>0</x:v>
      </x:c>
    </x:row>
    <x:row r="305">
      <x:c r="A305" s="16" t="n">
        <x:v>304</x:v>
      </x:c>
      <x:c r="B305" s="16" t="str">
        <x:v>EXPERIMENT</x:v>
      </x:c>
      <x:c r="C305" s="16" t="str">
        <x:f>Coder_A!C305</x:f>
        <x:v>PILOT_01_E03</x:v>
      </x:c>
      <x:c r="D305" s="16" t="str">
        <x:v>train_fraction</x:v>
      </x:c>
      <x:c r="E305" s="16" t="n">
        <x:f>Coder_A!E305</x:f>
        <x:v>0.8</x:v>
      </x:c>
      <x:c r="F305" s="16" t="n">
        <x:f>Coder_B!E305</x:f>
        <x:v>0</x:v>
      </x:c>
      <x:c r="G305" s="16" t="str">
        <x:f>IF(F305="","PENDING",IF(E305=F305,"AGREE","DISAGREE"))</x:f>
        <x:v>PENDING</x:v>
      </x:c>
      <x:c r="H305" s="16" t="str">
        <x:v>N</x:v>
      </x:c>
      <x:c r="I305" s="16" t="str">
        <x:f>Coder_A!F305</x:f>
        <x:v>Sec. 3 Datasets; Appendix A; Table 2; Table 1; Appendix B</x:v>
      </x:c>
      <x:c r="J305" s="16" t="n">
        <x:f>Coder_B!F305</x:f>
        <x:v>0</x:v>
      </x:c>
    </x:row>
    <x:row r="306">
      <x:c r="A306" s="16" t="n">
        <x:v>305</x:v>
      </x:c>
      <x:c r="B306" s="16" t="str">
        <x:v>EXPERIMENT</x:v>
      </x:c>
      <x:c r="C306" s="16" t="str">
        <x:f>Coder_A!C306</x:f>
        <x:v>PILOT_01_E03</x:v>
      </x:c>
      <x:c r="D306" s="16" t="str">
        <x:v>validation_fraction</x:v>
      </x:c>
      <x:c r="E306" s="16" t="n">
        <x:f>Coder_A!E306</x:f>
        <x:v>0.1</x:v>
      </x:c>
      <x:c r="F306" s="16" t="n">
        <x:f>Coder_B!E306</x:f>
        <x:v>0</x:v>
      </x:c>
      <x:c r="G306" s="16" t="str">
        <x:f>IF(F306="","PENDING",IF(E306=F306,"AGREE","DISAGREE"))</x:f>
        <x:v>PENDING</x:v>
      </x:c>
      <x:c r="H306" s="16" t="str">
        <x:v>N</x:v>
      </x:c>
      <x:c r="I306" s="16" t="str">
        <x:f>Coder_A!F306</x:f>
        <x:v>Sec. 3 Datasets; Appendix A; Table 2; Table 1; Appendix B</x:v>
      </x:c>
      <x:c r="J306" s="16" t="n">
        <x:f>Coder_B!F306</x:f>
        <x:v>0</x:v>
      </x:c>
    </x:row>
    <x:row r="307">
      <x:c r="A307" s="16" t="n">
        <x:v>306</x:v>
      </x:c>
      <x:c r="B307" s="16" t="str">
        <x:v>EXPERIMENT</x:v>
      </x:c>
      <x:c r="C307" s="16" t="str">
        <x:f>Coder_A!C307</x:f>
        <x:v>PILOT_01_E03</x:v>
      </x:c>
      <x:c r="D307" s="16" t="str">
        <x:v>test_fraction</x:v>
      </x:c>
      <x:c r="E307" s="16" t="n">
        <x:f>Coder_A!E307</x:f>
        <x:v>0.1</x:v>
      </x:c>
      <x:c r="F307" s="16" t="n">
        <x:f>Coder_B!E307</x:f>
        <x:v>0</x:v>
      </x:c>
      <x:c r="G307" s="16" t="str">
        <x:f>IF(F307="","PENDING",IF(E307=F307,"AGREE","DISAGREE"))</x:f>
        <x:v>PENDING</x:v>
      </x:c>
      <x:c r="H307" s="16" t="str">
        <x:v>N</x:v>
      </x:c>
      <x:c r="I307" s="16" t="str">
        <x:f>Coder_A!F307</x:f>
        <x:v>Sec. 3 Datasets; Appendix A; Table 2; Table 1; Appendix B</x:v>
      </x:c>
      <x:c r="J307" s="16" t="n">
        <x:f>Coder_B!F307</x:f>
        <x:v>0</x:v>
      </x:c>
    </x:row>
    <x:row r="308">
      <x:c r="A308" s="16" t="n">
        <x:v>307</x:v>
      </x:c>
      <x:c r="B308" s="16" t="str">
        <x:v>EXPERIMENT</x:v>
      </x:c>
      <x:c r="C308" s="16" t="str">
        <x:f>Coder_A!C308</x:f>
        <x:v>PILOT_01_E03</x:v>
      </x:c>
      <x:c r="D308" s="16" t="str">
        <x:v>validation_set_separate</x:v>
      </x:c>
      <x:c r="E308" s="16" t="str">
        <x:f>Coder_A!E308</x:f>
        <x:v>Y</x:v>
      </x:c>
      <x:c r="F308" s="16" t="n">
        <x:f>Coder_B!E308</x:f>
        <x:v>0</x:v>
      </x:c>
      <x:c r="G308" s="16" t="str">
        <x:f>IF(F308="","PENDING",IF(E308=F308,"AGREE","DISAGREE"))</x:f>
        <x:v>PENDING</x:v>
      </x:c>
      <x:c r="H308" s="16" t="str">
        <x:v>Y</x:v>
      </x:c>
      <x:c r="I308" s="16" t="str">
        <x:f>Coder_A!F308</x:f>
        <x:v>Sec. 3 Datasets; Appendix A; Table 2; Table 1; Appendix B</x:v>
      </x:c>
      <x:c r="J308" s="16" t="n">
        <x:f>Coder_B!F308</x:f>
        <x:v>0</x:v>
      </x:c>
    </x:row>
    <x:row r="309">
      <x:c r="A309" s="16" t="n">
        <x:v>308</x:v>
      </x:c>
      <x:c r="B309" s="16" t="str">
        <x:v>EXPERIMENT</x:v>
      </x:c>
      <x:c r="C309" s="16" t="str">
        <x:f>Coder_A!C309</x:f>
        <x:v>PILOT_01_E03</x:v>
      </x:c>
      <x:c r="D309" s="16" t="str">
        <x:v>early_stopping_validation_only</x:v>
      </x:c>
      <x:c r="E309" s="16" t="str">
        <x:f>Coder_A!E309</x:f>
        <x:v>UNCLEAR</x:v>
      </x:c>
      <x:c r="F309" s="16" t="n">
        <x:f>Coder_B!E309</x:f>
        <x:v>0</x:v>
      </x:c>
      <x:c r="G309" s="16" t="str">
        <x:f>IF(F309="","PENDING",IF(E309=F309,"AGREE","DISAGREE"))</x:f>
        <x:v>PENDING</x:v>
      </x:c>
      <x:c r="H309" s="16" t="str">
        <x:v>Y</x:v>
      </x:c>
      <x:c r="I309" s="16" t="str">
        <x:f>Coder_A!F309</x:f>
        <x:v>Sec. 3 Datasets; Appendix A; Table 2; Table 1; Appendix B</x:v>
      </x:c>
      <x:c r="J309" s="16" t="n">
        <x:f>Coder_B!F309</x:f>
        <x:v>0</x:v>
      </x:c>
    </x:row>
    <x:row r="310">
      <x:c r="A310" s="16" t="n">
        <x:v>309</x:v>
      </x:c>
      <x:c r="B310" s="16" t="str">
        <x:v>EXPERIMENT</x:v>
      </x:c>
      <x:c r="C310" s="16" t="str">
        <x:f>Coder_A!C310</x:f>
        <x:v>PILOT_01_E03</x:v>
      </x:c>
      <x:c r="D310" s="16" t="str">
        <x:v>graph_train_only</x:v>
      </x:c>
      <x:c r="E310" s="16" t="str">
        <x:f>Coder_A!E310</x:f>
        <x:v>UNCLEAR</x:v>
      </x:c>
      <x:c r="F310" s="16" t="n">
        <x:f>Coder_B!E310</x:f>
        <x:v>0</x:v>
      </x:c>
      <x:c r="G310" s="16" t="str">
        <x:f>IF(F310="","PENDING",IF(E310=F310,"AGREE","DISAGREE"))</x:f>
        <x:v>PENDING</x:v>
      </x:c>
      <x:c r="H310" s="16" t="str">
        <x:v>Y</x:v>
      </x:c>
      <x:c r="I310" s="16" t="str">
        <x:f>Coder_A!F310</x:f>
        <x:v>Sec. 3 Datasets; Appendix A; Table 2; Table 1; Appendix B</x:v>
      </x:c>
      <x:c r="J310" s="16" t="n">
        <x:f>Coder_B!F310</x:f>
        <x:v>0</x:v>
      </x:c>
    </x:row>
    <x:row r="311">
      <x:c r="A311" s="16" t="n">
        <x:v>310</x:v>
      </x:c>
      <x:c r="B311" s="16" t="str">
        <x:v>EXPERIMENT</x:v>
      </x:c>
      <x:c r="C311" s="16" t="str">
        <x:f>Coder_A!C311</x:f>
        <x:v>PILOT_01_E03</x:v>
      </x:c>
      <x:c r="D311" s="16" t="str">
        <x:v>normalization_train_only</x:v>
      </x:c>
      <x:c r="E311" s="16" t="str">
        <x:f>Coder_A!E311</x:f>
        <x:v>NR</x:v>
      </x:c>
      <x:c r="F311" s="16" t="n">
        <x:f>Coder_B!E311</x:f>
        <x:v>0</x:v>
      </x:c>
      <x:c r="G311" s="16" t="str">
        <x:f>IF(F311="","PENDING",IF(E311=F311,"AGREE","DISAGREE"))</x:f>
        <x:v>PENDING</x:v>
      </x:c>
      <x:c r="H311" s="16" t="str">
        <x:v>Y</x:v>
      </x:c>
      <x:c r="I311" s="16" t="str">
        <x:f>Coder_A!F311</x:f>
        <x:v>Sec. 3 Datasets; Appendix A; Table 2; Table 1; Appendix B</x:v>
      </x:c>
      <x:c r="J311" s="16" t="n">
        <x:f>Coder_B!F311</x:f>
        <x:v>0</x:v>
      </x:c>
    </x:row>
    <x:row r="312">
      <x:c r="A312" s="16" t="n">
        <x:v>311</x:v>
      </x:c>
      <x:c r="B312" s="16" t="str">
        <x:v>EXPERIMENT</x:v>
      </x:c>
      <x:c r="C312" s="16" t="str">
        <x:f>Coder_A!C312</x:f>
        <x:v>PILOT_01_E03</x:v>
      </x:c>
      <x:c r="D312" s="16" t="str">
        <x:v>sparse_strata_train_only</x:v>
      </x:c>
      <x:c r="E312" s="16" t="str">
        <x:f>Coder_A!E312</x:f>
        <x:v>NA</x:v>
      </x:c>
      <x:c r="F312" s="16" t="n">
        <x:f>Coder_B!E312</x:f>
        <x:v>0</x:v>
      </x:c>
      <x:c r="G312" s="16" t="str">
        <x:f>IF(F312="","PENDING",IF(E312=F312,"AGREE","DISAGREE"))</x:f>
        <x:v>PENDING</x:v>
      </x:c>
      <x:c r="H312" s="16" t="str">
        <x:v>Y</x:v>
      </x:c>
      <x:c r="I312" s="16" t="str">
        <x:f>Coder_A!F312</x:f>
        <x:v>Sec. 3 Datasets; Appendix A; Table 2; Table 1; Appendix B</x:v>
      </x:c>
      <x:c r="J312" s="16" t="n">
        <x:f>Coder_B!F312</x:f>
        <x:v>0</x:v>
      </x:c>
    </x:row>
    <x:row r="313">
      <x:c r="A313" s="16" t="n">
        <x:v>312</x:v>
      </x:c>
      <x:c r="B313" s="16" t="str">
        <x:v>EXPERIMENT</x:v>
      </x:c>
      <x:c r="C313" s="16" t="str">
        <x:f>Coder_A!C313</x:f>
        <x:v>PILOT_01_E03</x:v>
      </x:c>
      <x:c r="D313" s="16" t="str">
        <x:v>temporal_alignment_audited</x:v>
      </x:c>
      <x:c r="E313" s="16" t="str">
        <x:f>Coder_A!E313</x:f>
        <x:v>NR</x:v>
      </x:c>
      <x:c r="F313" s="16" t="n">
        <x:f>Coder_B!E313</x:f>
        <x:v>0</x:v>
      </x:c>
      <x:c r="G313" s="16" t="str">
        <x:f>IF(F313="","PENDING",IF(E313=F313,"AGREE","DISAGREE"))</x:f>
        <x:v>PENDING</x:v>
      </x:c>
      <x:c r="H313" s="16" t="str">
        <x:v>Y</x:v>
      </x:c>
      <x:c r="I313" s="16" t="str">
        <x:f>Coder_A!F313</x:f>
        <x:v>Sec. 3 Datasets; Appendix A; Table 2; Table 1; Appendix B</x:v>
      </x:c>
      <x:c r="J313" s="16" t="n">
        <x:f>Coder_B!F313</x:f>
        <x:v>0</x:v>
      </x:c>
    </x:row>
    <x:row r="314">
      <x:c r="A314" s="16" t="n">
        <x:v>313</x:v>
      </x:c>
      <x:c r="B314" s="16" t="str">
        <x:v>EXPERIMENT</x:v>
      </x:c>
      <x:c r="C314" s="16" t="str">
        <x:f>Coder_A!C314</x:f>
        <x:v>PILOT_01_E03</x:v>
      </x:c>
      <x:c r="D314" s="16" t="str">
        <x:v>duplicate_entity_leakage_checked</x:v>
      </x:c>
      <x:c r="E314" s="16" t="str">
        <x:f>Coder_A!E314</x:f>
        <x:v>NR</x:v>
      </x:c>
      <x:c r="F314" s="16" t="n">
        <x:f>Coder_B!E314</x:f>
        <x:v>0</x:v>
      </x:c>
      <x:c r="G314" s="16" t="str">
        <x:f>IF(F314="","PENDING",IF(E314=F314,"AGREE","DISAGREE"))</x:f>
        <x:v>PENDING</x:v>
      </x:c>
      <x:c r="H314" s="16" t="str">
        <x:v>Y</x:v>
      </x:c>
      <x:c r="I314" s="16" t="str">
        <x:f>Coder_A!F314</x:f>
        <x:v>Sec. 3 Datasets; Appendix A; Table 2; Table 1; Appendix B</x:v>
      </x:c>
      <x:c r="J314" s="16" t="n">
        <x:f>Coder_B!F314</x:f>
        <x:v>0</x:v>
      </x:c>
    </x:row>
    <x:row r="315">
      <x:c r="A315" s="16" t="n">
        <x:v>314</x:v>
      </x:c>
      <x:c r="B315" s="16" t="str">
        <x:v>EXPERIMENT</x:v>
      </x:c>
      <x:c r="C315" s="16" t="str">
        <x:f>Coder_A!C315</x:f>
        <x:v>PILOT_01_E03</x:v>
      </x:c>
      <x:c r="D315" s="16" t="str">
        <x:v>sparsity_construct</x:v>
      </x:c>
      <x:c r="E315" s="16" t="str">
        <x:f>Coder_A!E315</x:f>
        <x:v>NO_EXPLICIT_FOCUS</x:v>
      </x:c>
      <x:c r="F315" s="16" t="n">
        <x:f>Coder_B!E315</x:f>
        <x:v>0</x:v>
      </x:c>
      <x:c r="G315" s="16" t="str">
        <x:f>IF(F315="","PENDING",IF(E315=F315,"AGREE","DISAGREE"))</x:f>
        <x:v>PENDING</x:v>
      </x:c>
      <x:c r="H315" s="16" t="str">
        <x:v>Y</x:v>
      </x:c>
      <x:c r="I315" s="16" t="str">
        <x:f>Coder_A!F315</x:f>
        <x:v>Sec. 3 Datasets; Appendix A; Table 2; Table 1; Appendix B</x:v>
      </x:c>
      <x:c r="J315" s="16" t="n">
        <x:f>Coder_B!F315</x:f>
        <x:v>0</x:v>
      </x:c>
    </x:row>
    <x:row r="316">
      <x:c r="A316" s="16" t="n">
        <x:v>315</x:v>
      </x:c>
      <x:c r="B316" s="16" t="str">
        <x:v>EXPERIMENT</x:v>
      </x:c>
      <x:c r="C316" s="16" t="str">
        <x:f>Coder_A!C316</x:f>
        <x:v>PILOT_01_E03</x:v>
      </x:c>
      <x:c r="D316" s="16" t="str">
        <x:v>sparse_definition_original</x:v>
      </x:c>
      <x:c r="E316" s="16" t="str">
        <x:f>Coder_A!E316</x:f>
        <x:v>NA</x:v>
      </x:c>
      <x:c r="F316" s="16" t="n">
        <x:f>Coder_B!E316</x:f>
        <x:v>0</x:v>
      </x:c>
      <x:c r="G316" s="16" t="str">
        <x:f>IF(F316="","PENDING",IF(E316=F316,"AGREE","DISAGREE"))</x:f>
        <x:v>PENDING</x:v>
      </x:c>
      <x:c r="H316" s="16" t="str">
        <x:v>N</x:v>
      </x:c>
      <x:c r="I316" s="16" t="str">
        <x:f>Coder_A!F316</x:f>
        <x:v>Sec. 3 Datasets; Appendix A; Table 2; Table 1; Appendix B</x:v>
      </x:c>
      <x:c r="J316" s="16" t="n">
        <x:f>Coder_B!F316</x:f>
        <x:v>0</x:v>
      </x:c>
    </x:row>
    <x:row r="317">
      <x:c r="A317" s="16" t="n">
        <x:v>316</x:v>
      </x:c>
      <x:c r="B317" s="16" t="str">
        <x:v>EXPERIMENT</x:v>
      </x:c>
      <x:c r="C317" s="16" t="str">
        <x:f>Coder_A!C317</x:f>
        <x:v>PILOT_01_E03</x:v>
      </x:c>
      <x:c r="D317" s="16" t="str">
        <x:v>sparse_threshold_original</x:v>
      </x:c>
      <x:c r="E317" s="16" t="str">
        <x:f>Coder_A!E317</x:f>
        <x:v>NA</x:v>
      </x:c>
      <x:c r="F317" s="16" t="n">
        <x:f>Coder_B!E317</x:f>
        <x:v>0</x:v>
      </x:c>
      <x:c r="G317" s="16" t="str">
        <x:f>IF(F317="","PENDING",IF(E317=F317,"AGREE","DISAGREE"))</x:f>
        <x:v>PENDING</x:v>
      </x:c>
      <x:c r="H317" s="16" t="str">
        <x:v>N</x:v>
      </x:c>
      <x:c r="I317" s="16" t="str">
        <x:f>Coder_A!F317</x:f>
        <x:v>Sec. 3 Datasets; Appendix A; Table 2; Table 1; Appendix B</x:v>
      </x:c>
      <x:c r="J317" s="16" t="n">
        <x:f>Coder_B!F317</x:f>
        <x:v>0</x:v>
      </x:c>
    </x:row>
    <x:row r="318">
      <x:c r="A318" s="16" t="n">
        <x:v>317</x:v>
      </x:c>
      <x:c r="B318" s="16" t="str">
        <x:v>EXPERIMENT</x:v>
      </x:c>
      <x:c r="C318" s="16" t="str">
        <x:f>Coder_A!C318</x:f>
        <x:v>PILOT_01_E03</x:v>
      </x:c>
      <x:c r="D318" s="16" t="str">
        <x:v>threshold_source</x:v>
      </x:c>
      <x:c r="E318" s="16" t="str">
        <x:f>Coder_A!E318</x:f>
        <x:v>NA</x:v>
      </x:c>
      <x:c r="F318" s="16" t="n">
        <x:f>Coder_B!E318</x:f>
        <x:v>0</x:v>
      </x:c>
      <x:c r="G318" s="16" t="str">
        <x:f>IF(F318="","PENDING",IF(E318=F318,"AGREE","DISAGREE"))</x:f>
        <x:v>PENDING</x:v>
      </x:c>
      <x:c r="H318" s="16" t="str">
        <x:v>Y</x:v>
      </x:c>
      <x:c r="I318" s="16" t="str">
        <x:f>Coder_A!F318</x:f>
        <x:v>Sec. 3 Datasets; Appendix A; Table 2; Table 1; Appendix B</x:v>
      </x:c>
      <x:c r="J318" s="16" t="n">
        <x:f>Coder_B!F318</x:f>
        <x:v>0</x:v>
      </x:c>
    </x:row>
    <x:row r="319">
      <x:c r="A319" s="16" t="n">
        <x:v>318</x:v>
      </x:c>
      <x:c r="B319" s="16" t="str">
        <x:v>EXPERIMENT</x:v>
      </x:c>
      <x:c r="C319" s="16" t="str">
        <x:f>Coder_A!C319</x:f>
        <x:v>PILOT_01_E03</x:v>
      </x:c>
      <x:c r="D319" s="16" t="str">
        <x:v>frequency_computed_on</x:v>
      </x:c>
      <x:c r="E319" s="16" t="str">
        <x:f>Coder_A!E319</x:f>
        <x:v>NA</x:v>
      </x:c>
      <x:c r="F319" s="16" t="n">
        <x:f>Coder_B!E319</x:f>
        <x:v>0</x:v>
      </x:c>
      <x:c r="G319" s="16" t="str">
        <x:f>IF(F319="","PENDING",IF(E319=F319,"AGREE","DISAGREE"))</x:f>
        <x:v>PENDING</x:v>
      </x:c>
      <x:c r="H319" s="16" t="str">
        <x:v>Y</x:v>
      </x:c>
      <x:c r="I319" s="16" t="str">
        <x:f>Coder_A!F319</x:f>
        <x:v>Sec. 3 Datasets; Appendix A; Table 2; Table 1; Appendix B</x:v>
      </x:c>
      <x:c r="J319" s="16" t="n">
        <x:f>Coder_B!F319</x:f>
        <x:v>0</x:v>
      </x:c>
    </x:row>
    <x:row r="320">
      <x:c r="A320" s="16" t="n">
        <x:v>319</x:v>
      </x:c>
      <x:c r="B320" s="16" t="str">
        <x:v>EXPERIMENT</x:v>
      </x:c>
      <x:c r="C320" s="16" t="str">
        <x:f>Coder_A!C320</x:f>
        <x:v>PILOT_01_E03</x:v>
      </x:c>
      <x:c r="D320" s="16" t="str">
        <x:v>strict_zero_train_verified</x:v>
      </x:c>
      <x:c r="E320" s="16" t="str">
        <x:f>Coder_A!E320</x:f>
        <x:v>NA</x:v>
      </x:c>
      <x:c r="F320" s="16" t="n">
        <x:f>Coder_B!E320</x:f>
        <x:v>0</x:v>
      </x:c>
      <x:c r="G320" s="16" t="str">
        <x:f>IF(F320="","PENDING",IF(E320=F320,"AGREE","DISAGREE"))</x:f>
        <x:v>PENDING</x:v>
      </x:c>
      <x:c r="H320" s="16" t="str">
        <x:v>Y</x:v>
      </x:c>
      <x:c r="I320" s="16" t="str">
        <x:f>Coder_A!F320</x:f>
        <x:v>Sec. 3 Datasets; Appendix A; Table 2; Table 1; Appendix B</x:v>
      </x:c>
      <x:c r="J320" s="16" t="n">
        <x:f>Coder_B!F320</x:f>
        <x:v>0</x:v>
      </x:c>
    </x:row>
    <x:row r="321">
      <x:c r="A321" s="16" t="n">
        <x:v>320</x:v>
      </x:c>
      <x:c r="B321" s="16" t="str">
        <x:v>EXPERIMENT</x:v>
      </x:c>
      <x:c r="C321" s="16" t="str">
        <x:f>Coder_A!C321</x:f>
        <x:v>PILOT_01_E03</x:v>
      </x:c>
      <x:c r="D321" s="16" t="str">
        <x:v>external_info_for_unseen_kc</x:v>
      </x:c>
      <x:c r="E321" s="16" t="str">
        <x:f>Coder_A!E321</x:f>
        <x:v>NA</x:v>
      </x:c>
      <x:c r="F321" s="16" t="n">
        <x:f>Coder_B!E321</x:f>
        <x:v>0</x:v>
      </x:c>
      <x:c r="G321" s="16" t="str">
        <x:f>IF(F321="","PENDING",IF(E321=F321,"AGREE","DISAGREE"))</x:f>
        <x:v>PENDING</x:v>
      </x:c>
      <x:c r="H321" s="16" t="str">
        <x:v>Y</x:v>
      </x:c>
      <x:c r="I321" s="16" t="str">
        <x:f>Coder_A!F321</x:f>
        <x:v>Sec. 3 Datasets; Appendix A; Table 2; Table 1; Appendix B</x:v>
      </x:c>
      <x:c r="J321" s="16" t="n">
        <x:f>Coder_B!F321</x:f>
        <x:v>0</x:v>
      </x:c>
    </x:row>
    <x:row r="322">
      <x:c r="A322" s="16" t="n">
        <x:v>321</x:v>
      </x:c>
      <x:c r="B322" s="16" t="str">
        <x:v>EXPERIMENT</x:v>
      </x:c>
      <x:c r="C322" s="16" t="str">
        <x:f>Coder_A!C322</x:f>
        <x:v>PILOT_01_E03</x:v>
      </x:c>
      <x:c r="D322" s="16" t="str">
        <x:v>support_kcs</x:v>
      </x:c>
      <x:c r="E322" s="16" t="str">
        <x:f>Coder_A!E322</x:f>
        <x:v>NA</x:v>
      </x:c>
      <x:c r="F322" s="16" t="n">
        <x:f>Coder_B!E322</x:f>
        <x:v>0</x:v>
      </x:c>
      <x:c r="G322" s="16" t="str">
        <x:f>IF(F322="","PENDING",IF(E322=F322,"AGREE","DISAGREE"))</x:f>
        <x:v>PENDING</x:v>
      </x:c>
      <x:c r="H322" s="16" t="str">
        <x:v>N</x:v>
      </x:c>
      <x:c r="I322" s="16" t="str">
        <x:f>Coder_A!F322</x:f>
        <x:v>Sec. 3 Datasets; Appendix A; Table 2; Table 1; Appendix B</x:v>
      </x:c>
      <x:c r="J322" s="16" t="n">
        <x:f>Coder_B!F322</x:f>
        <x:v>0</x:v>
      </x:c>
    </x:row>
    <x:row r="323">
      <x:c r="A323" s="16" t="n">
        <x:v>322</x:v>
      </x:c>
      <x:c r="B323" s="16" t="str">
        <x:v>EXPERIMENT</x:v>
      </x:c>
      <x:c r="C323" s="16" t="str">
        <x:f>Coder_A!C323</x:f>
        <x:v>PILOT_01_E03</x:v>
      </x:c>
      <x:c r="D323" s="16" t="str">
        <x:v>support_learners</x:v>
      </x:c>
      <x:c r="E323" s="16" t="str">
        <x:f>Coder_A!E323</x:f>
        <x:v>NA</x:v>
      </x:c>
      <x:c r="F323" s="16" t="n">
        <x:f>Coder_B!E323</x:f>
        <x:v>0</x:v>
      </x:c>
      <x:c r="G323" s="16" t="str">
        <x:f>IF(F323="","PENDING",IF(E323=F323,"AGREE","DISAGREE"))</x:f>
        <x:v>PENDING</x:v>
      </x:c>
      <x:c r="H323" s="16" t="str">
        <x:v>N</x:v>
      </x:c>
      <x:c r="I323" s="16" t="str">
        <x:f>Coder_A!F323</x:f>
        <x:v>Sec. 3 Datasets; Appendix A; Table 2; Table 1; Appendix B</x:v>
      </x:c>
      <x:c r="J323" s="16" t="n">
        <x:f>Coder_B!F323</x:f>
        <x:v>0</x:v>
      </x:c>
    </x:row>
    <x:row r="324">
      <x:c r="A324" s="16" t="n">
        <x:v>323</x:v>
      </x:c>
      <x:c r="B324" s="16" t="str">
        <x:v>EXPERIMENT</x:v>
      </x:c>
      <x:c r="C324" s="16" t="str">
        <x:f>Coder_A!C324</x:f>
        <x:v>PILOT_01_E03</x:v>
      </x:c>
      <x:c r="D324" s="16" t="str">
        <x:v>support_items</x:v>
      </x:c>
      <x:c r="E324" s="16" t="str">
        <x:f>Coder_A!E324</x:f>
        <x:v>NA</x:v>
      </x:c>
      <x:c r="F324" s="16" t="n">
        <x:f>Coder_B!E324</x:f>
        <x:v>0</x:v>
      </x:c>
      <x:c r="G324" s="16" t="str">
        <x:f>IF(F324="","PENDING",IF(E324=F324,"AGREE","DISAGREE"))</x:f>
        <x:v>PENDING</x:v>
      </x:c>
      <x:c r="H324" s="16" t="str">
        <x:v>N</x:v>
      </x:c>
      <x:c r="I324" s="16" t="str">
        <x:f>Coder_A!F324</x:f>
        <x:v>Sec. 3 Datasets; Appendix A; Table 2; Table 1; Appendix B</x:v>
      </x:c>
      <x:c r="J324" s="16" t="n">
        <x:f>Coder_B!F324</x:f>
        <x:v>0</x:v>
      </x:c>
    </x:row>
    <x:row r="325">
      <x:c r="A325" s="16" t="n">
        <x:v>324</x:v>
      </x:c>
      <x:c r="B325" s="16" t="str">
        <x:v>EXPERIMENT</x:v>
      </x:c>
      <x:c r="C325" s="16" t="str">
        <x:f>Coder_A!C325</x:f>
        <x:v>PILOT_01_E03</x:v>
      </x:c>
      <x:c r="D325" s="16" t="str">
        <x:v>support_test_interactions</x:v>
      </x:c>
      <x:c r="E325" s="16" t="str">
        <x:f>Coder_A!E325</x:f>
        <x:v>NA</x:v>
      </x:c>
      <x:c r="F325" s="16" t="n">
        <x:f>Coder_B!E325</x:f>
        <x:v>0</x:v>
      </x:c>
      <x:c r="G325" s="16" t="str">
        <x:f>IF(F325="","PENDING",IF(E325=F325,"AGREE","DISAGREE"))</x:f>
        <x:v>PENDING</x:v>
      </x:c>
      <x:c r="H325" s="16" t="str">
        <x:v>N</x:v>
      </x:c>
      <x:c r="I325" s="16" t="str">
        <x:f>Coder_A!F325</x:f>
        <x:v>Sec. 3 Datasets; Appendix A; Table 2; Table 1; Appendix B</x:v>
      </x:c>
      <x:c r="J325" s="16" t="n">
        <x:f>Coder_B!F325</x:f>
        <x:v>0</x:v>
      </x:c>
    </x:row>
    <x:row r="326">
      <x:c r="A326" s="16" t="n">
        <x:v>325</x:v>
      </x:c>
      <x:c r="B326" s="16" t="str">
        <x:v>EXPERIMENT</x:v>
      </x:c>
      <x:c r="C326" s="16" t="str">
        <x:f>Coder_A!C326</x:f>
        <x:v>PILOT_01_E03</x:v>
      </x:c>
      <x:c r="D326" s="16" t="str">
        <x:v>positive_count</x:v>
      </x:c>
      <x:c r="E326" s="16" t="str">
        <x:f>Coder_A!E326</x:f>
        <x:v>NA</x:v>
      </x:c>
      <x:c r="F326" s="16" t="n">
        <x:f>Coder_B!E326</x:f>
        <x:v>0</x:v>
      </x:c>
      <x:c r="G326" s="16" t="str">
        <x:f>IF(F326="","PENDING",IF(E326=F326,"AGREE","DISAGREE"))</x:f>
        <x:v>PENDING</x:v>
      </x:c>
      <x:c r="H326" s="16" t="str">
        <x:v>N</x:v>
      </x:c>
      <x:c r="I326" s="16" t="str">
        <x:f>Coder_A!F326</x:f>
        <x:v>Sec. 3 Datasets; Appendix A; Table 2; Table 1; Appendix B</x:v>
      </x:c>
      <x:c r="J326" s="16" t="n">
        <x:f>Coder_B!F326</x:f>
        <x:v>0</x:v>
      </x:c>
    </x:row>
    <x:row r="327">
      <x:c r="A327" s="16" t="n">
        <x:v>326</x:v>
      </x:c>
      <x:c r="B327" s="16" t="str">
        <x:v>EXPERIMENT</x:v>
      </x:c>
      <x:c r="C327" s="16" t="str">
        <x:f>Coder_A!C327</x:f>
        <x:v>PILOT_01_E03</x:v>
      </x:c>
      <x:c r="D327" s="16" t="str">
        <x:v>negative_count</x:v>
      </x:c>
      <x:c r="E327" s="16" t="str">
        <x:f>Coder_A!E327</x:f>
        <x:v>NA</x:v>
      </x:c>
      <x:c r="F327" s="16" t="n">
        <x:f>Coder_B!E327</x:f>
        <x:v>0</x:v>
      </x:c>
      <x:c r="G327" s="16" t="str">
        <x:f>IF(F327="","PENDING",IF(E327=F327,"AGREE","DISAGREE"))</x:f>
        <x:v>PENDING</x:v>
      </x:c>
      <x:c r="H327" s="16" t="str">
        <x:v>N</x:v>
      </x:c>
      <x:c r="I327" s="16" t="str">
        <x:f>Coder_A!F327</x:f>
        <x:v>Sec. 3 Datasets; Appendix A; Table 2; Table 1; Appendix B</x:v>
      </x:c>
      <x:c r="J327" s="16" t="n">
        <x:f>Coder_B!F327</x:f>
        <x:v>0</x:v>
      </x:c>
    </x:row>
    <x:row r="328">
      <x:c r="A328" s="16" t="n">
        <x:v>327</x:v>
      </x:c>
      <x:c r="B328" s="16" t="str">
        <x:v>EXPERIMENT</x:v>
      </x:c>
      <x:c r="C328" s="16" t="str">
        <x:f>Coder_A!C328</x:f>
        <x:v>PILOT_01_E03</x:v>
      </x:c>
      <x:c r="D328" s="16" t="str">
        <x:v>metric_name_original</x:v>
      </x:c>
      <x:c r="E328" s="16" t="str">
        <x:f>Coder_A!E328</x:f>
        <x:v>AUC</x:v>
      </x:c>
      <x:c r="F328" s="16" t="n">
        <x:f>Coder_B!E328</x:f>
        <x:v>0</x:v>
      </x:c>
      <x:c r="G328" s="16" t="str">
        <x:f>IF(F328="","PENDING",IF(E328=F328,"AGREE","DISAGREE"))</x:f>
        <x:v>PENDING</x:v>
      </x:c>
      <x:c r="H328" s="16" t="str">
        <x:v>N</x:v>
      </x:c>
      <x:c r="I328" s="16" t="str">
        <x:f>Coder_A!F328</x:f>
        <x:v>Sec. 3 Datasets; Appendix A; Table 2; Table 1; Appendix B</x:v>
      </x:c>
      <x:c r="J328" s="16" t="n">
        <x:f>Coder_B!F328</x:f>
        <x:v>0</x:v>
      </x:c>
    </x:row>
    <x:row r="329">
      <x:c r="A329" s="16" t="n">
        <x:v>328</x:v>
      </x:c>
      <x:c r="B329" s="16" t="str">
        <x:v>EXPERIMENT</x:v>
      </x:c>
      <x:c r="C329" s="16" t="str">
        <x:f>Coder_A!C329</x:f>
        <x:v>PILOT_01_E03</x:v>
      </x:c>
      <x:c r="D329" s="16" t="str">
        <x:v>metric_value_original</x:v>
      </x:c>
      <x:c r="E329" s="16" t="n">
        <x:f>Coder_A!E329</x:f>
        <x:v>0.721</x:v>
      </x:c>
      <x:c r="F329" s="16" t="n">
        <x:f>Coder_B!E329</x:f>
        <x:v>0</x:v>
      </x:c>
      <x:c r="G329" s="16" t="str">
        <x:f>IF(F329="","PENDING",IF(E329=F329,"AGREE","DISAGREE"))</x:f>
        <x:v>PENDING</x:v>
      </x:c>
      <x:c r="H329" s="16" t="str">
        <x:v>N</x:v>
      </x:c>
      <x:c r="I329" s="16" t="str">
        <x:f>Coder_A!F329</x:f>
        <x:v>Sec. 3 Datasets; Appendix A; Table 2; Table 1; Appendix B</x:v>
      </x:c>
      <x:c r="J329" s="16" t="n">
        <x:f>Coder_B!F329</x:f>
        <x:v>0</x:v>
      </x:c>
    </x:row>
    <x:row r="330">
      <x:c r="A330" s="16" t="n">
        <x:v>329</x:v>
      </x:c>
      <x:c r="B330" s="16" t="str">
        <x:v>EXPERIMENT</x:v>
      </x:c>
      <x:c r="C330" s="16" t="str">
        <x:f>Coder_A!C330</x:f>
        <x:v>PILOT_01_E03</x:v>
      </x:c>
      <x:c r="D330" s="16" t="str">
        <x:v>metric_scope</x:v>
      </x:c>
      <x:c r="E330" s="16" t="str">
        <x:f>Coder_A!E330</x:f>
        <x:v>OVERALL</x:v>
      </x:c>
      <x:c r="F330" s="16" t="n">
        <x:f>Coder_B!E330</x:f>
        <x:v>0</x:v>
      </x:c>
      <x:c r="G330" s="16" t="str">
        <x:f>IF(F330="","PENDING",IF(E330=F330,"AGREE","DISAGREE"))</x:f>
        <x:v>PENDING</x:v>
      </x:c>
      <x:c r="H330" s="16" t="str">
        <x:v>Y</x:v>
      </x:c>
      <x:c r="I330" s="16" t="str">
        <x:f>Coder_A!F330</x:f>
        <x:v>Sec. 3 Datasets; Appendix A; Table 2; Table 1; Appendix B</x:v>
      </x:c>
      <x:c r="J330" s="16" t="n">
        <x:f>Coder_B!F330</x:f>
        <x:v>0</x:v>
      </x:c>
    </x:row>
    <x:row r="331">
      <x:c r="A331" s="16" t="n">
        <x:v>330</x:v>
      </x:c>
      <x:c r="B331" s="16" t="str">
        <x:v>EXPERIMENT</x:v>
      </x:c>
      <x:c r="C331" s="16" t="str">
        <x:f>Coder_A!C331</x:f>
        <x:v>PILOT_01_E03</x:v>
      </x:c>
      <x:c r="D331" s="16" t="str">
        <x:v>n_seeds</x:v>
      </x:c>
      <x:c r="E331" s="16" t="str">
        <x:f>Coder_A!E331</x:f>
        <x:v>NR</x:v>
      </x:c>
      <x:c r="F331" s="16" t="n">
        <x:f>Coder_B!E331</x:f>
        <x:v>0</x:v>
      </x:c>
      <x:c r="G331" s="16" t="str">
        <x:f>IF(F331="","PENDING",IF(E331=F331,"AGREE","DISAGREE"))</x:f>
        <x:v>PENDING</x:v>
      </x:c>
      <x:c r="H331" s="16" t="str">
        <x:v>N</x:v>
      </x:c>
      <x:c r="I331" s="16" t="str">
        <x:f>Coder_A!F331</x:f>
        <x:v>Sec. 3 Datasets; Appendix A; Table 2; Table 1; Appendix B</x:v>
      </x:c>
      <x:c r="J331" s="16" t="n">
        <x:f>Coder_B!F331</x:f>
        <x:v>0</x:v>
      </x:c>
    </x:row>
    <x:row r="332">
      <x:c r="A332" s="16" t="n">
        <x:v>331</x:v>
      </x:c>
      <x:c r="B332" s="16" t="str">
        <x:v>EXPERIMENT</x:v>
      </x:c>
      <x:c r="C332" s="16" t="str">
        <x:f>Coder_A!C332</x:f>
        <x:v>PILOT_01_E03</x:v>
      </x:c>
      <x:c r="D332" s="16" t="str">
        <x:v>seed_values_reported</x:v>
      </x:c>
      <x:c r="E332" s="16" t="str">
        <x:f>Coder_A!E332</x:f>
        <x:v>NR</x:v>
      </x:c>
      <x:c r="F332" s="16" t="n">
        <x:f>Coder_B!E332</x:f>
        <x:v>0</x:v>
      </x:c>
      <x:c r="G332" s="16" t="str">
        <x:f>IF(F332="","PENDING",IF(E332=F332,"AGREE","DISAGREE"))</x:f>
        <x:v>PENDING</x:v>
      </x:c>
      <x:c r="H332" s="16" t="str">
        <x:v>N</x:v>
      </x:c>
      <x:c r="I332" s="16" t="str">
        <x:f>Coder_A!F332</x:f>
        <x:v>Sec. 3 Datasets; Appendix A; Table 2; Table 1; Appendix B</x:v>
      </x:c>
      <x:c r="J332" s="16" t="n">
        <x:f>Coder_B!F332</x:f>
        <x:v>0</x:v>
      </x:c>
    </x:row>
    <x:row r="333">
      <x:c r="A333" s="16" t="n">
        <x:v>332</x:v>
      </x:c>
      <x:c r="B333" s="16" t="str">
        <x:v>EXPERIMENT</x:v>
      </x:c>
      <x:c r="C333" s="16" t="str">
        <x:f>Coder_A!C333</x:f>
        <x:v>PILOT_01_E03</x:v>
      </x:c>
      <x:c r="D333" s="16" t="str">
        <x:v>mean_std_reported</x:v>
      </x:c>
      <x:c r="E333" s="16" t="str">
        <x:f>Coder_A!E333</x:f>
        <x:v>N</x:v>
      </x:c>
      <x:c r="F333" s="16" t="n">
        <x:f>Coder_B!E333</x:f>
        <x:v>0</x:v>
      </x:c>
      <x:c r="G333" s="16" t="str">
        <x:f>IF(F333="","PENDING",IF(E333=F333,"AGREE","DISAGREE"))</x:f>
        <x:v>PENDING</x:v>
      </x:c>
      <x:c r="H333" s="16" t="str">
        <x:v>Y</x:v>
      </x:c>
      <x:c r="I333" s="16" t="str">
        <x:f>Coder_A!F333</x:f>
        <x:v>Sec. 3 Datasets; Appendix A; Table 2; Table 1; Appendix B</x:v>
      </x:c>
      <x:c r="J333" s="16" t="n">
        <x:f>Coder_B!F333</x:f>
        <x:v>0</x:v>
      </x:c>
    </x:row>
    <x:row r="334">
      <x:c r="A334" s="16" t="n">
        <x:v>333</x:v>
      </x:c>
      <x:c r="B334" s="16" t="str">
        <x:v>EXPERIMENT</x:v>
      </x:c>
      <x:c r="C334" s="16" t="str">
        <x:f>Coder_A!C334</x:f>
        <x:v>PILOT_01_E03</x:v>
      </x:c>
      <x:c r="D334" s="16" t="str">
        <x:v>confidence_interval</x:v>
      </x:c>
      <x:c r="E334" s="16" t="str">
        <x:f>Coder_A!E334</x:f>
        <x:v>NR</x:v>
      </x:c>
      <x:c r="F334" s="16" t="n">
        <x:f>Coder_B!E334</x:f>
        <x:v>0</x:v>
      </x:c>
      <x:c r="G334" s="16" t="str">
        <x:f>IF(F334="","PENDING",IF(E334=F334,"AGREE","DISAGREE"))</x:f>
        <x:v>PENDING</x:v>
      </x:c>
      <x:c r="H334" s="16" t="str">
        <x:v>N</x:v>
      </x:c>
      <x:c r="I334" s="16" t="str">
        <x:f>Coder_A!F334</x:f>
        <x:v>Sec. 3 Datasets; Appendix A; Table 2; Table 1; Appendix B</x:v>
      </x:c>
      <x:c r="J334" s="16" t="n">
        <x:f>Coder_B!F334</x:f>
        <x:v>0</x:v>
      </x:c>
    </x:row>
    <x:row r="335">
      <x:c r="A335" s="16" t="n">
        <x:v>334</x:v>
      </x:c>
      <x:c r="B335" s="16" t="str">
        <x:v>EXPERIMENT</x:v>
      </x:c>
      <x:c r="C335" s="16" t="str">
        <x:f>Coder_A!C335</x:f>
        <x:v>PILOT_01_E03</x:v>
      </x:c>
      <x:c r="D335" s="16" t="str">
        <x:v>bootstrap_unit</x:v>
      </x:c>
      <x:c r="E335" s="16" t="str">
        <x:f>Coder_A!E335</x:f>
        <x:v>NA</x:v>
      </x:c>
      <x:c r="F335" s="16" t="n">
        <x:f>Coder_B!E335</x:f>
        <x:v>0</x:v>
      </x:c>
      <x:c r="G335" s="16" t="str">
        <x:f>IF(F335="","PENDING",IF(E335=F335,"AGREE","DISAGREE"))</x:f>
        <x:v>PENDING</x:v>
      </x:c>
      <x:c r="H335" s="16" t="str">
        <x:v>Y</x:v>
      </x:c>
      <x:c r="I335" s="16" t="str">
        <x:f>Coder_A!F335</x:f>
        <x:v>Sec. 3 Datasets; Appendix A; Table 2; Table 1; Appendix B</x:v>
      </x:c>
      <x:c r="J335" s="16" t="n">
        <x:f>Coder_B!F335</x:f>
        <x:v>0</x:v>
      </x:c>
    </x:row>
    <x:row r="336">
      <x:c r="A336" s="16" t="n">
        <x:v>335</x:v>
      </x:c>
      <x:c r="B336" s="16" t="str">
        <x:v>EXPERIMENT</x:v>
      </x:c>
      <x:c r="C336" s="16" t="str">
        <x:f>Coder_A!C336</x:f>
        <x:v>PILOT_01_E03</x:v>
      </x:c>
      <x:c r="D336" s="16" t="str">
        <x:v>statistical_test</x:v>
      </x:c>
      <x:c r="E336" s="16" t="str">
        <x:f>Coder_A!E336</x:f>
        <x:v>NR</x:v>
      </x:c>
      <x:c r="F336" s="16" t="n">
        <x:f>Coder_B!E336</x:f>
        <x:v>0</x:v>
      </x:c>
      <x:c r="G336" s="16" t="str">
        <x:f>IF(F336="","PENDING",IF(E336=F336,"AGREE","DISAGREE"))</x:f>
        <x:v>PENDING</x:v>
      </x:c>
      <x:c r="H336" s="16" t="str">
        <x:v>N</x:v>
      </x:c>
      <x:c r="I336" s="16" t="str">
        <x:f>Coder_A!F336</x:f>
        <x:v>Sec. 3 Datasets; Appendix A; Table 2; Table 1; Appendix B</x:v>
      </x:c>
      <x:c r="J336" s="16" t="n">
        <x:f>Coder_B!F336</x:f>
        <x:v>0</x:v>
      </x:c>
    </x:row>
    <x:row r="337">
      <x:c r="A337" s="16" t="n">
        <x:v>336</x:v>
      </x:c>
      <x:c r="B337" s="16" t="str">
        <x:v>EXPERIMENT</x:v>
      </x:c>
      <x:c r="C337" s="16" t="str">
        <x:f>Coder_A!C337</x:f>
        <x:v>PILOT_01_E03</x:v>
      </x:c>
      <x:c r="D337" s="16" t="str">
        <x:v>multiple_comparison_correction</x:v>
      </x:c>
      <x:c r="E337" s="16" t="str">
        <x:f>Coder_A!E337</x:f>
        <x:v>NR</x:v>
      </x:c>
      <x:c r="F337" s="16" t="n">
        <x:f>Coder_B!E337</x:f>
        <x:v>0</x:v>
      </x:c>
      <x:c r="G337" s="16" t="str">
        <x:f>IF(F337="","PENDING",IF(E337=F337,"AGREE","DISAGREE"))</x:f>
        <x:v>PENDING</x:v>
      </x:c>
      <x:c r="H337" s="16" t="str">
        <x:v>N</x:v>
      </x:c>
      <x:c r="I337" s="16" t="str">
        <x:f>Coder_A!F337</x:f>
        <x:v>Sec. 3 Datasets; Appendix A; Table 2; Table 1; Appendix B</x:v>
      </x:c>
      <x:c r="J337" s="16" t="n">
        <x:f>Coder_B!F337</x:f>
        <x:v>0</x:v>
      </x:c>
    </x:row>
    <x:row r="338">
      <x:c r="A338" s="16" t="n">
        <x:v>337</x:v>
      </x:c>
      <x:c r="B338" s="16" t="str">
        <x:v>EXPERIMENT</x:v>
      </x:c>
      <x:c r="C338" s="16" t="str">
        <x:f>Coder_A!C338</x:f>
        <x:v>PILOT_01_E03</x:v>
      </x:c>
      <x:c r="D338" s="16" t="str">
        <x:v>effect_size</x:v>
      </x:c>
      <x:c r="E338" s="16" t="str">
        <x:f>Coder_A!E338</x:f>
        <x:v>NR</x:v>
      </x:c>
      <x:c r="F338" s="16" t="n">
        <x:f>Coder_B!E338</x:f>
        <x:v>0</x:v>
      </x:c>
      <x:c r="G338" s="16" t="str">
        <x:f>IF(F338="","PENDING",IF(E338=F338,"AGREE","DISAGREE"))</x:f>
        <x:v>PENDING</x:v>
      </x:c>
      <x:c r="H338" s="16" t="str">
        <x:v>N</x:v>
      </x:c>
      <x:c r="I338" s="16" t="str">
        <x:f>Coder_A!F338</x:f>
        <x:v>Sec. 3 Datasets; Appendix A; Table 2; Table 1; Appendix B</x:v>
      </x:c>
      <x:c r="J338" s="16" t="n">
        <x:f>Coder_B!F338</x:f>
        <x:v>0</x:v>
      </x:c>
    </x:row>
    <x:row r="339">
      <x:c r="A339" s="16" t="n">
        <x:v>338</x:v>
      </x:c>
      <x:c r="B339" s="16" t="str">
        <x:v>EXPERIMENT</x:v>
      </x:c>
      <x:c r="C339" s="16" t="str">
        <x:f>Coder_A!C339</x:f>
        <x:v>PILOT_01_E03</x:v>
      </x:c>
      <x:c r="D339" s="16" t="str">
        <x:v>paired_design</x:v>
      </x:c>
      <x:c r="E339" s="16" t="str">
        <x:f>Coder_A!E339</x:f>
        <x:v>NR</x:v>
      </x:c>
      <x:c r="F339" s="16" t="n">
        <x:f>Coder_B!E339</x:f>
        <x:v>0</x:v>
      </x:c>
      <x:c r="G339" s="16" t="str">
        <x:f>IF(F339="","PENDING",IF(E339=F339,"AGREE","DISAGREE"))</x:f>
        <x:v>PENDING</x:v>
      </x:c>
      <x:c r="H339" s="16" t="str">
        <x:v>Y</x:v>
      </x:c>
      <x:c r="I339" s="16" t="str">
        <x:f>Coder_A!F339</x:f>
        <x:v>Sec. 3 Datasets; Appendix A; Table 2; Table 1; Appendix B</x:v>
      </x:c>
      <x:c r="J339" s="16" t="n">
        <x:f>Coder_B!F339</x:f>
        <x:v>0</x:v>
      </x:c>
    </x:row>
    <x:row r="340">
      <x:c r="A340" s="16" t="n">
        <x:v>339</x:v>
      </x:c>
      <x:c r="B340" s="16" t="str">
        <x:v>EXPERIMENT</x:v>
      </x:c>
      <x:c r="C340" s="16" t="str">
        <x:f>Coder_A!C340</x:f>
        <x:v>PILOT_01_E03</x:v>
      </x:c>
      <x:c r="D340" s="16" t="str">
        <x:v>significance_threshold</x:v>
      </x:c>
      <x:c r="E340" s="16" t="str">
        <x:f>Coder_A!E340</x:f>
        <x:v>NR</x:v>
      </x:c>
      <x:c r="F340" s="16" t="n">
        <x:f>Coder_B!E340</x:f>
        <x:v>0</x:v>
      </x:c>
      <x:c r="G340" s="16" t="str">
        <x:f>IF(F340="","PENDING",IF(E340=F340,"AGREE","DISAGREE"))</x:f>
        <x:v>PENDING</x:v>
      </x:c>
      <x:c r="H340" s="16" t="str">
        <x:v>N</x:v>
      </x:c>
      <x:c r="I340" s="16" t="str">
        <x:f>Coder_A!F340</x:f>
        <x:v>Sec. 3 Datasets; Appendix A; Table 2; Table 1; Appendix B</x:v>
      </x:c>
      <x:c r="J340" s="16" t="n">
        <x:f>Coder_B!F340</x:f>
        <x:v>0</x:v>
      </x:c>
    </x:row>
    <x:row r="341">
      <x:c r="A341" s="16" t="n">
        <x:v>340</x:v>
      </x:c>
      <x:c r="B341" s="16" t="str">
        <x:v>EXPERIMENT</x:v>
      </x:c>
      <x:c r="C341" s="16" t="str">
        <x:f>Coder_A!C341</x:f>
        <x:v>PILOT_01_E03</x:v>
      </x:c>
      <x:c r="D341" s="16" t="str">
        <x:v>parameter_count</x:v>
      </x:c>
      <x:c r="E341" s="16" t="str">
        <x:f>Coder_A!E341</x:f>
        <x:v>NR</x:v>
      </x:c>
      <x:c r="F341" s="16" t="n">
        <x:f>Coder_B!E341</x:f>
        <x:v>0</x:v>
      </x:c>
      <x:c r="G341" s="16" t="str">
        <x:f>IF(F341="","PENDING",IF(E341=F341,"AGREE","DISAGREE"))</x:f>
        <x:v>PENDING</x:v>
      </x:c>
      <x:c r="H341" s="16" t="str">
        <x:v>N</x:v>
      </x:c>
      <x:c r="I341" s="16" t="str">
        <x:f>Coder_A!F341</x:f>
        <x:v>Sec. 3 Datasets; Appendix A; Table 2; Table 1; Appendix B</x:v>
      </x:c>
      <x:c r="J341" s="16" t="n">
        <x:f>Coder_B!F341</x:f>
        <x:v>0</x:v>
      </x:c>
    </x:row>
    <x:row r="342">
      <x:c r="A342" s="16" t="n">
        <x:v>341</x:v>
      </x:c>
      <x:c r="B342" s="16" t="str">
        <x:v>EXPERIMENT</x:v>
      </x:c>
      <x:c r="C342" s="16" t="str">
        <x:f>Coder_A!C342</x:f>
        <x:v>PILOT_01_E03</x:v>
      </x:c>
      <x:c r="D342" s="16" t="str">
        <x:v>train_time</x:v>
      </x:c>
      <x:c r="E342" s="16" t="str">
        <x:f>Coder_A!E342</x:f>
        <x:v>NR</x:v>
      </x:c>
      <x:c r="F342" s="16" t="n">
        <x:f>Coder_B!E342</x:f>
        <x:v>0</x:v>
      </x:c>
      <x:c r="G342" s="16" t="str">
        <x:f>IF(F342="","PENDING",IF(E342=F342,"AGREE","DISAGREE"))</x:f>
        <x:v>PENDING</x:v>
      </x:c>
      <x:c r="H342" s="16" t="str">
        <x:v>N</x:v>
      </x:c>
      <x:c r="I342" s="16" t="str">
        <x:f>Coder_A!F342</x:f>
        <x:v>Sec. 3 Datasets; Appendix A; Table 2; Table 1; Appendix B</x:v>
      </x:c>
      <x:c r="J342" s="16" t="n">
        <x:f>Coder_B!F342</x:f>
        <x:v>0</x:v>
      </x:c>
    </x:row>
    <x:row r="343">
      <x:c r="A343" s="16" t="n">
        <x:v>342</x:v>
      </x:c>
      <x:c r="B343" s="16" t="str">
        <x:v>EXPERIMENT</x:v>
      </x:c>
      <x:c r="C343" s="16" t="str">
        <x:f>Coder_A!C343</x:f>
        <x:v>PILOT_01_E03</x:v>
      </x:c>
      <x:c r="D343" s="16" t="str">
        <x:v>time_per_epoch</x:v>
      </x:c>
      <x:c r="E343" s="16" t="str">
        <x:f>Coder_A!E343</x:f>
        <x:v>NR</x:v>
      </x:c>
      <x:c r="F343" s="16" t="n">
        <x:f>Coder_B!E343</x:f>
        <x:v>0</x:v>
      </x:c>
      <x:c r="G343" s="16" t="str">
        <x:f>IF(F343="","PENDING",IF(E343=F343,"AGREE","DISAGREE"))</x:f>
        <x:v>PENDING</x:v>
      </x:c>
      <x:c r="H343" s="16" t="str">
        <x:v>N</x:v>
      </x:c>
      <x:c r="I343" s="16" t="str">
        <x:f>Coder_A!F343</x:f>
        <x:v>Sec. 3 Datasets; Appendix A; Table 2; Table 1; Appendix B</x:v>
      </x:c>
      <x:c r="J343" s="16" t="n">
        <x:f>Coder_B!F343</x:f>
        <x:v>0</x:v>
      </x:c>
    </x:row>
    <x:row r="344">
      <x:c r="A344" s="16" t="n">
        <x:v>343</x:v>
      </x:c>
      <x:c r="B344" s="16" t="str">
        <x:v>EXPERIMENT</x:v>
      </x:c>
      <x:c r="C344" s="16" t="str">
        <x:f>Coder_A!C344</x:f>
        <x:v>PILOT_01_E03</x:v>
      </x:c>
      <x:c r="D344" s="16" t="str">
        <x:v>inference_latency</x:v>
      </x:c>
      <x:c r="E344" s="16" t="str">
        <x:f>Coder_A!E344</x:f>
        <x:v>NR</x:v>
      </x:c>
      <x:c r="F344" s="16" t="n">
        <x:f>Coder_B!E344</x:f>
        <x:v>0</x:v>
      </x:c>
      <x:c r="G344" s="16" t="str">
        <x:f>IF(F344="","PENDING",IF(E344=F344,"AGREE","DISAGREE"))</x:f>
        <x:v>PENDING</x:v>
      </x:c>
      <x:c r="H344" s="16" t="str">
        <x:v>N</x:v>
      </x:c>
      <x:c r="I344" s="16" t="str">
        <x:f>Coder_A!F344</x:f>
        <x:v>Sec. 3 Datasets; Appendix A; Table 2; Table 1; Appendix B</x:v>
      </x:c>
      <x:c r="J344" s="16" t="n">
        <x:f>Coder_B!F344</x:f>
        <x:v>0</x:v>
      </x:c>
    </x:row>
    <x:row r="345">
      <x:c r="A345" s="16" t="n">
        <x:v>344</x:v>
      </x:c>
      <x:c r="B345" s="16" t="str">
        <x:v>EXPERIMENT</x:v>
      </x:c>
      <x:c r="C345" s="16" t="str">
        <x:f>Coder_A!C345</x:f>
        <x:v>PILOT_01_E03</x:v>
      </x:c>
      <x:c r="D345" s="16" t="str">
        <x:v>throughput</x:v>
      </x:c>
      <x:c r="E345" s="16" t="str">
        <x:f>Coder_A!E345</x:f>
        <x:v>NR</x:v>
      </x:c>
      <x:c r="F345" s="16" t="n">
        <x:f>Coder_B!E345</x:f>
        <x:v>0</x:v>
      </x:c>
      <x:c r="G345" s="16" t="str">
        <x:f>IF(F345="","PENDING",IF(E345=F345,"AGREE","DISAGREE"))</x:f>
        <x:v>PENDING</x:v>
      </x:c>
      <x:c r="H345" s="16" t="str">
        <x:v>N</x:v>
      </x:c>
      <x:c r="I345" s="16" t="str">
        <x:f>Coder_A!F345</x:f>
        <x:v>Sec. 3 Datasets; Appendix A; Table 2; Table 1; Appendix B</x:v>
      </x:c>
      <x:c r="J345" s="16" t="n">
        <x:f>Coder_B!F345</x:f>
        <x:v>0</x:v>
      </x:c>
    </x:row>
    <x:row r="346">
      <x:c r="A346" s="16" t="n">
        <x:v>345</x:v>
      </x:c>
      <x:c r="B346" s="16" t="str">
        <x:v>EXPERIMENT</x:v>
      </x:c>
      <x:c r="C346" s="16" t="str">
        <x:f>Coder_A!C346</x:f>
        <x:v>PILOT_01_E03</x:v>
      </x:c>
      <x:c r="D346" s="16" t="str">
        <x:v>cpu_ram</x:v>
      </x:c>
      <x:c r="E346" s="16" t="str">
        <x:f>Coder_A!E346</x:f>
        <x:v>NR</x:v>
      </x:c>
      <x:c r="F346" s="16" t="n">
        <x:f>Coder_B!E346</x:f>
        <x:v>0</x:v>
      </x:c>
      <x:c r="G346" s="16" t="str">
        <x:f>IF(F346="","PENDING",IF(E346=F346,"AGREE","DISAGREE"))</x:f>
        <x:v>PENDING</x:v>
      </x:c>
      <x:c r="H346" s="16" t="str">
        <x:v>N</x:v>
      </x:c>
      <x:c r="I346" s="16" t="str">
        <x:f>Coder_A!F346</x:f>
        <x:v>Sec. 3 Datasets; Appendix A; Table 2; Table 1; Appendix B</x:v>
      </x:c>
      <x:c r="J346" s="16" t="n">
        <x:f>Coder_B!F346</x:f>
        <x:v>0</x:v>
      </x:c>
    </x:row>
    <x:row r="347">
      <x:c r="A347" s="16" t="n">
        <x:v>346</x:v>
      </x:c>
      <x:c r="B347" s="16" t="str">
        <x:v>EXPERIMENT</x:v>
      </x:c>
      <x:c r="C347" s="16" t="str">
        <x:f>Coder_A!C347</x:f>
        <x:v>PILOT_01_E03</x:v>
      </x:c>
      <x:c r="D347" s="16" t="str">
        <x:v>gpu_vram</x:v>
      </x:c>
      <x:c r="E347" s="16" t="str">
        <x:f>Coder_A!E347</x:f>
        <x:v>NR</x:v>
      </x:c>
      <x:c r="F347" s="16" t="n">
        <x:f>Coder_B!E347</x:f>
        <x:v>0</x:v>
      </x:c>
      <x:c r="G347" s="16" t="str">
        <x:f>IF(F347="","PENDING",IF(E347=F347,"AGREE","DISAGREE"))</x:f>
        <x:v>PENDING</x:v>
      </x:c>
      <x:c r="H347" s="16" t="str">
        <x:v>N</x:v>
      </x:c>
      <x:c r="I347" s="16" t="str">
        <x:f>Coder_A!F347</x:f>
        <x:v>Sec. 3 Datasets; Appendix A; Table 2; Table 1; Appendix B</x:v>
      </x:c>
      <x:c r="J347" s="16" t="n">
        <x:f>Coder_B!F347</x:f>
        <x:v>0</x:v>
      </x:c>
    </x:row>
    <x:row r="348">
      <x:c r="A348" s="16" t="n">
        <x:v>347</x:v>
      </x:c>
      <x:c r="B348" s="16" t="str">
        <x:v>EXPERIMENT</x:v>
      </x:c>
      <x:c r="C348" s="16" t="str">
        <x:f>Coder_A!C348</x:f>
        <x:v>PILOT_01_E03</x:v>
      </x:c>
      <x:c r="D348" s="16" t="str">
        <x:v>hardware</x:v>
      </x:c>
      <x:c r="E348" s="16" t="str">
        <x:f>Coder_A!E348</x:f>
        <x:v>NR</x:v>
      </x:c>
      <x:c r="F348" s="16" t="n">
        <x:f>Coder_B!E348</x:f>
        <x:v>0</x:v>
      </x:c>
      <x:c r="G348" s="16" t="str">
        <x:f>IF(F348="","PENDING",IF(E348=F348,"AGREE","DISAGREE"))</x:f>
        <x:v>PENDING</x:v>
      </x:c>
      <x:c r="H348" s="16" t="str">
        <x:v>N</x:v>
      </x:c>
      <x:c r="I348" s="16" t="str">
        <x:f>Coder_A!F348</x:f>
        <x:v>Sec. 3 Datasets; Appendix A; Table 2; Table 1; Appendix B</x:v>
      </x:c>
      <x:c r="J348" s="16" t="n">
        <x:f>Coder_B!F348</x:f>
        <x:v>0</x:v>
      </x:c>
    </x:row>
    <x:row r="349">
      <x:c r="A349" s="16" t="n">
        <x:v>348</x:v>
      </x:c>
      <x:c r="B349" s="16" t="str">
        <x:v>EXPERIMENT</x:v>
      </x:c>
      <x:c r="C349" s="16" t="str">
        <x:f>Coder_A!C349</x:f>
        <x:v>PILOT_01_E03</x:v>
      </x:c>
      <x:c r="D349" s="16" t="str">
        <x:v>graph_construction_time</x:v>
      </x:c>
      <x:c r="E349" s="16" t="str">
        <x:f>Coder_A!E349</x:f>
        <x:v>NR</x:v>
      </x:c>
      <x:c r="F349" s="16" t="n">
        <x:f>Coder_B!E349</x:f>
        <x:v>0</x:v>
      </x:c>
      <x:c r="G349" s="16" t="str">
        <x:f>IF(F349="","PENDING",IF(E349=F349,"AGREE","DISAGREE"))</x:f>
        <x:v>PENDING</x:v>
      </x:c>
      <x:c r="H349" s="16" t="str">
        <x:v>N</x:v>
      </x:c>
      <x:c r="I349" s="16" t="str">
        <x:f>Coder_A!F349</x:f>
        <x:v>Sec. 3 Datasets; Appendix A; Table 2; Table 1; Appendix B</x:v>
      </x:c>
      <x:c r="J349" s="16" t="n">
        <x:f>Coder_B!F349</x:f>
        <x:v>0</x:v>
      </x:c>
    </x:row>
    <x:row r="350">
      <x:c r="A350" s="16" t="n">
        <x:v>349</x:v>
      </x:c>
      <x:c r="B350" s="16" t="str">
        <x:v>EXPERIMENT</x:v>
      </x:c>
      <x:c r="C350" s="16" t="str">
        <x:f>Coder_A!C350</x:f>
        <x:v>PILOT_01_E03</x:v>
      </x:c>
      <x:c r="D350" s="16" t="str">
        <x:v>complexity_formula</x:v>
      </x:c>
      <x:c r="E350" s="16" t="str">
        <x:f>Coder_A!E350</x:f>
        <x:v>NR</x:v>
      </x:c>
      <x:c r="F350" s="16" t="n">
        <x:f>Coder_B!E350</x:f>
        <x:v>0</x:v>
      </x:c>
      <x:c r="G350" s="16" t="str">
        <x:f>IF(F350="","PENDING",IF(E350=F350,"AGREE","DISAGREE"))</x:f>
        <x:v>PENDING</x:v>
      </x:c>
      <x:c r="H350" s="16" t="str">
        <x:v>N</x:v>
      </x:c>
      <x:c r="I350" s="16" t="str">
        <x:f>Coder_A!F350</x:f>
        <x:v>Sec. 3 Datasets; Appendix A; Table 2; Table 1; Appendix B</x:v>
      </x:c>
      <x:c r="J350" s="16" t="n">
        <x:f>Coder_B!F350</x:f>
        <x:v>0</x:v>
      </x:c>
    </x:row>
    <x:row r="351">
      <x:c r="A351" s="16" t="n">
        <x:v>350</x:v>
      </x:c>
      <x:c r="B351" s="16" t="str">
        <x:v>EXPERIMENT</x:v>
      </x:c>
      <x:c r="C351" s="16" t="str">
        <x:f>Coder_A!C351</x:f>
        <x:v>PILOT_01_E03</x:v>
      </x:c>
      <x:c r="D351" s="16" t="str">
        <x:v>scale_up_experiment</x:v>
      </x:c>
      <x:c r="E351" s="16" t="str">
        <x:f>Coder_A!E351</x:f>
        <x:v>N</x:v>
      </x:c>
      <x:c r="F351" s="16" t="n">
        <x:f>Coder_B!E351</x:f>
        <x:v>0</x:v>
      </x:c>
      <x:c r="G351" s="16" t="str">
        <x:f>IF(F351="","PENDING",IF(E351=F351,"AGREE","DISAGREE"))</x:f>
        <x:v>PENDING</x:v>
      </x:c>
      <x:c r="H351" s="16" t="str">
        <x:v>Y</x:v>
      </x:c>
      <x:c r="I351" s="16" t="str">
        <x:f>Coder_A!F351</x:f>
        <x:v>Sec. 3 Datasets; Appendix A; Table 2; Table 1; Appendix B</x:v>
      </x:c>
      <x:c r="J351" s="16" t="n">
        <x:f>Coder_B!F351</x:f>
        <x:v>0</x:v>
      </x:c>
    </x:row>
    <x:row r="352">
      <x:c r="A352" s="16" t="n">
        <x:v>351</x:v>
      </x:c>
      <x:c r="B352" s="16" t="str">
        <x:v>EXPERIMENT</x:v>
      </x:c>
      <x:c r="C352" s="16" t="str">
        <x:f>Coder_A!C352</x:f>
        <x:v>PILOT_01_E03</x:v>
      </x:c>
      <x:c r="D352" s="16" t="str">
        <x:v>oom_timeout_reported</x:v>
      </x:c>
      <x:c r="E352" s="16" t="str">
        <x:f>Coder_A!E352</x:f>
        <x:v>NR</x:v>
      </x:c>
      <x:c r="F352" s="16" t="n">
        <x:f>Coder_B!E352</x:f>
        <x:v>0</x:v>
      </x:c>
      <x:c r="G352" s="16" t="str">
        <x:f>IF(F352="","PENDING",IF(E352=F352,"AGREE","DISAGREE"))</x:f>
        <x:v>PENDING</x:v>
      </x:c>
      <x:c r="H352" s="16" t="str">
        <x:v>Y</x:v>
      </x:c>
      <x:c r="I352" s="16" t="str">
        <x:f>Coder_A!F352</x:f>
        <x:v>Sec. 3 Datasets; Appendix A; Table 2; Table 1; Appendix B</x:v>
      </x:c>
      <x:c r="J352" s="16" t="n">
        <x:f>Coder_B!F352</x:f>
        <x:v>0</x:v>
      </x:c>
    </x:row>
    <x:row r="353">
      <x:c r="A353" s="16" t="n">
        <x:v>352</x:v>
      </x:c>
      <x:c r="B353" s="16" t="str">
        <x:v>EXPERIMENT</x:v>
      </x:c>
      <x:c r="C353" s="16" t="str">
        <x:f>Coder_A!C353</x:f>
        <x:v>PILOT_01_E04</x:v>
      </x:c>
      <x:c r="D353" s="16" t="str">
        <x:v>dataset_name</x:v>
      </x:c>
      <x:c r="E353" s="16" t="str">
        <x:f>Coder_A!E353</x:f>
        <x:v>KDDCup</x:v>
      </x:c>
      <x:c r="F353" s="16" t="n">
        <x:f>Coder_B!E353</x:f>
        <x:v>0</x:v>
      </x:c>
      <x:c r="G353" s="16" t="str">
        <x:f>IF(F353="","PENDING",IF(E353=F353,"AGREE","DISAGREE"))</x:f>
        <x:v>PENDING</x:v>
      </x:c>
      <x:c r="H353" s="16" t="str">
        <x:v>N</x:v>
      </x:c>
      <x:c r="I353" s="16" t="str">
        <x:f>Coder_A!F353</x:f>
        <x:v>Sec. 3 Datasets; Appendix A; Table 2; Table 1; Appendix B</x:v>
      </x:c>
      <x:c r="J353" s="16" t="n">
        <x:f>Coder_B!F353</x:f>
        <x:v>0</x:v>
      </x:c>
    </x:row>
    <x:row r="354">
      <x:c r="A354" s="16" t="n">
        <x:v>353</x:v>
      </x:c>
      <x:c r="B354" s="16" t="str">
        <x:v>EXPERIMENT</x:v>
      </x:c>
      <x:c r="C354" s="16" t="str">
        <x:f>Coder_A!C354</x:f>
        <x:v>PILOT_01_E04</x:v>
      </x:c>
      <x:c r="D354" s="16" t="str">
        <x:v>dataset_version</x:v>
      </x:c>
      <x:c r="E354" s="16" t="str">
        <x:f>Coder_A!E354</x:f>
        <x:v>Bridge to Algebra 2006-2007</x:v>
      </x:c>
      <x:c r="F354" s="16" t="n">
        <x:f>Coder_B!E354</x:f>
        <x:v>0</x:v>
      </x:c>
      <x:c r="G354" s="16" t="str">
        <x:f>IF(F354="","PENDING",IF(E354=F354,"AGREE","DISAGREE"))</x:f>
        <x:v>PENDING</x:v>
      </x:c>
      <x:c r="H354" s="16" t="str">
        <x:v>N</x:v>
      </x:c>
      <x:c r="I354" s="16" t="str">
        <x:f>Coder_A!F354</x:f>
        <x:v>Sec. 3 Datasets; Appendix A; Table 2; Table 1; Appendix B</x:v>
      </x:c>
      <x:c r="J354" s="16" t="n">
        <x:f>Coder_B!F354</x:f>
        <x:v>0</x:v>
      </x:c>
    </x:row>
    <x:row r="355">
      <x:c r="A355" s="16" t="n">
        <x:v>354</x:v>
      </x:c>
      <x:c r="B355" s="16" t="str">
        <x:v>EXPERIMENT</x:v>
      </x:c>
      <x:c r="C355" s="16" t="str">
        <x:f>Coder_A!C355</x:f>
        <x:v>PILOT_01_E04</x:v>
      </x:c>
      <x:c r="D355" s="16" t="str">
        <x:v>n_learners_reported</x:v>
      </x:c>
      <x:c r="E355" s="16" t="n">
        <x:f>Coder_A!E355</x:f>
        <x:v>1000</x:v>
      </x:c>
      <x:c r="F355" s="16" t="n">
        <x:f>Coder_B!E355</x:f>
        <x:v>0</x:v>
      </x:c>
      <x:c r="G355" s="16" t="str">
        <x:f>IF(F355="","PENDING",IF(E355=F355,"AGREE","DISAGREE"))</x:f>
        <x:v>PENDING</x:v>
      </x:c>
      <x:c r="H355" s="16" t="str">
        <x:v>N</x:v>
      </x:c>
      <x:c r="I355" s="16" t="str">
        <x:f>Coder_A!F355</x:f>
        <x:v>Sec. 3 Datasets; Appendix A; Table 2; Table 1; Appendix B</x:v>
      </x:c>
      <x:c r="J355" s="16" t="n">
        <x:f>Coder_B!F355</x:f>
        <x:v>0</x:v>
      </x:c>
    </x:row>
    <x:row r="356">
      <x:c r="A356" s="16" t="n">
        <x:v>355</x:v>
      </x:c>
      <x:c r="B356" s="16" t="str">
        <x:v>EXPERIMENT</x:v>
      </x:c>
      <x:c r="C356" s="16" t="str">
        <x:f>Coder_A!C356</x:f>
        <x:v>PILOT_01_E04</x:v>
      </x:c>
      <x:c r="D356" s="16" t="str">
        <x:v>n_items_reported</x:v>
      </x:c>
      <x:c r="E356" s="16" t="str">
        <x:f>Coder_A!E356</x:f>
        <x:v>NR</x:v>
      </x:c>
      <x:c r="F356" s="16" t="n">
        <x:f>Coder_B!E356</x:f>
        <x:v>0</x:v>
      </x:c>
      <x:c r="G356" s="16" t="str">
        <x:f>IF(F356="","PENDING",IF(E356=F356,"AGREE","DISAGREE"))</x:f>
        <x:v>PENDING</x:v>
      </x:c>
      <x:c r="H356" s="16" t="str">
        <x:v>N</x:v>
      </x:c>
      <x:c r="I356" s="16" t="str">
        <x:f>Coder_A!F356</x:f>
        <x:v>Sec. 3 Datasets; Appendix A; Table 2; Table 1; Appendix B</x:v>
      </x:c>
      <x:c r="J356" s="16" t="n">
        <x:f>Coder_B!F356</x:f>
        <x:v>0</x:v>
      </x:c>
    </x:row>
    <x:row r="357">
      <x:c r="A357" s="16" t="n">
        <x:v>356</x:v>
      </x:c>
      <x:c r="B357" s="16" t="str">
        <x:v>EXPERIMENT</x:v>
      </x:c>
      <x:c r="C357" s="16" t="str">
        <x:f>Coder_A!C357</x:f>
        <x:v>PILOT_01_E04</x:v>
      </x:c>
      <x:c r="D357" s="16" t="str">
        <x:v>n_kcs_reported</x:v>
      </x:c>
      <x:c r="E357" s="16" t="n">
        <x:f>Coder_A!E357</x:f>
        <x:v>211</x:v>
      </x:c>
      <x:c r="F357" s="16" t="n">
        <x:f>Coder_B!E357</x:f>
        <x:v>0</x:v>
      </x:c>
      <x:c r="G357" s="16" t="str">
        <x:f>IF(F357="","PENDING",IF(E357=F357,"AGREE","DISAGREE"))</x:f>
        <x:v>PENDING</x:v>
      </x:c>
      <x:c r="H357" s="16" t="str">
        <x:v>N</x:v>
      </x:c>
      <x:c r="I357" s="16" t="str">
        <x:f>Coder_A!F357</x:f>
        <x:v>Sec. 3 Datasets; Appendix A; Table 2; Table 1; Appendix B</x:v>
      </x:c>
      <x:c r="J357" s="16" t="n">
        <x:f>Coder_B!F357</x:f>
        <x:v>0</x:v>
      </x:c>
    </x:row>
    <x:row r="358">
      <x:c r="A358" s="16" t="n">
        <x:v>357</x:v>
      </x:c>
      <x:c r="B358" s="16" t="str">
        <x:v>EXPERIMENT</x:v>
      </x:c>
      <x:c r="C358" s="16" t="str">
        <x:f>Coder_A!C358</x:f>
        <x:v>PILOT_01_E04</x:v>
      </x:c>
      <x:c r="D358" s="16" t="str">
        <x:v>n_interactions_reported</x:v>
      </x:c>
      <x:c r="E358" s="16" t="n">
        <x:f>Coder_A!E358</x:f>
        <x:v>98200</x:v>
      </x:c>
      <x:c r="F358" s="16" t="n">
        <x:f>Coder_B!E358</x:f>
        <x:v>0</x:v>
      </x:c>
      <x:c r="G358" s="16" t="str">
        <x:f>IF(F358="","PENDING",IF(E358=F358,"AGREE","DISAGREE"))</x:f>
        <x:v>PENDING</x:v>
      </x:c>
      <x:c r="H358" s="16" t="str">
        <x:v>N</x:v>
      </x:c>
      <x:c r="I358" s="16" t="str">
        <x:f>Coder_A!F358</x:f>
        <x:v>Sec. 3 Datasets; Appendix A; Table 2; Table 1; Appendix B</x:v>
      </x:c>
      <x:c r="J358" s="16" t="n">
        <x:f>Coder_B!F358</x:f>
        <x:v>0</x:v>
      </x:c>
    </x:row>
    <x:row r="359">
      <x:c r="A359" s="16" t="n">
        <x:v>358</x:v>
      </x:c>
      <x:c r="B359" s="16" t="str">
        <x:v>EXPERIMENT</x:v>
      </x:c>
      <x:c r="C359" s="16" t="str">
        <x:f>Coder_A!C359</x:f>
        <x:v>PILOT_01_E04</x:v>
      </x:c>
      <x:c r="D359" s="16" t="str">
        <x:v>multi_skill_present</x:v>
      </x:c>
      <x:c r="E359" s="16" t="str">
        <x:f>Coder_A!E359</x:f>
        <x:v>UNCLEAR</x:v>
      </x:c>
      <x:c r="F359" s="16" t="n">
        <x:f>Coder_B!E359</x:f>
        <x:v>0</x:v>
      </x:c>
      <x:c r="G359" s="16" t="str">
        <x:f>IF(F359="","PENDING",IF(E359=F359,"AGREE","DISAGREE"))</x:f>
        <x:v>PENDING</x:v>
      </x:c>
      <x:c r="H359" s="16" t="str">
        <x:v>Y</x:v>
      </x:c>
      <x:c r="I359" s="16" t="str">
        <x:f>Coder_A!F359</x:f>
        <x:v>Sec. 3 Datasets; Appendix A; Table 2; Table 1; Appendix B</x:v>
      </x:c>
      <x:c r="J359" s="16" t="n">
        <x:f>Coder_B!F359</x:f>
        <x:v>0</x:v>
      </x:c>
    </x:row>
    <x:row r="360">
      <x:c r="A360" s="16" t="n">
        <x:v>359</x:v>
      </x:c>
      <x:c r="B360" s="16" t="str">
        <x:v>EXPERIMENT</x:v>
      </x:c>
      <x:c r="C360" s="16" t="str">
        <x:f>Coder_A!C360</x:f>
        <x:v>PILOT_01_E04</x:v>
      </x:c>
      <x:c r="D360" s="16" t="str">
        <x:v>multi_skill_handling</x:v>
      </x:c>
      <x:c r="E360" s="16" t="str">
        <x:f>Coder_A!E360</x:f>
        <x:v>Combine simultaneous answer logs into one; extract named skill tags</x:v>
      </x:c>
      <x:c r="F360" s="16" t="n">
        <x:f>Coder_B!E360</x:f>
        <x:v>0</x:v>
      </x:c>
      <x:c r="G360" s="16" t="str">
        <x:f>IF(F360="","PENDING",IF(E360=F360,"AGREE","DISAGREE"))</x:f>
        <x:v>PENDING</x:v>
      </x:c>
      <x:c r="H360" s="16" t="str">
        <x:v>N</x:v>
      </x:c>
      <x:c r="I360" s="16" t="str">
        <x:f>Coder_A!F360</x:f>
        <x:v>Sec. 3 Datasets; Appendix A; Table 2; Table 1; Appendix B</x:v>
      </x:c>
      <x:c r="J360" s="16" t="n">
        <x:f>Coder_B!F360</x:f>
        <x:v>0</x:v>
      </x:c>
    </x:row>
    <x:row r="361">
      <x:c r="A361" s="16" t="n">
        <x:v>360</x:v>
      </x:c>
      <x:c r="B361" s="16" t="str">
        <x:v>EXPERIMENT</x:v>
      </x:c>
      <x:c r="C361" s="16" t="str">
        <x:f>Coder_A!C361</x:f>
        <x:v>PILOT_01_E04</x:v>
      </x:c>
      <x:c r="D361" s="16" t="str">
        <x:v>sequence_truncation</x:v>
      </x:c>
      <x:c r="E361" s="16" t="str">
        <x:f>Coder_A!E361</x:f>
        <x:v>NR</x:v>
      </x:c>
      <x:c r="F361" s="16" t="n">
        <x:f>Coder_B!E361</x:f>
        <x:v>0</x:v>
      </x:c>
      <x:c r="G361" s="16" t="str">
        <x:f>IF(F361="","PENDING",IF(E361=F361,"AGREE","DISAGREE"))</x:f>
        <x:v>PENDING</x:v>
      </x:c>
      <x:c r="H361" s="16" t="str">
        <x:v>N</x:v>
      </x:c>
      <x:c r="I361" s="16" t="str">
        <x:f>Coder_A!F361</x:f>
        <x:v>Sec. 3 Datasets; Appendix A; Table 2; Table 1; Appendix B</x:v>
      </x:c>
      <x:c r="J361" s="16" t="n">
        <x:f>Coder_B!F361</x:f>
        <x:v>0</x:v>
      </x:c>
    </x:row>
    <x:row r="362">
      <x:c r="A362" s="16" t="n">
        <x:v>361</x:v>
      </x:c>
      <x:c r="B362" s="16" t="str">
        <x:v>EXPERIMENT</x:v>
      </x:c>
      <x:c r="C362" s="16" t="str">
        <x:f>Coder_A!C362</x:f>
        <x:v>PILOT_01_E04</x:v>
      </x:c>
      <x:c r="D362" s="16" t="str">
        <x:v>min_sequence_filter</x:v>
      </x:c>
      <x:c r="E362" s="16" t="str">
        <x:f>Coder_A!E362</x:f>
        <x:v>NR</x:v>
      </x:c>
      <x:c r="F362" s="16" t="n">
        <x:f>Coder_B!E362</x:f>
        <x:v>0</x:v>
      </x:c>
      <x:c r="G362" s="16" t="str">
        <x:f>IF(F362="","PENDING",IF(E362=F362,"AGREE","DISAGREE"))</x:f>
        <x:v>PENDING</x:v>
      </x:c>
      <x:c r="H362" s="16" t="str">
        <x:v>N</x:v>
      </x:c>
      <x:c r="I362" s="16" t="str">
        <x:f>Coder_A!F362</x:f>
        <x:v>Sec. 3 Datasets; Appendix A; Table 2; Table 1; Appendix B</x:v>
      </x:c>
      <x:c r="J362" s="16" t="n">
        <x:f>Coder_B!F362</x:f>
        <x:v>0</x:v>
      </x:c>
    </x:row>
    <x:row r="363">
      <x:c r="A363" s="16" t="n">
        <x:v>362</x:v>
      </x:c>
      <x:c r="B363" s="16" t="str">
        <x:v>EXPERIMENT</x:v>
      </x:c>
      <x:c r="C363" s="16" t="str">
        <x:f>Coder_A!C363</x:f>
        <x:v>PILOT_01_E04</x:v>
      </x:c>
      <x:c r="D363" s="16" t="str">
        <x:v>timestamp_used</x:v>
      </x:c>
      <x:c r="E363" s="16" t="str">
        <x:f>Coder_A!E363</x:f>
        <x:v>UNCLEAR</x:v>
      </x:c>
      <x:c r="F363" s="16" t="n">
        <x:f>Coder_B!E363</x:f>
        <x:v>0</x:v>
      </x:c>
      <x:c r="G363" s="16" t="str">
        <x:f>IF(F363="","PENDING",IF(E363=F363,"AGREE","DISAGREE"))</x:f>
        <x:v>PENDING</x:v>
      </x:c>
      <x:c r="H363" s="16" t="str">
        <x:v>Y</x:v>
      </x:c>
      <x:c r="I363" s="16" t="str">
        <x:f>Coder_A!F363</x:f>
        <x:v>Sec. 3 Datasets; Appendix A; Table 2; Table 1; Appendix B</x:v>
      </x:c>
      <x:c r="J363" s="16" t="n">
        <x:f>Coder_B!F363</x:f>
        <x:v>0</x:v>
      </x:c>
    </x:row>
    <x:row r="364">
      <x:c r="A364" s="16" t="n">
        <x:v>363</x:v>
      </x:c>
      <x:c r="B364" s="16" t="str">
        <x:v>EXPERIMENT</x:v>
      </x:c>
      <x:c r="C364" s="16" t="str">
        <x:f>Coder_A!C364</x:f>
        <x:v>PILOT_01_E04</x:v>
      </x:c>
      <x:c r="D364" s="16" t="str">
        <x:v>preprocessing_code_available</x:v>
      </x:c>
      <x:c r="E364" s="16" t="str">
        <x:f>Coder_A!E364</x:f>
        <x:v>NR</x:v>
      </x:c>
      <x:c r="F364" s="16" t="n">
        <x:f>Coder_B!E364</x:f>
        <x:v>0</x:v>
      </x:c>
      <x:c r="G364" s="16" t="str">
        <x:f>IF(F364="","PENDING",IF(E364=F364,"AGREE","DISAGREE"))</x:f>
        <x:v>PENDING</x:v>
      </x:c>
      <x:c r="H364" s="16" t="str">
        <x:v>Y</x:v>
      </x:c>
      <x:c r="I364" s="16" t="str">
        <x:f>Coder_A!F364</x:f>
        <x:v>Sec. 3 Datasets; Appendix A; Table 2; Table 1; Appendix B</x:v>
      </x:c>
      <x:c r="J364" s="16" t="n">
        <x:f>Coder_B!F364</x:f>
        <x:v>0</x:v>
      </x:c>
    </x:row>
    <x:row r="365">
      <x:c r="A365" s="16" t="n">
        <x:v>364</x:v>
      </x:c>
      <x:c r="B365" s="16" t="str">
        <x:v>EXPERIMENT</x:v>
      </x:c>
      <x:c r="C365" s="16" t="str">
        <x:f>Coder_A!C365</x:f>
        <x:v>PILOT_01_E04</x:v>
      </x:c>
      <x:c r="D365" s="16" t="str">
        <x:v>split_type</x:v>
      </x:c>
      <x:c r="E365" s="16" t="str">
        <x:f>Coder_A!E365</x:f>
        <x:v>LEARNER_BASED</x:v>
      </x:c>
      <x:c r="F365" s="16" t="n">
        <x:f>Coder_B!E365</x:f>
        <x:v>0</x:v>
      </x:c>
      <x:c r="G365" s="16" t="str">
        <x:f>IF(F365="","PENDING",IF(E365=F365,"AGREE","DISAGREE"))</x:f>
        <x:v>PENDING</x:v>
      </x:c>
      <x:c r="H365" s="16" t="str">
        <x:v>Y</x:v>
      </x:c>
      <x:c r="I365" s="16" t="str">
        <x:f>Coder_A!F365</x:f>
        <x:v>Sec. 3 Datasets; Appendix A; Table 2; Table 1; Appendix B</x:v>
      </x:c>
      <x:c r="J365" s="16" t="n">
        <x:f>Coder_B!F365</x:f>
        <x:v>0</x:v>
      </x:c>
    </x:row>
    <x:row r="366">
      <x:c r="A366" s="16" t="n">
        <x:v>365</x:v>
      </x:c>
      <x:c r="B366" s="16" t="str">
        <x:v>EXPERIMENT</x:v>
      </x:c>
      <x:c r="C366" s="16" t="str">
        <x:f>Coder_A!C366</x:f>
        <x:v>PILOT_01_E04</x:v>
      </x:c>
      <x:c r="D366" s="16" t="str">
        <x:v>split_unit_original</x:v>
      </x:c>
      <x:c r="E366" s="16" t="str">
        <x:f>Coder_A!E366</x:f>
        <x:v>students</x:v>
      </x:c>
      <x:c r="F366" s="16" t="n">
        <x:f>Coder_B!E366</x:f>
        <x:v>0</x:v>
      </x:c>
      <x:c r="G366" s="16" t="str">
        <x:f>IF(F366="","PENDING",IF(E366=F366,"AGREE","DISAGREE"))</x:f>
        <x:v>PENDING</x:v>
      </x:c>
      <x:c r="H366" s="16" t="str">
        <x:v>N</x:v>
      </x:c>
      <x:c r="I366" s="16" t="str">
        <x:f>Coder_A!F366</x:f>
        <x:v>Sec. 3 Datasets; Appendix A; Table 2; Table 1; Appendix B</x:v>
      </x:c>
      <x:c r="J366" s="16" t="n">
        <x:f>Coder_B!F366</x:f>
        <x:v>0</x:v>
      </x:c>
    </x:row>
    <x:row r="367">
      <x:c r="A367" s="16" t="n">
        <x:v>366</x:v>
      </x:c>
      <x:c r="B367" s="16" t="str">
        <x:v>EXPERIMENT</x:v>
      </x:c>
      <x:c r="C367" s="16" t="str">
        <x:f>Coder_A!C367</x:f>
        <x:v>PILOT_01_E04</x:v>
      </x:c>
      <x:c r="D367" s="16" t="str">
        <x:v>train_fraction</x:v>
      </x:c>
      <x:c r="E367" s="16" t="n">
        <x:f>Coder_A!E367</x:f>
        <x:v>0.8</x:v>
      </x:c>
      <x:c r="F367" s="16" t="n">
        <x:f>Coder_B!E367</x:f>
        <x:v>0</x:v>
      </x:c>
      <x:c r="G367" s="16" t="str">
        <x:f>IF(F367="","PENDING",IF(E367=F367,"AGREE","DISAGREE"))</x:f>
        <x:v>PENDING</x:v>
      </x:c>
      <x:c r="H367" s="16" t="str">
        <x:v>N</x:v>
      </x:c>
      <x:c r="I367" s="16" t="str">
        <x:f>Coder_A!F367</x:f>
        <x:v>Sec. 3 Datasets; Appendix A; Table 2; Table 1; Appendix B</x:v>
      </x:c>
      <x:c r="J367" s="16" t="n">
        <x:f>Coder_B!F367</x:f>
        <x:v>0</x:v>
      </x:c>
    </x:row>
    <x:row r="368">
      <x:c r="A368" s="16" t="n">
        <x:v>367</x:v>
      </x:c>
      <x:c r="B368" s="16" t="str">
        <x:v>EXPERIMENT</x:v>
      </x:c>
      <x:c r="C368" s="16" t="str">
        <x:f>Coder_A!C368</x:f>
        <x:v>PILOT_01_E04</x:v>
      </x:c>
      <x:c r="D368" s="16" t="str">
        <x:v>validation_fraction</x:v>
      </x:c>
      <x:c r="E368" s="16" t="n">
        <x:f>Coder_A!E368</x:f>
        <x:v>0.1</x:v>
      </x:c>
      <x:c r="F368" s="16" t="n">
        <x:f>Coder_B!E368</x:f>
        <x:v>0</x:v>
      </x:c>
      <x:c r="G368" s="16" t="str">
        <x:f>IF(F368="","PENDING",IF(E368=F368,"AGREE","DISAGREE"))</x:f>
        <x:v>PENDING</x:v>
      </x:c>
      <x:c r="H368" s="16" t="str">
        <x:v>N</x:v>
      </x:c>
      <x:c r="I368" s="16" t="str">
        <x:f>Coder_A!F368</x:f>
        <x:v>Sec. 3 Datasets; Appendix A; Table 2; Table 1; Appendix B</x:v>
      </x:c>
      <x:c r="J368" s="16" t="n">
        <x:f>Coder_B!F368</x:f>
        <x:v>0</x:v>
      </x:c>
    </x:row>
    <x:row r="369">
      <x:c r="A369" s="16" t="n">
        <x:v>368</x:v>
      </x:c>
      <x:c r="B369" s="16" t="str">
        <x:v>EXPERIMENT</x:v>
      </x:c>
      <x:c r="C369" s="16" t="str">
        <x:f>Coder_A!C369</x:f>
        <x:v>PILOT_01_E04</x:v>
      </x:c>
      <x:c r="D369" s="16" t="str">
        <x:v>test_fraction</x:v>
      </x:c>
      <x:c r="E369" s="16" t="n">
        <x:f>Coder_A!E369</x:f>
        <x:v>0.1</x:v>
      </x:c>
      <x:c r="F369" s="16" t="n">
        <x:f>Coder_B!E369</x:f>
        <x:v>0</x:v>
      </x:c>
      <x:c r="G369" s="16" t="str">
        <x:f>IF(F369="","PENDING",IF(E369=F369,"AGREE","DISAGREE"))</x:f>
        <x:v>PENDING</x:v>
      </x:c>
      <x:c r="H369" s="16" t="str">
        <x:v>N</x:v>
      </x:c>
      <x:c r="I369" s="16" t="str">
        <x:f>Coder_A!F369</x:f>
        <x:v>Sec. 3 Datasets; Appendix A; Table 2; Table 1; Appendix B</x:v>
      </x:c>
      <x:c r="J369" s="16" t="n">
        <x:f>Coder_B!F369</x:f>
        <x:v>0</x:v>
      </x:c>
    </x:row>
    <x:row r="370">
      <x:c r="A370" s="16" t="n">
        <x:v>369</x:v>
      </x:c>
      <x:c r="B370" s="16" t="str">
        <x:v>EXPERIMENT</x:v>
      </x:c>
      <x:c r="C370" s="16" t="str">
        <x:f>Coder_A!C370</x:f>
        <x:v>PILOT_01_E04</x:v>
      </x:c>
      <x:c r="D370" s="16" t="str">
        <x:v>validation_set_separate</x:v>
      </x:c>
      <x:c r="E370" s="16" t="str">
        <x:f>Coder_A!E370</x:f>
        <x:v>Y</x:v>
      </x:c>
      <x:c r="F370" s="16" t="n">
        <x:f>Coder_B!E370</x:f>
        <x:v>0</x:v>
      </x:c>
      <x:c r="G370" s="16" t="str">
        <x:f>IF(F370="","PENDING",IF(E370=F370,"AGREE","DISAGREE"))</x:f>
        <x:v>PENDING</x:v>
      </x:c>
      <x:c r="H370" s="16" t="str">
        <x:v>Y</x:v>
      </x:c>
      <x:c r="I370" s="16" t="str">
        <x:f>Coder_A!F370</x:f>
        <x:v>Sec. 3 Datasets; Appendix A; Table 2; Table 1; Appendix B</x:v>
      </x:c>
      <x:c r="J370" s="16" t="n">
        <x:f>Coder_B!F370</x:f>
        <x:v>0</x:v>
      </x:c>
    </x:row>
    <x:row r="371">
      <x:c r="A371" s="16" t="n">
        <x:v>370</x:v>
      </x:c>
      <x:c r="B371" s="16" t="str">
        <x:v>EXPERIMENT</x:v>
      </x:c>
      <x:c r="C371" s="16" t="str">
        <x:f>Coder_A!C371</x:f>
        <x:v>PILOT_01_E04</x:v>
      </x:c>
      <x:c r="D371" s="16" t="str">
        <x:v>early_stopping_validation_only</x:v>
      </x:c>
      <x:c r="E371" s="16" t="str">
        <x:f>Coder_A!E371</x:f>
        <x:v>UNCLEAR</x:v>
      </x:c>
      <x:c r="F371" s="16" t="n">
        <x:f>Coder_B!E371</x:f>
        <x:v>0</x:v>
      </x:c>
      <x:c r="G371" s="16" t="str">
        <x:f>IF(F371="","PENDING",IF(E371=F371,"AGREE","DISAGREE"))</x:f>
        <x:v>PENDING</x:v>
      </x:c>
      <x:c r="H371" s="16" t="str">
        <x:v>Y</x:v>
      </x:c>
      <x:c r="I371" s="16" t="str">
        <x:f>Coder_A!F371</x:f>
        <x:v>Sec. 3 Datasets; Appendix A; Table 2; Table 1; Appendix B</x:v>
      </x:c>
      <x:c r="J371" s="16" t="n">
        <x:f>Coder_B!F371</x:f>
        <x:v>0</x:v>
      </x:c>
    </x:row>
    <x:row r="372">
      <x:c r="A372" s="16" t="n">
        <x:v>371</x:v>
      </x:c>
      <x:c r="B372" s="16" t="str">
        <x:v>EXPERIMENT</x:v>
      </x:c>
      <x:c r="C372" s="16" t="str">
        <x:f>Coder_A!C372</x:f>
        <x:v>PILOT_01_E04</x:v>
      </x:c>
      <x:c r="D372" s="16" t="str">
        <x:v>graph_train_only</x:v>
      </x:c>
      <x:c r="E372" s="16" t="str">
        <x:f>Coder_A!E372</x:f>
        <x:v>UNCLEAR</x:v>
      </x:c>
      <x:c r="F372" s="16" t="n">
        <x:f>Coder_B!E372</x:f>
        <x:v>0</x:v>
      </x:c>
      <x:c r="G372" s="16" t="str">
        <x:f>IF(F372="","PENDING",IF(E372=F372,"AGREE","DISAGREE"))</x:f>
        <x:v>PENDING</x:v>
      </x:c>
      <x:c r="H372" s="16" t="str">
        <x:v>Y</x:v>
      </x:c>
      <x:c r="I372" s="16" t="str">
        <x:f>Coder_A!F372</x:f>
        <x:v>Sec. 3 Datasets; Appendix A; Table 2; Table 1; Appendix B</x:v>
      </x:c>
      <x:c r="J372" s="16" t="n">
        <x:f>Coder_B!F372</x:f>
        <x:v>0</x:v>
      </x:c>
    </x:row>
    <x:row r="373">
      <x:c r="A373" s="16" t="n">
        <x:v>372</x:v>
      </x:c>
      <x:c r="B373" s="16" t="str">
        <x:v>EXPERIMENT</x:v>
      </x:c>
      <x:c r="C373" s="16" t="str">
        <x:f>Coder_A!C373</x:f>
        <x:v>PILOT_01_E04</x:v>
      </x:c>
      <x:c r="D373" s="16" t="str">
        <x:v>normalization_train_only</x:v>
      </x:c>
      <x:c r="E373" s="16" t="str">
        <x:f>Coder_A!E373</x:f>
        <x:v>NR</x:v>
      </x:c>
      <x:c r="F373" s="16" t="n">
        <x:f>Coder_B!E373</x:f>
        <x:v>0</x:v>
      </x:c>
      <x:c r="G373" s="16" t="str">
        <x:f>IF(F373="","PENDING",IF(E373=F373,"AGREE","DISAGREE"))</x:f>
        <x:v>PENDING</x:v>
      </x:c>
      <x:c r="H373" s="16" t="str">
        <x:v>Y</x:v>
      </x:c>
      <x:c r="I373" s="16" t="str">
        <x:f>Coder_A!F373</x:f>
        <x:v>Sec. 3 Datasets; Appendix A; Table 2; Table 1; Appendix B</x:v>
      </x:c>
      <x:c r="J373" s="16" t="n">
        <x:f>Coder_B!F373</x:f>
        <x:v>0</x:v>
      </x:c>
    </x:row>
    <x:row r="374">
      <x:c r="A374" s="16" t="n">
        <x:v>373</x:v>
      </x:c>
      <x:c r="B374" s="16" t="str">
        <x:v>EXPERIMENT</x:v>
      </x:c>
      <x:c r="C374" s="16" t="str">
        <x:f>Coder_A!C374</x:f>
        <x:v>PILOT_01_E04</x:v>
      </x:c>
      <x:c r="D374" s="16" t="str">
        <x:v>sparse_strata_train_only</x:v>
      </x:c>
      <x:c r="E374" s="16" t="str">
        <x:f>Coder_A!E374</x:f>
        <x:v>NA</x:v>
      </x:c>
      <x:c r="F374" s="16" t="n">
        <x:f>Coder_B!E374</x:f>
        <x:v>0</x:v>
      </x:c>
      <x:c r="G374" s="16" t="str">
        <x:f>IF(F374="","PENDING",IF(E374=F374,"AGREE","DISAGREE"))</x:f>
        <x:v>PENDING</x:v>
      </x:c>
      <x:c r="H374" s="16" t="str">
        <x:v>Y</x:v>
      </x:c>
      <x:c r="I374" s="16" t="str">
        <x:f>Coder_A!F374</x:f>
        <x:v>Sec. 3 Datasets; Appendix A; Table 2; Table 1; Appendix B</x:v>
      </x:c>
      <x:c r="J374" s="16" t="n">
        <x:f>Coder_B!F374</x:f>
        <x:v>0</x:v>
      </x:c>
    </x:row>
    <x:row r="375">
      <x:c r="A375" s="16" t="n">
        <x:v>374</x:v>
      </x:c>
      <x:c r="B375" s="16" t="str">
        <x:v>EXPERIMENT</x:v>
      </x:c>
      <x:c r="C375" s="16" t="str">
        <x:f>Coder_A!C375</x:f>
        <x:v>PILOT_01_E04</x:v>
      </x:c>
      <x:c r="D375" s="16" t="str">
        <x:v>temporal_alignment_audited</x:v>
      </x:c>
      <x:c r="E375" s="16" t="str">
        <x:f>Coder_A!E375</x:f>
        <x:v>NR</x:v>
      </x:c>
      <x:c r="F375" s="16" t="n">
        <x:f>Coder_B!E375</x:f>
        <x:v>0</x:v>
      </x:c>
      <x:c r="G375" s="16" t="str">
        <x:f>IF(F375="","PENDING",IF(E375=F375,"AGREE","DISAGREE"))</x:f>
        <x:v>PENDING</x:v>
      </x:c>
      <x:c r="H375" s="16" t="str">
        <x:v>Y</x:v>
      </x:c>
      <x:c r="I375" s="16" t="str">
        <x:f>Coder_A!F375</x:f>
        <x:v>Sec. 3 Datasets; Appendix A; Table 2; Table 1; Appendix B</x:v>
      </x:c>
      <x:c r="J375" s="16" t="n">
        <x:f>Coder_B!F375</x:f>
        <x:v>0</x:v>
      </x:c>
    </x:row>
    <x:row r="376">
      <x:c r="A376" s="16" t="n">
        <x:v>375</x:v>
      </x:c>
      <x:c r="B376" s="16" t="str">
        <x:v>EXPERIMENT</x:v>
      </x:c>
      <x:c r="C376" s="16" t="str">
        <x:f>Coder_A!C376</x:f>
        <x:v>PILOT_01_E04</x:v>
      </x:c>
      <x:c r="D376" s="16" t="str">
        <x:v>duplicate_entity_leakage_checked</x:v>
      </x:c>
      <x:c r="E376" s="16" t="str">
        <x:f>Coder_A!E376</x:f>
        <x:v>NR</x:v>
      </x:c>
      <x:c r="F376" s="16" t="n">
        <x:f>Coder_B!E376</x:f>
        <x:v>0</x:v>
      </x:c>
      <x:c r="G376" s="16" t="str">
        <x:f>IF(F376="","PENDING",IF(E376=F376,"AGREE","DISAGREE"))</x:f>
        <x:v>PENDING</x:v>
      </x:c>
      <x:c r="H376" s="16" t="str">
        <x:v>Y</x:v>
      </x:c>
      <x:c r="I376" s="16" t="str">
        <x:f>Coder_A!F376</x:f>
        <x:v>Sec. 3 Datasets; Appendix A; Table 2; Table 1; Appendix B</x:v>
      </x:c>
      <x:c r="J376" s="16" t="n">
        <x:f>Coder_B!F376</x:f>
        <x:v>0</x:v>
      </x:c>
    </x:row>
    <x:row r="377">
      <x:c r="A377" s="16" t="n">
        <x:v>376</x:v>
      </x:c>
      <x:c r="B377" s="16" t="str">
        <x:v>EXPERIMENT</x:v>
      </x:c>
      <x:c r="C377" s="16" t="str">
        <x:f>Coder_A!C377</x:f>
        <x:v>PILOT_01_E04</x:v>
      </x:c>
      <x:c r="D377" s="16" t="str">
        <x:v>sparsity_construct</x:v>
      </x:c>
      <x:c r="E377" s="16" t="str">
        <x:f>Coder_A!E377</x:f>
        <x:v>NO_EXPLICIT_FOCUS</x:v>
      </x:c>
      <x:c r="F377" s="16" t="n">
        <x:f>Coder_B!E377</x:f>
        <x:v>0</x:v>
      </x:c>
      <x:c r="G377" s="16" t="str">
        <x:f>IF(F377="","PENDING",IF(E377=F377,"AGREE","DISAGREE"))</x:f>
        <x:v>PENDING</x:v>
      </x:c>
      <x:c r="H377" s="16" t="str">
        <x:v>Y</x:v>
      </x:c>
      <x:c r="I377" s="16" t="str">
        <x:f>Coder_A!F377</x:f>
        <x:v>Sec. 3 Datasets; Appendix A; Table 2; Table 1; Appendix B</x:v>
      </x:c>
      <x:c r="J377" s="16" t="n">
        <x:f>Coder_B!F377</x:f>
        <x:v>0</x:v>
      </x:c>
    </x:row>
    <x:row r="378">
      <x:c r="A378" s="16" t="n">
        <x:v>377</x:v>
      </x:c>
      <x:c r="B378" s="16" t="str">
        <x:v>EXPERIMENT</x:v>
      </x:c>
      <x:c r="C378" s="16" t="str">
        <x:f>Coder_A!C378</x:f>
        <x:v>PILOT_01_E04</x:v>
      </x:c>
      <x:c r="D378" s="16" t="str">
        <x:v>sparse_definition_original</x:v>
      </x:c>
      <x:c r="E378" s="16" t="str">
        <x:f>Coder_A!E378</x:f>
        <x:v>NA</x:v>
      </x:c>
      <x:c r="F378" s="16" t="n">
        <x:f>Coder_B!E378</x:f>
        <x:v>0</x:v>
      </x:c>
      <x:c r="G378" s="16" t="str">
        <x:f>IF(F378="","PENDING",IF(E378=F378,"AGREE","DISAGREE"))</x:f>
        <x:v>PENDING</x:v>
      </x:c>
      <x:c r="H378" s="16" t="str">
        <x:v>N</x:v>
      </x:c>
      <x:c r="I378" s="16" t="str">
        <x:f>Coder_A!F378</x:f>
        <x:v>Sec. 3 Datasets; Appendix A; Table 2; Table 1; Appendix B</x:v>
      </x:c>
      <x:c r="J378" s="16" t="n">
        <x:f>Coder_B!F378</x:f>
        <x:v>0</x:v>
      </x:c>
    </x:row>
    <x:row r="379">
      <x:c r="A379" s="16" t="n">
        <x:v>378</x:v>
      </x:c>
      <x:c r="B379" s="16" t="str">
        <x:v>EXPERIMENT</x:v>
      </x:c>
      <x:c r="C379" s="16" t="str">
        <x:f>Coder_A!C379</x:f>
        <x:v>PILOT_01_E04</x:v>
      </x:c>
      <x:c r="D379" s="16" t="str">
        <x:v>sparse_threshold_original</x:v>
      </x:c>
      <x:c r="E379" s="16" t="str">
        <x:f>Coder_A!E379</x:f>
        <x:v>NA</x:v>
      </x:c>
      <x:c r="F379" s="16" t="n">
        <x:f>Coder_B!E379</x:f>
        <x:v>0</x:v>
      </x:c>
      <x:c r="G379" s="16" t="str">
        <x:f>IF(F379="","PENDING",IF(E379=F379,"AGREE","DISAGREE"))</x:f>
        <x:v>PENDING</x:v>
      </x:c>
      <x:c r="H379" s="16" t="str">
        <x:v>N</x:v>
      </x:c>
      <x:c r="I379" s="16" t="str">
        <x:f>Coder_A!F379</x:f>
        <x:v>Sec. 3 Datasets; Appendix A; Table 2; Table 1; Appendix B</x:v>
      </x:c>
      <x:c r="J379" s="16" t="n">
        <x:f>Coder_B!F379</x:f>
        <x:v>0</x:v>
      </x:c>
    </x:row>
    <x:row r="380">
      <x:c r="A380" s="16" t="n">
        <x:v>379</x:v>
      </x:c>
      <x:c r="B380" s="16" t="str">
        <x:v>EXPERIMENT</x:v>
      </x:c>
      <x:c r="C380" s="16" t="str">
        <x:f>Coder_A!C380</x:f>
        <x:v>PILOT_01_E04</x:v>
      </x:c>
      <x:c r="D380" s="16" t="str">
        <x:v>threshold_source</x:v>
      </x:c>
      <x:c r="E380" s="16" t="str">
        <x:f>Coder_A!E380</x:f>
        <x:v>NA</x:v>
      </x:c>
      <x:c r="F380" s="16" t="n">
        <x:f>Coder_B!E380</x:f>
        <x:v>0</x:v>
      </x:c>
      <x:c r="G380" s="16" t="str">
        <x:f>IF(F380="","PENDING",IF(E380=F380,"AGREE","DISAGREE"))</x:f>
        <x:v>PENDING</x:v>
      </x:c>
      <x:c r="H380" s="16" t="str">
        <x:v>Y</x:v>
      </x:c>
      <x:c r="I380" s="16" t="str">
        <x:f>Coder_A!F380</x:f>
        <x:v>Sec. 3 Datasets; Appendix A; Table 2; Table 1; Appendix B</x:v>
      </x:c>
      <x:c r="J380" s="16" t="n">
        <x:f>Coder_B!F380</x:f>
        <x:v>0</x:v>
      </x:c>
    </x:row>
    <x:row r="381">
      <x:c r="A381" s="16" t="n">
        <x:v>380</x:v>
      </x:c>
      <x:c r="B381" s="16" t="str">
        <x:v>EXPERIMENT</x:v>
      </x:c>
      <x:c r="C381" s="16" t="str">
        <x:f>Coder_A!C381</x:f>
        <x:v>PILOT_01_E04</x:v>
      </x:c>
      <x:c r="D381" s="16" t="str">
        <x:v>frequency_computed_on</x:v>
      </x:c>
      <x:c r="E381" s="16" t="str">
        <x:f>Coder_A!E381</x:f>
        <x:v>NA</x:v>
      </x:c>
      <x:c r="F381" s="16" t="n">
        <x:f>Coder_B!E381</x:f>
        <x:v>0</x:v>
      </x:c>
      <x:c r="G381" s="16" t="str">
        <x:f>IF(F381="","PENDING",IF(E381=F381,"AGREE","DISAGREE"))</x:f>
        <x:v>PENDING</x:v>
      </x:c>
      <x:c r="H381" s="16" t="str">
        <x:v>Y</x:v>
      </x:c>
      <x:c r="I381" s="16" t="str">
        <x:f>Coder_A!F381</x:f>
        <x:v>Sec. 3 Datasets; Appendix A; Table 2; Table 1; Appendix B</x:v>
      </x:c>
      <x:c r="J381" s="16" t="n">
        <x:f>Coder_B!F381</x:f>
        <x:v>0</x:v>
      </x:c>
    </x:row>
    <x:row r="382">
      <x:c r="A382" s="16" t="n">
        <x:v>381</x:v>
      </x:c>
      <x:c r="B382" s="16" t="str">
        <x:v>EXPERIMENT</x:v>
      </x:c>
      <x:c r="C382" s="16" t="str">
        <x:f>Coder_A!C382</x:f>
        <x:v>PILOT_01_E04</x:v>
      </x:c>
      <x:c r="D382" s="16" t="str">
        <x:v>strict_zero_train_verified</x:v>
      </x:c>
      <x:c r="E382" s="16" t="str">
        <x:f>Coder_A!E382</x:f>
        <x:v>NA</x:v>
      </x:c>
      <x:c r="F382" s="16" t="n">
        <x:f>Coder_B!E382</x:f>
        <x:v>0</x:v>
      </x:c>
      <x:c r="G382" s="16" t="str">
        <x:f>IF(F382="","PENDING",IF(E382=F382,"AGREE","DISAGREE"))</x:f>
        <x:v>PENDING</x:v>
      </x:c>
      <x:c r="H382" s="16" t="str">
        <x:v>Y</x:v>
      </x:c>
      <x:c r="I382" s="16" t="str">
        <x:f>Coder_A!F382</x:f>
        <x:v>Sec. 3 Datasets; Appendix A; Table 2; Table 1; Appendix B</x:v>
      </x:c>
      <x:c r="J382" s="16" t="n">
        <x:f>Coder_B!F382</x:f>
        <x:v>0</x:v>
      </x:c>
    </x:row>
    <x:row r="383">
      <x:c r="A383" s="16" t="n">
        <x:v>382</x:v>
      </x:c>
      <x:c r="B383" s="16" t="str">
        <x:v>EXPERIMENT</x:v>
      </x:c>
      <x:c r="C383" s="16" t="str">
        <x:f>Coder_A!C383</x:f>
        <x:v>PILOT_01_E04</x:v>
      </x:c>
      <x:c r="D383" s="16" t="str">
        <x:v>external_info_for_unseen_kc</x:v>
      </x:c>
      <x:c r="E383" s="16" t="str">
        <x:f>Coder_A!E383</x:f>
        <x:v>NA</x:v>
      </x:c>
      <x:c r="F383" s="16" t="n">
        <x:f>Coder_B!E383</x:f>
        <x:v>0</x:v>
      </x:c>
      <x:c r="G383" s="16" t="str">
        <x:f>IF(F383="","PENDING",IF(E383=F383,"AGREE","DISAGREE"))</x:f>
        <x:v>PENDING</x:v>
      </x:c>
      <x:c r="H383" s="16" t="str">
        <x:v>Y</x:v>
      </x:c>
      <x:c r="I383" s="16" t="str">
        <x:f>Coder_A!F383</x:f>
        <x:v>Sec. 3 Datasets; Appendix A; Table 2; Table 1; Appendix B</x:v>
      </x:c>
      <x:c r="J383" s="16" t="n">
        <x:f>Coder_B!F383</x:f>
        <x:v>0</x:v>
      </x:c>
    </x:row>
    <x:row r="384">
      <x:c r="A384" s="16" t="n">
        <x:v>383</x:v>
      </x:c>
      <x:c r="B384" s="16" t="str">
        <x:v>EXPERIMENT</x:v>
      </x:c>
      <x:c r="C384" s="16" t="str">
        <x:f>Coder_A!C384</x:f>
        <x:v>PILOT_01_E04</x:v>
      </x:c>
      <x:c r="D384" s="16" t="str">
        <x:v>support_kcs</x:v>
      </x:c>
      <x:c r="E384" s="16" t="str">
        <x:f>Coder_A!E384</x:f>
        <x:v>NA</x:v>
      </x:c>
      <x:c r="F384" s="16" t="n">
        <x:f>Coder_B!E384</x:f>
        <x:v>0</x:v>
      </x:c>
      <x:c r="G384" s="16" t="str">
        <x:f>IF(F384="","PENDING",IF(E384=F384,"AGREE","DISAGREE"))</x:f>
        <x:v>PENDING</x:v>
      </x:c>
      <x:c r="H384" s="16" t="str">
        <x:v>N</x:v>
      </x:c>
      <x:c r="I384" s="16" t="str">
        <x:f>Coder_A!F384</x:f>
        <x:v>Sec. 3 Datasets; Appendix A; Table 2; Table 1; Appendix B</x:v>
      </x:c>
      <x:c r="J384" s="16" t="n">
        <x:f>Coder_B!F384</x:f>
        <x:v>0</x:v>
      </x:c>
    </x:row>
    <x:row r="385">
      <x:c r="A385" s="16" t="n">
        <x:v>384</x:v>
      </x:c>
      <x:c r="B385" s="16" t="str">
        <x:v>EXPERIMENT</x:v>
      </x:c>
      <x:c r="C385" s="16" t="str">
        <x:f>Coder_A!C385</x:f>
        <x:v>PILOT_01_E04</x:v>
      </x:c>
      <x:c r="D385" s="16" t="str">
        <x:v>support_learners</x:v>
      </x:c>
      <x:c r="E385" s="16" t="str">
        <x:f>Coder_A!E385</x:f>
        <x:v>NA</x:v>
      </x:c>
      <x:c r="F385" s="16" t="n">
        <x:f>Coder_B!E385</x:f>
        <x:v>0</x:v>
      </x:c>
      <x:c r="G385" s="16" t="str">
        <x:f>IF(F385="","PENDING",IF(E385=F385,"AGREE","DISAGREE"))</x:f>
        <x:v>PENDING</x:v>
      </x:c>
      <x:c r="H385" s="16" t="str">
        <x:v>N</x:v>
      </x:c>
      <x:c r="I385" s="16" t="str">
        <x:f>Coder_A!F385</x:f>
        <x:v>Sec. 3 Datasets; Appendix A; Table 2; Table 1; Appendix B</x:v>
      </x:c>
      <x:c r="J385" s="16" t="n">
        <x:f>Coder_B!F385</x:f>
        <x:v>0</x:v>
      </x:c>
    </x:row>
    <x:row r="386">
      <x:c r="A386" s="16" t="n">
        <x:v>385</x:v>
      </x:c>
      <x:c r="B386" s="16" t="str">
        <x:v>EXPERIMENT</x:v>
      </x:c>
      <x:c r="C386" s="16" t="str">
        <x:f>Coder_A!C386</x:f>
        <x:v>PILOT_01_E04</x:v>
      </x:c>
      <x:c r="D386" s="16" t="str">
        <x:v>support_items</x:v>
      </x:c>
      <x:c r="E386" s="16" t="str">
        <x:f>Coder_A!E386</x:f>
        <x:v>NA</x:v>
      </x:c>
      <x:c r="F386" s="16" t="n">
        <x:f>Coder_B!E386</x:f>
        <x:v>0</x:v>
      </x:c>
      <x:c r="G386" s="16" t="str">
        <x:f>IF(F386="","PENDING",IF(E386=F386,"AGREE","DISAGREE"))</x:f>
        <x:v>PENDING</x:v>
      </x:c>
      <x:c r="H386" s="16" t="str">
        <x:v>N</x:v>
      </x:c>
      <x:c r="I386" s="16" t="str">
        <x:f>Coder_A!F386</x:f>
        <x:v>Sec. 3 Datasets; Appendix A; Table 2; Table 1; Appendix B</x:v>
      </x:c>
      <x:c r="J386" s="16" t="n">
        <x:f>Coder_B!F386</x:f>
        <x:v>0</x:v>
      </x:c>
    </x:row>
    <x:row r="387">
      <x:c r="A387" s="16" t="n">
        <x:v>386</x:v>
      </x:c>
      <x:c r="B387" s="16" t="str">
        <x:v>EXPERIMENT</x:v>
      </x:c>
      <x:c r="C387" s="16" t="str">
        <x:f>Coder_A!C387</x:f>
        <x:v>PILOT_01_E04</x:v>
      </x:c>
      <x:c r="D387" s="16" t="str">
        <x:v>support_test_interactions</x:v>
      </x:c>
      <x:c r="E387" s="16" t="str">
        <x:f>Coder_A!E387</x:f>
        <x:v>NA</x:v>
      </x:c>
      <x:c r="F387" s="16" t="n">
        <x:f>Coder_B!E387</x:f>
        <x:v>0</x:v>
      </x:c>
      <x:c r="G387" s="16" t="str">
        <x:f>IF(F387="","PENDING",IF(E387=F387,"AGREE","DISAGREE"))</x:f>
        <x:v>PENDING</x:v>
      </x:c>
      <x:c r="H387" s="16" t="str">
        <x:v>N</x:v>
      </x:c>
      <x:c r="I387" s="16" t="str">
        <x:f>Coder_A!F387</x:f>
        <x:v>Sec. 3 Datasets; Appendix A; Table 2; Table 1; Appendix B</x:v>
      </x:c>
      <x:c r="J387" s="16" t="n">
        <x:f>Coder_B!F387</x:f>
        <x:v>0</x:v>
      </x:c>
    </x:row>
    <x:row r="388">
      <x:c r="A388" s="16" t="n">
        <x:v>387</x:v>
      </x:c>
      <x:c r="B388" s="16" t="str">
        <x:v>EXPERIMENT</x:v>
      </x:c>
      <x:c r="C388" s="16" t="str">
        <x:f>Coder_A!C388</x:f>
        <x:v>PILOT_01_E04</x:v>
      </x:c>
      <x:c r="D388" s="16" t="str">
        <x:v>positive_count</x:v>
      </x:c>
      <x:c r="E388" s="16" t="str">
        <x:f>Coder_A!E388</x:f>
        <x:v>NA</x:v>
      </x:c>
      <x:c r="F388" s="16" t="n">
        <x:f>Coder_B!E388</x:f>
        <x:v>0</x:v>
      </x:c>
      <x:c r="G388" s="16" t="str">
        <x:f>IF(F388="","PENDING",IF(E388=F388,"AGREE","DISAGREE"))</x:f>
        <x:v>PENDING</x:v>
      </x:c>
      <x:c r="H388" s="16" t="str">
        <x:v>N</x:v>
      </x:c>
      <x:c r="I388" s="16" t="str">
        <x:f>Coder_A!F388</x:f>
        <x:v>Sec. 3 Datasets; Appendix A; Table 2; Table 1; Appendix B</x:v>
      </x:c>
      <x:c r="J388" s="16" t="n">
        <x:f>Coder_B!F388</x:f>
        <x:v>0</x:v>
      </x:c>
    </x:row>
    <x:row r="389">
      <x:c r="A389" s="16" t="n">
        <x:v>388</x:v>
      </x:c>
      <x:c r="B389" s="16" t="str">
        <x:v>EXPERIMENT</x:v>
      </x:c>
      <x:c r="C389" s="16" t="str">
        <x:f>Coder_A!C389</x:f>
        <x:v>PILOT_01_E04</x:v>
      </x:c>
      <x:c r="D389" s="16" t="str">
        <x:v>negative_count</x:v>
      </x:c>
      <x:c r="E389" s="16" t="str">
        <x:f>Coder_A!E389</x:f>
        <x:v>NA</x:v>
      </x:c>
      <x:c r="F389" s="16" t="n">
        <x:f>Coder_B!E389</x:f>
        <x:v>0</x:v>
      </x:c>
      <x:c r="G389" s="16" t="str">
        <x:f>IF(F389="","PENDING",IF(E389=F389,"AGREE","DISAGREE"))</x:f>
        <x:v>PENDING</x:v>
      </x:c>
      <x:c r="H389" s="16" t="str">
        <x:v>N</x:v>
      </x:c>
      <x:c r="I389" s="16" t="str">
        <x:f>Coder_A!F389</x:f>
        <x:v>Sec. 3 Datasets; Appendix A; Table 2; Table 1; Appendix B</x:v>
      </x:c>
      <x:c r="J389" s="16" t="n">
        <x:f>Coder_B!F389</x:f>
        <x:v>0</x:v>
      </x:c>
    </x:row>
    <x:row r="390">
      <x:c r="A390" s="16" t="n">
        <x:v>389</x:v>
      </x:c>
      <x:c r="B390" s="16" t="str">
        <x:v>EXPERIMENT</x:v>
      </x:c>
      <x:c r="C390" s="16" t="str">
        <x:f>Coder_A!C390</x:f>
        <x:v>PILOT_01_E04</x:v>
      </x:c>
      <x:c r="D390" s="16" t="str">
        <x:v>metric_name_original</x:v>
      </x:c>
      <x:c r="E390" s="16" t="str">
        <x:f>Coder_A!E390</x:f>
        <x:v>AUC</x:v>
      </x:c>
      <x:c r="F390" s="16" t="n">
        <x:f>Coder_B!E390</x:f>
        <x:v>0</x:v>
      </x:c>
      <x:c r="G390" s="16" t="str">
        <x:f>IF(F390="","PENDING",IF(E390=F390,"AGREE","DISAGREE"))</x:f>
        <x:v>PENDING</x:v>
      </x:c>
      <x:c r="H390" s="16" t="str">
        <x:v>N</x:v>
      </x:c>
      <x:c r="I390" s="16" t="str">
        <x:f>Coder_A!F390</x:f>
        <x:v>Sec. 3 Datasets; Appendix A; Table 2; Table 1; Appendix B</x:v>
      </x:c>
      <x:c r="J390" s="16" t="n">
        <x:f>Coder_B!F390</x:f>
        <x:v>0</x:v>
      </x:c>
    </x:row>
    <x:row r="391">
      <x:c r="A391" s="16" t="n">
        <x:v>390</x:v>
      </x:c>
      <x:c r="B391" s="16" t="str">
        <x:v>EXPERIMENT</x:v>
      </x:c>
      <x:c r="C391" s="16" t="str">
        <x:f>Coder_A!C391</x:f>
        <x:v>PILOT_01_E04</x:v>
      </x:c>
      <x:c r="D391" s="16" t="str">
        <x:v>metric_value_original</x:v>
      </x:c>
      <x:c r="E391" s="16" t="n">
        <x:f>Coder_A!E391</x:f>
        <x:v>0.769</x:v>
      </x:c>
      <x:c r="F391" s="16" t="n">
        <x:f>Coder_B!E391</x:f>
        <x:v>0</x:v>
      </x:c>
      <x:c r="G391" s="16" t="str">
        <x:f>IF(F391="","PENDING",IF(E391=F391,"AGREE","DISAGREE"))</x:f>
        <x:v>PENDING</x:v>
      </x:c>
      <x:c r="H391" s="16" t="str">
        <x:v>N</x:v>
      </x:c>
      <x:c r="I391" s="16" t="str">
        <x:f>Coder_A!F391</x:f>
        <x:v>Sec. 3 Datasets; Appendix A; Table 2; Table 1; Appendix B</x:v>
      </x:c>
      <x:c r="J391" s="16" t="n">
        <x:f>Coder_B!F391</x:f>
        <x:v>0</x:v>
      </x:c>
    </x:row>
    <x:row r="392">
      <x:c r="A392" s="16" t="n">
        <x:v>391</x:v>
      </x:c>
      <x:c r="B392" s="16" t="str">
        <x:v>EXPERIMENT</x:v>
      </x:c>
      <x:c r="C392" s="16" t="str">
        <x:f>Coder_A!C392</x:f>
        <x:v>PILOT_01_E04</x:v>
      </x:c>
      <x:c r="D392" s="16" t="str">
        <x:v>metric_scope</x:v>
      </x:c>
      <x:c r="E392" s="16" t="str">
        <x:f>Coder_A!E392</x:f>
        <x:v>OVERALL</x:v>
      </x:c>
      <x:c r="F392" s="16" t="n">
        <x:f>Coder_B!E392</x:f>
        <x:v>0</x:v>
      </x:c>
      <x:c r="G392" s="16" t="str">
        <x:f>IF(F392="","PENDING",IF(E392=F392,"AGREE","DISAGREE"))</x:f>
        <x:v>PENDING</x:v>
      </x:c>
      <x:c r="H392" s="16" t="str">
        <x:v>Y</x:v>
      </x:c>
      <x:c r="I392" s="16" t="str">
        <x:f>Coder_A!F392</x:f>
        <x:v>Sec. 3 Datasets; Appendix A; Table 2; Table 1; Appendix B</x:v>
      </x:c>
      <x:c r="J392" s="16" t="n">
        <x:f>Coder_B!F392</x:f>
        <x:v>0</x:v>
      </x:c>
    </x:row>
    <x:row r="393">
      <x:c r="A393" s="16" t="n">
        <x:v>392</x:v>
      </x:c>
      <x:c r="B393" s="16" t="str">
        <x:v>EXPERIMENT</x:v>
      </x:c>
      <x:c r="C393" s="16" t="str">
        <x:f>Coder_A!C393</x:f>
        <x:v>PILOT_01_E04</x:v>
      </x:c>
      <x:c r="D393" s="16" t="str">
        <x:v>n_seeds</x:v>
      </x:c>
      <x:c r="E393" s="16" t="str">
        <x:f>Coder_A!E393</x:f>
        <x:v>NR</x:v>
      </x:c>
      <x:c r="F393" s="16" t="n">
        <x:f>Coder_B!E393</x:f>
        <x:v>0</x:v>
      </x:c>
      <x:c r="G393" s="16" t="str">
        <x:f>IF(F393="","PENDING",IF(E393=F393,"AGREE","DISAGREE"))</x:f>
        <x:v>PENDING</x:v>
      </x:c>
      <x:c r="H393" s="16" t="str">
        <x:v>N</x:v>
      </x:c>
      <x:c r="I393" s="16" t="str">
        <x:f>Coder_A!F393</x:f>
        <x:v>Sec. 3 Datasets; Appendix A; Table 2; Table 1; Appendix B</x:v>
      </x:c>
      <x:c r="J393" s="16" t="n">
        <x:f>Coder_B!F393</x:f>
        <x:v>0</x:v>
      </x:c>
    </x:row>
    <x:row r="394">
      <x:c r="A394" s="16" t="n">
        <x:v>393</x:v>
      </x:c>
      <x:c r="B394" s="16" t="str">
        <x:v>EXPERIMENT</x:v>
      </x:c>
      <x:c r="C394" s="16" t="str">
        <x:f>Coder_A!C394</x:f>
        <x:v>PILOT_01_E04</x:v>
      </x:c>
      <x:c r="D394" s="16" t="str">
        <x:v>seed_values_reported</x:v>
      </x:c>
      <x:c r="E394" s="16" t="str">
        <x:f>Coder_A!E394</x:f>
        <x:v>NR</x:v>
      </x:c>
      <x:c r="F394" s="16" t="n">
        <x:f>Coder_B!E394</x:f>
        <x:v>0</x:v>
      </x:c>
      <x:c r="G394" s="16" t="str">
        <x:f>IF(F394="","PENDING",IF(E394=F394,"AGREE","DISAGREE"))</x:f>
        <x:v>PENDING</x:v>
      </x:c>
      <x:c r="H394" s="16" t="str">
        <x:v>N</x:v>
      </x:c>
      <x:c r="I394" s="16" t="str">
        <x:f>Coder_A!F394</x:f>
        <x:v>Sec. 3 Datasets; Appendix A; Table 2; Table 1; Appendix B</x:v>
      </x:c>
      <x:c r="J394" s="16" t="n">
        <x:f>Coder_B!F394</x:f>
        <x:v>0</x:v>
      </x:c>
    </x:row>
    <x:row r="395">
      <x:c r="A395" s="16" t="n">
        <x:v>394</x:v>
      </x:c>
      <x:c r="B395" s="16" t="str">
        <x:v>EXPERIMENT</x:v>
      </x:c>
      <x:c r="C395" s="16" t="str">
        <x:f>Coder_A!C395</x:f>
        <x:v>PILOT_01_E04</x:v>
      </x:c>
      <x:c r="D395" s="16" t="str">
        <x:v>mean_std_reported</x:v>
      </x:c>
      <x:c r="E395" s="16" t="str">
        <x:f>Coder_A!E395</x:f>
        <x:v>N</x:v>
      </x:c>
      <x:c r="F395" s="16" t="n">
        <x:f>Coder_B!E395</x:f>
        <x:v>0</x:v>
      </x:c>
      <x:c r="G395" s="16" t="str">
        <x:f>IF(F395="","PENDING",IF(E395=F395,"AGREE","DISAGREE"))</x:f>
        <x:v>PENDING</x:v>
      </x:c>
      <x:c r="H395" s="16" t="str">
        <x:v>Y</x:v>
      </x:c>
      <x:c r="I395" s="16" t="str">
        <x:f>Coder_A!F395</x:f>
        <x:v>Sec. 3 Datasets; Appendix A; Table 2; Table 1; Appendix B</x:v>
      </x:c>
      <x:c r="J395" s="16" t="n">
        <x:f>Coder_B!F395</x:f>
        <x:v>0</x:v>
      </x:c>
    </x:row>
    <x:row r="396">
      <x:c r="A396" s="16" t="n">
        <x:v>395</x:v>
      </x:c>
      <x:c r="B396" s="16" t="str">
        <x:v>EXPERIMENT</x:v>
      </x:c>
      <x:c r="C396" s="16" t="str">
        <x:f>Coder_A!C396</x:f>
        <x:v>PILOT_01_E04</x:v>
      </x:c>
      <x:c r="D396" s="16" t="str">
        <x:v>confidence_interval</x:v>
      </x:c>
      <x:c r="E396" s="16" t="str">
        <x:f>Coder_A!E396</x:f>
        <x:v>NR</x:v>
      </x:c>
      <x:c r="F396" s="16" t="n">
        <x:f>Coder_B!E396</x:f>
        <x:v>0</x:v>
      </x:c>
      <x:c r="G396" s="16" t="str">
        <x:f>IF(F396="","PENDING",IF(E396=F396,"AGREE","DISAGREE"))</x:f>
        <x:v>PENDING</x:v>
      </x:c>
      <x:c r="H396" s="16" t="str">
        <x:v>N</x:v>
      </x:c>
      <x:c r="I396" s="16" t="str">
        <x:f>Coder_A!F396</x:f>
        <x:v>Sec. 3 Datasets; Appendix A; Table 2; Table 1; Appendix B</x:v>
      </x:c>
      <x:c r="J396" s="16" t="n">
        <x:f>Coder_B!F396</x:f>
        <x:v>0</x:v>
      </x:c>
    </x:row>
    <x:row r="397">
      <x:c r="A397" s="16" t="n">
        <x:v>396</x:v>
      </x:c>
      <x:c r="B397" s="16" t="str">
        <x:v>EXPERIMENT</x:v>
      </x:c>
      <x:c r="C397" s="16" t="str">
        <x:f>Coder_A!C397</x:f>
        <x:v>PILOT_01_E04</x:v>
      </x:c>
      <x:c r="D397" s="16" t="str">
        <x:v>bootstrap_unit</x:v>
      </x:c>
      <x:c r="E397" s="16" t="str">
        <x:f>Coder_A!E397</x:f>
        <x:v>NA</x:v>
      </x:c>
      <x:c r="F397" s="16" t="n">
        <x:f>Coder_B!E397</x:f>
        <x:v>0</x:v>
      </x:c>
      <x:c r="G397" s="16" t="str">
        <x:f>IF(F397="","PENDING",IF(E397=F397,"AGREE","DISAGREE"))</x:f>
        <x:v>PENDING</x:v>
      </x:c>
      <x:c r="H397" s="16" t="str">
        <x:v>Y</x:v>
      </x:c>
      <x:c r="I397" s="16" t="str">
        <x:f>Coder_A!F397</x:f>
        <x:v>Sec. 3 Datasets; Appendix A; Table 2; Table 1; Appendix B</x:v>
      </x:c>
      <x:c r="J397" s="16" t="n">
        <x:f>Coder_B!F397</x:f>
        <x:v>0</x:v>
      </x:c>
    </x:row>
    <x:row r="398">
      <x:c r="A398" s="16" t="n">
        <x:v>397</x:v>
      </x:c>
      <x:c r="B398" s="16" t="str">
        <x:v>EXPERIMENT</x:v>
      </x:c>
      <x:c r="C398" s="16" t="str">
        <x:f>Coder_A!C398</x:f>
        <x:v>PILOT_01_E04</x:v>
      </x:c>
      <x:c r="D398" s="16" t="str">
        <x:v>statistical_test</x:v>
      </x:c>
      <x:c r="E398" s="16" t="str">
        <x:f>Coder_A!E398</x:f>
        <x:v>NR</x:v>
      </x:c>
      <x:c r="F398" s="16" t="n">
        <x:f>Coder_B!E398</x:f>
        <x:v>0</x:v>
      </x:c>
      <x:c r="G398" s="16" t="str">
        <x:f>IF(F398="","PENDING",IF(E398=F398,"AGREE","DISAGREE"))</x:f>
        <x:v>PENDING</x:v>
      </x:c>
      <x:c r="H398" s="16" t="str">
        <x:v>N</x:v>
      </x:c>
      <x:c r="I398" s="16" t="str">
        <x:f>Coder_A!F398</x:f>
        <x:v>Sec. 3 Datasets; Appendix A; Table 2; Table 1; Appendix B</x:v>
      </x:c>
      <x:c r="J398" s="16" t="n">
        <x:f>Coder_B!F398</x:f>
        <x:v>0</x:v>
      </x:c>
    </x:row>
    <x:row r="399">
      <x:c r="A399" s="16" t="n">
        <x:v>398</x:v>
      </x:c>
      <x:c r="B399" s="16" t="str">
        <x:v>EXPERIMENT</x:v>
      </x:c>
      <x:c r="C399" s="16" t="str">
        <x:f>Coder_A!C399</x:f>
        <x:v>PILOT_01_E04</x:v>
      </x:c>
      <x:c r="D399" s="16" t="str">
        <x:v>multiple_comparison_correction</x:v>
      </x:c>
      <x:c r="E399" s="16" t="str">
        <x:f>Coder_A!E399</x:f>
        <x:v>NR</x:v>
      </x:c>
      <x:c r="F399" s="16" t="n">
        <x:f>Coder_B!E399</x:f>
        <x:v>0</x:v>
      </x:c>
      <x:c r="G399" s="16" t="str">
        <x:f>IF(F399="","PENDING",IF(E399=F399,"AGREE","DISAGREE"))</x:f>
        <x:v>PENDING</x:v>
      </x:c>
      <x:c r="H399" s="16" t="str">
        <x:v>N</x:v>
      </x:c>
      <x:c r="I399" s="16" t="str">
        <x:f>Coder_A!F399</x:f>
        <x:v>Sec. 3 Datasets; Appendix A; Table 2; Table 1; Appendix B</x:v>
      </x:c>
      <x:c r="J399" s="16" t="n">
        <x:f>Coder_B!F399</x:f>
        <x:v>0</x:v>
      </x:c>
    </x:row>
    <x:row r="400">
      <x:c r="A400" s="16" t="n">
        <x:v>399</x:v>
      </x:c>
      <x:c r="B400" s="16" t="str">
        <x:v>EXPERIMENT</x:v>
      </x:c>
      <x:c r="C400" s="16" t="str">
        <x:f>Coder_A!C400</x:f>
        <x:v>PILOT_01_E04</x:v>
      </x:c>
      <x:c r="D400" s="16" t="str">
        <x:v>effect_size</x:v>
      </x:c>
      <x:c r="E400" s="16" t="str">
        <x:f>Coder_A!E400</x:f>
        <x:v>NR</x:v>
      </x:c>
      <x:c r="F400" s="16" t="n">
        <x:f>Coder_B!E400</x:f>
        <x:v>0</x:v>
      </x:c>
      <x:c r="G400" s="16" t="str">
        <x:f>IF(F400="","PENDING",IF(E400=F400,"AGREE","DISAGREE"))</x:f>
        <x:v>PENDING</x:v>
      </x:c>
      <x:c r="H400" s="16" t="str">
        <x:v>N</x:v>
      </x:c>
      <x:c r="I400" s="16" t="str">
        <x:f>Coder_A!F400</x:f>
        <x:v>Sec. 3 Datasets; Appendix A; Table 2; Table 1; Appendix B</x:v>
      </x:c>
      <x:c r="J400" s="16" t="n">
        <x:f>Coder_B!F400</x:f>
        <x:v>0</x:v>
      </x:c>
    </x:row>
    <x:row r="401">
      <x:c r="A401" s="16" t="n">
        <x:v>400</x:v>
      </x:c>
      <x:c r="B401" s="16" t="str">
        <x:v>EXPERIMENT</x:v>
      </x:c>
      <x:c r="C401" s="16" t="str">
        <x:f>Coder_A!C401</x:f>
        <x:v>PILOT_01_E04</x:v>
      </x:c>
      <x:c r="D401" s="16" t="str">
        <x:v>paired_design</x:v>
      </x:c>
      <x:c r="E401" s="16" t="str">
        <x:f>Coder_A!E401</x:f>
        <x:v>NR</x:v>
      </x:c>
      <x:c r="F401" s="16" t="n">
        <x:f>Coder_B!E401</x:f>
        <x:v>0</x:v>
      </x:c>
      <x:c r="G401" s="16" t="str">
        <x:f>IF(F401="","PENDING",IF(E401=F401,"AGREE","DISAGREE"))</x:f>
        <x:v>PENDING</x:v>
      </x:c>
      <x:c r="H401" s="16" t="str">
        <x:v>Y</x:v>
      </x:c>
      <x:c r="I401" s="16" t="str">
        <x:f>Coder_A!F401</x:f>
        <x:v>Sec. 3 Datasets; Appendix A; Table 2; Table 1; Appendix B</x:v>
      </x:c>
      <x:c r="J401" s="16" t="n">
        <x:f>Coder_B!F401</x:f>
        <x:v>0</x:v>
      </x:c>
    </x:row>
    <x:row r="402">
      <x:c r="A402" s="16" t="n">
        <x:v>401</x:v>
      </x:c>
      <x:c r="B402" s="16" t="str">
        <x:v>EXPERIMENT</x:v>
      </x:c>
      <x:c r="C402" s="16" t="str">
        <x:f>Coder_A!C402</x:f>
        <x:v>PILOT_01_E04</x:v>
      </x:c>
      <x:c r="D402" s="16" t="str">
        <x:v>significance_threshold</x:v>
      </x:c>
      <x:c r="E402" s="16" t="str">
        <x:f>Coder_A!E402</x:f>
        <x:v>NR</x:v>
      </x:c>
      <x:c r="F402" s="16" t="n">
        <x:f>Coder_B!E402</x:f>
        <x:v>0</x:v>
      </x:c>
      <x:c r="G402" s="16" t="str">
        <x:f>IF(F402="","PENDING",IF(E402=F402,"AGREE","DISAGREE"))</x:f>
        <x:v>PENDING</x:v>
      </x:c>
      <x:c r="H402" s="16" t="str">
        <x:v>N</x:v>
      </x:c>
      <x:c r="I402" s="16" t="str">
        <x:f>Coder_A!F402</x:f>
        <x:v>Sec. 3 Datasets; Appendix A; Table 2; Table 1; Appendix B</x:v>
      </x:c>
      <x:c r="J402" s="16" t="n">
        <x:f>Coder_B!F402</x:f>
        <x:v>0</x:v>
      </x:c>
    </x:row>
    <x:row r="403">
      <x:c r="A403" s="16" t="n">
        <x:v>402</x:v>
      </x:c>
      <x:c r="B403" s="16" t="str">
        <x:v>EXPERIMENT</x:v>
      </x:c>
      <x:c r="C403" s="16" t="str">
        <x:f>Coder_A!C403</x:f>
        <x:v>PILOT_01_E04</x:v>
      </x:c>
      <x:c r="D403" s="16" t="str">
        <x:v>parameter_count</x:v>
      </x:c>
      <x:c r="E403" s="16" t="str">
        <x:f>Coder_A!E403</x:f>
        <x:v>NR</x:v>
      </x:c>
      <x:c r="F403" s="16" t="n">
        <x:f>Coder_B!E403</x:f>
        <x:v>0</x:v>
      </x:c>
      <x:c r="G403" s="16" t="str">
        <x:f>IF(F403="","PENDING",IF(E403=F403,"AGREE","DISAGREE"))</x:f>
        <x:v>PENDING</x:v>
      </x:c>
      <x:c r="H403" s="16" t="str">
        <x:v>N</x:v>
      </x:c>
      <x:c r="I403" s="16" t="str">
        <x:f>Coder_A!F403</x:f>
        <x:v>Sec. 3 Datasets; Appendix A; Table 2; Table 1; Appendix B</x:v>
      </x:c>
      <x:c r="J403" s="16" t="n">
        <x:f>Coder_B!F403</x:f>
        <x:v>0</x:v>
      </x:c>
    </x:row>
    <x:row r="404">
      <x:c r="A404" s="16" t="n">
        <x:v>403</x:v>
      </x:c>
      <x:c r="B404" s="16" t="str">
        <x:v>EXPERIMENT</x:v>
      </x:c>
      <x:c r="C404" s="16" t="str">
        <x:f>Coder_A!C404</x:f>
        <x:v>PILOT_01_E04</x:v>
      </x:c>
      <x:c r="D404" s="16" t="str">
        <x:v>train_time</x:v>
      </x:c>
      <x:c r="E404" s="16" t="str">
        <x:f>Coder_A!E404</x:f>
        <x:v>NR</x:v>
      </x:c>
      <x:c r="F404" s="16" t="n">
        <x:f>Coder_B!E404</x:f>
        <x:v>0</x:v>
      </x:c>
      <x:c r="G404" s="16" t="str">
        <x:f>IF(F404="","PENDING",IF(E404=F404,"AGREE","DISAGREE"))</x:f>
        <x:v>PENDING</x:v>
      </x:c>
      <x:c r="H404" s="16" t="str">
        <x:v>N</x:v>
      </x:c>
      <x:c r="I404" s="16" t="str">
        <x:f>Coder_A!F404</x:f>
        <x:v>Sec. 3 Datasets; Appendix A; Table 2; Table 1; Appendix B</x:v>
      </x:c>
      <x:c r="J404" s="16" t="n">
        <x:f>Coder_B!F404</x:f>
        <x:v>0</x:v>
      </x:c>
    </x:row>
    <x:row r="405">
      <x:c r="A405" s="16" t="n">
        <x:v>404</x:v>
      </x:c>
      <x:c r="B405" s="16" t="str">
        <x:v>EXPERIMENT</x:v>
      </x:c>
      <x:c r="C405" s="16" t="str">
        <x:f>Coder_A!C405</x:f>
        <x:v>PILOT_01_E04</x:v>
      </x:c>
      <x:c r="D405" s="16" t="str">
        <x:v>time_per_epoch</x:v>
      </x:c>
      <x:c r="E405" s="16" t="str">
        <x:f>Coder_A!E405</x:f>
        <x:v>NR</x:v>
      </x:c>
      <x:c r="F405" s="16" t="n">
        <x:f>Coder_B!E405</x:f>
        <x:v>0</x:v>
      </x:c>
      <x:c r="G405" s="16" t="str">
        <x:f>IF(F405="","PENDING",IF(E405=F405,"AGREE","DISAGREE"))</x:f>
        <x:v>PENDING</x:v>
      </x:c>
      <x:c r="H405" s="16" t="str">
        <x:v>N</x:v>
      </x:c>
      <x:c r="I405" s="16" t="str">
        <x:f>Coder_A!F405</x:f>
        <x:v>Sec. 3 Datasets; Appendix A; Table 2; Table 1; Appendix B</x:v>
      </x:c>
      <x:c r="J405" s="16" t="n">
        <x:f>Coder_B!F405</x:f>
        <x:v>0</x:v>
      </x:c>
    </x:row>
    <x:row r="406">
      <x:c r="A406" s="16" t="n">
        <x:v>405</x:v>
      </x:c>
      <x:c r="B406" s="16" t="str">
        <x:v>EXPERIMENT</x:v>
      </x:c>
      <x:c r="C406" s="16" t="str">
        <x:f>Coder_A!C406</x:f>
        <x:v>PILOT_01_E04</x:v>
      </x:c>
      <x:c r="D406" s="16" t="str">
        <x:v>inference_latency</x:v>
      </x:c>
      <x:c r="E406" s="16" t="str">
        <x:f>Coder_A!E406</x:f>
        <x:v>NR</x:v>
      </x:c>
      <x:c r="F406" s="16" t="n">
        <x:f>Coder_B!E406</x:f>
        <x:v>0</x:v>
      </x:c>
      <x:c r="G406" s="16" t="str">
        <x:f>IF(F406="","PENDING",IF(E406=F406,"AGREE","DISAGREE"))</x:f>
        <x:v>PENDING</x:v>
      </x:c>
      <x:c r="H406" s="16" t="str">
        <x:v>N</x:v>
      </x:c>
      <x:c r="I406" s="16" t="str">
        <x:f>Coder_A!F406</x:f>
        <x:v>Sec. 3 Datasets; Appendix A; Table 2; Table 1; Appendix B</x:v>
      </x:c>
      <x:c r="J406" s="16" t="n">
        <x:f>Coder_B!F406</x:f>
        <x:v>0</x:v>
      </x:c>
    </x:row>
    <x:row r="407">
      <x:c r="A407" s="16" t="n">
        <x:v>406</x:v>
      </x:c>
      <x:c r="B407" s="16" t="str">
        <x:v>EXPERIMENT</x:v>
      </x:c>
      <x:c r="C407" s="16" t="str">
        <x:f>Coder_A!C407</x:f>
        <x:v>PILOT_01_E04</x:v>
      </x:c>
      <x:c r="D407" s="16" t="str">
        <x:v>throughput</x:v>
      </x:c>
      <x:c r="E407" s="16" t="str">
        <x:f>Coder_A!E407</x:f>
        <x:v>NR</x:v>
      </x:c>
      <x:c r="F407" s="16" t="n">
        <x:f>Coder_B!E407</x:f>
        <x:v>0</x:v>
      </x:c>
      <x:c r="G407" s="16" t="str">
        <x:f>IF(F407="","PENDING",IF(E407=F407,"AGREE","DISAGREE"))</x:f>
        <x:v>PENDING</x:v>
      </x:c>
      <x:c r="H407" s="16" t="str">
        <x:v>N</x:v>
      </x:c>
      <x:c r="I407" s="16" t="str">
        <x:f>Coder_A!F407</x:f>
        <x:v>Sec. 3 Datasets; Appendix A; Table 2; Table 1; Appendix B</x:v>
      </x:c>
      <x:c r="J407" s="16" t="n">
        <x:f>Coder_B!F407</x:f>
        <x:v>0</x:v>
      </x:c>
    </x:row>
    <x:row r="408">
      <x:c r="A408" s="16" t="n">
        <x:v>407</x:v>
      </x:c>
      <x:c r="B408" s="16" t="str">
        <x:v>EXPERIMENT</x:v>
      </x:c>
      <x:c r="C408" s="16" t="str">
        <x:f>Coder_A!C408</x:f>
        <x:v>PILOT_01_E04</x:v>
      </x:c>
      <x:c r="D408" s="16" t="str">
        <x:v>cpu_ram</x:v>
      </x:c>
      <x:c r="E408" s="16" t="str">
        <x:f>Coder_A!E408</x:f>
        <x:v>NR</x:v>
      </x:c>
      <x:c r="F408" s="16" t="n">
        <x:f>Coder_B!E408</x:f>
        <x:v>0</x:v>
      </x:c>
      <x:c r="G408" s="16" t="str">
        <x:f>IF(F408="","PENDING",IF(E408=F408,"AGREE","DISAGREE"))</x:f>
        <x:v>PENDING</x:v>
      </x:c>
      <x:c r="H408" s="16" t="str">
        <x:v>N</x:v>
      </x:c>
      <x:c r="I408" s="16" t="str">
        <x:f>Coder_A!F408</x:f>
        <x:v>Sec. 3 Datasets; Appendix A; Table 2; Table 1; Appendix B</x:v>
      </x:c>
      <x:c r="J408" s="16" t="n">
        <x:f>Coder_B!F408</x:f>
        <x:v>0</x:v>
      </x:c>
    </x:row>
    <x:row r="409">
      <x:c r="A409" s="16" t="n">
        <x:v>408</x:v>
      </x:c>
      <x:c r="B409" s="16" t="str">
        <x:v>EXPERIMENT</x:v>
      </x:c>
      <x:c r="C409" s="16" t="str">
        <x:f>Coder_A!C409</x:f>
        <x:v>PILOT_01_E04</x:v>
      </x:c>
      <x:c r="D409" s="16" t="str">
        <x:v>gpu_vram</x:v>
      </x:c>
      <x:c r="E409" s="16" t="str">
        <x:f>Coder_A!E409</x:f>
        <x:v>NR</x:v>
      </x:c>
      <x:c r="F409" s="16" t="n">
        <x:f>Coder_B!E409</x:f>
        <x:v>0</x:v>
      </x:c>
      <x:c r="G409" s="16" t="str">
        <x:f>IF(F409="","PENDING",IF(E409=F409,"AGREE","DISAGREE"))</x:f>
        <x:v>PENDING</x:v>
      </x:c>
      <x:c r="H409" s="16" t="str">
        <x:v>N</x:v>
      </x:c>
      <x:c r="I409" s="16" t="str">
        <x:f>Coder_A!F409</x:f>
        <x:v>Sec. 3 Datasets; Appendix A; Table 2; Table 1; Appendix B</x:v>
      </x:c>
      <x:c r="J409" s="16" t="n">
        <x:f>Coder_B!F409</x:f>
        <x:v>0</x:v>
      </x:c>
    </x:row>
    <x:row r="410">
      <x:c r="A410" s="16" t="n">
        <x:v>409</x:v>
      </x:c>
      <x:c r="B410" s="16" t="str">
        <x:v>EXPERIMENT</x:v>
      </x:c>
      <x:c r="C410" s="16" t="str">
        <x:f>Coder_A!C410</x:f>
        <x:v>PILOT_01_E04</x:v>
      </x:c>
      <x:c r="D410" s="16" t="str">
        <x:v>hardware</x:v>
      </x:c>
      <x:c r="E410" s="16" t="str">
        <x:f>Coder_A!E410</x:f>
        <x:v>NR</x:v>
      </x:c>
      <x:c r="F410" s="16" t="n">
        <x:f>Coder_B!E410</x:f>
        <x:v>0</x:v>
      </x:c>
      <x:c r="G410" s="16" t="str">
        <x:f>IF(F410="","PENDING",IF(E410=F410,"AGREE","DISAGREE"))</x:f>
        <x:v>PENDING</x:v>
      </x:c>
      <x:c r="H410" s="16" t="str">
        <x:v>N</x:v>
      </x:c>
      <x:c r="I410" s="16" t="str">
        <x:f>Coder_A!F410</x:f>
        <x:v>Sec. 3 Datasets; Appendix A; Table 2; Table 1; Appendix B</x:v>
      </x:c>
      <x:c r="J410" s="16" t="n">
        <x:f>Coder_B!F410</x:f>
        <x:v>0</x:v>
      </x:c>
    </x:row>
    <x:row r="411">
      <x:c r="A411" s="16" t="n">
        <x:v>410</x:v>
      </x:c>
      <x:c r="B411" s="16" t="str">
        <x:v>EXPERIMENT</x:v>
      </x:c>
      <x:c r="C411" s="16" t="str">
        <x:f>Coder_A!C411</x:f>
        <x:v>PILOT_01_E04</x:v>
      </x:c>
      <x:c r="D411" s="16" t="str">
        <x:v>graph_construction_time</x:v>
      </x:c>
      <x:c r="E411" s="16" t="str">
        <x:f>Coder_A!E411</x:f>
        <x:v>NR</x:v>
      </x:c>
      <x:c r="F411" s="16" t="n">
        <x:f>Coder_B!E411</x:f>
        <x:v>0</x:v>
      </x:c>
      <x:c r="G411" s="16" t="str">
        <x:f>IF(F411="","PENDING",IF(E411=F411,"AGREE","DISAGREE"))</x:f>
        <x:v>PENDING</x:v>
      </x:c>
      <x:c r="H411" s="16" t="str">
        <x:v>N</x:v>
      </x:c>
      <x:c r="I411" s="16" t="str">
        <x:f>Coder_A!F411</x:f>
        <x:v>Sec. 3 Datasets; Appendix A; Table 2; Table 1; Appendix B</x:v>
      </x:c>
      <x:c r="J411" s="16" t="n">
        <x:f>Coder_B!F411</x:f>
        <x:v>0</x:v>
      </x:c>
    </x:row>
    <x:row r="412">
      <x:c r="A412" s="16" t="n">
        <x:v>411</x:v>
      </x:c>
      <x:c r="B412" s="16" t="str">
        <x:v>EXPERIMENT</x:v>
      </x:c>
      <x:c r="C412" s="16" t="str">
        <x:f>Coder_A!C412</x:f>
        <x:v>PILOT_01_E04</x:v>
      </x:c>
      <x:c r="D412" s="16" t="str">
        <x:v>complexity_formula</x:v>
      </x:c>
      <x:c r="E412" s="16" t="str">
        <x:f>Coder_A!E412</x:f>
        <x:v>NR</x:v>
      </x:c>
      <x:c r="F412" s="16" t="n">
        <x:f>Coder_B!E412</x:f>
        <x:v>0</x:v>
      </x:c>
      <x:c r="G412" s="16" t="str">
        <x:f>IF(F412="","PENDING",IF(E412=F412,"AGREE","DISAGREE"))</x:f>
        <x:v>PENDING</x:v>
      </x:c>
      <x:c r="H412" s="16" t="str">
        <x:v>N</x:v>
      </x:c>
      <x:c r="I412" s="16" t="str">
        <x:f>Coder_A!F412</x:f>
        <x:v>Sec. 3 Datasets; Appendix A; Table 2; Table 1; Appendix B</x:v>
      </x:c>
      <x:c r="J412" s="16" t="n">
        <x:f>Coder_B!F412</x:f>
        <x:v>0</x:v>
      </x:c>
    </x:row>
    <x:row r="413">
      <x:c r="A413" s="16" t="n">
        <x:v>412</x:v>
      </x:c>
      <x:c r="B413" s="16" t="str">
        <x:v>EXPERIMENT</x:v>
      </x:c>
      <x:c r="C413" s="16" t="str">
        <x:f>Coder_A!C413</x:f>
        <x:v>PILOT_01_E04</x:v>
      </x:c>
      <x:c r="D413" s="16" t="str">
        <x:v>scale_up_experiment</x:v>
      </x:c>
      <x:c r="E413" s="16" t="str">
        <x:f>Coder_A!E413</x:f>
        <x:v>N</x:v>
      </x:c>
      <x:c r="F413" s="16" t="n">
        <x:f>Coder_B!E413</x:f>
        <x:v>0</x:v>
      </x:c>
      <x:c r="G413" s="16" t="str">
        <x:f>IF(F413="","PENDING",IF(E413=F413,"AGREE","DISAGREE"))</x:f>
        <x:v>PENDING</x:v>
      </x:c>
      <x:c r="H413" s="16" t="str">
        <x:v>Y</x:v>
      </x:c>
      <x:c r="I413" s="16" t="str">
        <x:f>Coder_A!F413</x:f>
        <x:v>Sec. 3 Datasets; Appendix A; Table 2; Table 1; Appendix B</x:v>
      </x:c>
      <x:c r="J413" s="16" t="n">
        <x:f>Coder_B!F413</x:f>
        <x:v>0</x:v>
      </x:c>
    </x:row>
    <x:row r="414">
      <x:c r="A414" s="16" t="n">
        <x:v>413</x:v>
      </x:c>
      <x:c r="B414" s="16" t="str">
        <x:v>EXPERIMENT</x:v>
      </x:c>
      <x:c r="C414" s="16" t="str">
        <x:f>Coder_A!C414</x:f>
        <x:v>PILOT_01_E04</x:v>
      </x:c>
      <x:c r="D414" s="16" t="str">
        <x:v>oom_timeout_reported</x:v>
      </x:c>
      <x:c r="E414" s="16" t="str">
        <x:f>Coder_A!E414</x:f>
        <x:v>NR</x:v>
      </x:c>
      <x:c r="F414" s="16" t="n">
        <x:f>Coder_B!E414</x:f>
        <x:v>0</x:v>
      </x:c>
      <x:c r="G414" s="16" t="str">
        <x:f>IF(F414="","PENDING",IF(E414=F414,"AGREE","DISAGREE"))</x:f>
        <x:v>PENDING</x:v>
      </x:c>
      <x:c r="H414" s="16" t="str">
        <x:v>Y</x:v>
      </x:c>
      <x:c r="I414" s="16" t="str">
        <x:f>Coder_A!F414</x:f>
        <x:v>Sec. 3 Datasets; Appendix A; Table 2; Table 1; Appendix B</x:v>
      </x:c>
      <x:c r="J414" s="16" t="n">
        <x:f>Coder_B!F414</x:f>
        <x:v>0</x:v>
      </x:c>
    </x:row>
    <x:row r="415">
      <x:c r="A415" s="16" t="n">
        <x:v>414</x:v>
      </x:c>
      <x:c r="B415" s="16" t="str">
        <x:v>EXPERIMENT</x:v>
      </x:c>
      <x:c r="C415" s="16" t="str">
        <x:f>Coder_A!C415</x:f>
        <x:v>PILOT_01_E05</x:v>
      </x:c>
      <x:c r="D415" s="16" t="str">
        <x:v>dataset_name</x:v>
      </x:c>
      <x:c r="E415" s="16" t="str">
        <x:f>Coder_A!E415</x:f>
        <x:v>ASSISTments</x:v>
      </x:c>
      <x:c r="F415" s="16" t="n">
        <x:f>Coder_B!E415</x:f>
        <x:v>0</x:v>
      </x:c>
      <x:c r="G415" s="16" t="str">
        <x:f>IF(F415="","PENDING",IF(E415=F415,"AGREE","DISAGREE"))</x:f>
        <x:v>PENDING</x:v>
      </x:c>
      <x:c r="H415" s="16" t="str">
        <x:v>N</x:v>
      </x:c>
      <x:c r="I415" s="16" t="str">
        <x:f>Coder_A!F415</x:f>
        <x:v>Sec. 3 Datasets; Appendix A; Table 2; Table 1; Appendix B</x:v>
      </x:c>
      <x:c r="J415" s="16" t="n">
        <x:f>Coder_B!F415</x:f>
        <x:v>0</x:v>
      </x:c>
    </x:row>
    <x:row r="416">
      <x:c r="A416" s="16" t="n">
        <x:v>415</x:v>
      </x:c>
      <x:c r="B416" s="16" t="str">
        <x:v>EXPERIMENT</x:v>
      </x:c>
      <x:c r="C416" s="16" t="str">
        <x:f>Coder_A!C416</x:f>
        <x:v>PILOT_01_E05</x:v>
      </x:c>
      <x:c r="D416" s="16" t="str">
        <x:v>dataset_version</x:v>
      </x:c>
      <x:c r="E416" s="16" t="str">
        <x:f>Coder_A!E416</x:f>
        <x:v>2009-2010 Skill Builder</x:v>
      </x:c>
      <x:c r="F416" s="16" t="n">
        <x:f>Coder_B!E416</x:f>
        <x:v>0</x:v>
      </x:c>
      <x:c r="G416" s="16" t="str">
        <x:f>IF(F416="","PENDING",IF(E416=F416,"AGREE","DISAGREE"))</x:f>
        <x:v>PENDING</x:v>
      </x:c>
      <x:c r="H416" s="16" t="str">
        <x:v>N</x:v>
      </x:c>
      <x:c r="I416" s="16" t="str">
        <x:f>Coder_A!F416</x:f>
        <x:v>Sec. 3 Datasets; Appendix A; Table 2; Table 1; Appendix B</x:v>
      </x:c>
      <x:c r="J416" s="16" t="n">
        <x:f>Coder_B!F416</x:f>
        <x:v>0</x:v>
      </x:c>
    </x:row>
    <x:row r="417">
      <x:c r="A417" s="16" t="n">
        <x:v>416</x:v>
      </x:c>
      <x:c r="B417" s="16" t="str">
        <x:v>EXPERIMENT</x:v>
      </x:c>
      <x:c r="C417" s="16" t="str">
        <x:f>Coder_A!C417</x:f>
        <x:v>PILOT_01_E05</x:v>
      </x:c>
      <x:c r="D417" s="16" t="str">
        <x:v>n_learners_reported</x:v>
      </x:c>
      <x:c r="E417" s="16" t="n">
        <x:f>Coder_A!E417</x:f>
        <x:v>1000</x:v>
      </x:c>
      <x:c r="F417" s="16" t="n">
        <x:f>Coder_B!E417</x:f>
        <x:v>0</x:v>
      </x:c>
      <x:c r="G417" s="16" t="str">
        <x:f>IF(F417="","PENDING",IF(E417=F417,"AGREE","DISAGREE"))</x:f>
        <x:v>PENDING</x:v>
      </x:c>
      <x:c r="H417" s="16" t="str">
        <x:v>N</x:v>
      </x:c>
      <x:c r="I417" s="16" t="str">
        <x:f>Coder_A!F417</x:f>
        <x:v>Sec. 3 Datasets; Appendix A; Table 2; Table 1; Appendix B</x:v>
      </x:c>
      <x:c r="J417" s="16" t="n">
        <x:f>Coder_B!F417</x:f>
        <x:v>0</x:v>
      </x:c>
    </x:row>
    <x:row r="418">
      <x:c r="A418" s="16" t="n">
        <x:v>417</x:v>
      </x:c>
      <x:c r="B418" s="16" t="str">
        <x:v>EXPERIMENT</x:v>
      </x:c>
      <x:c r="C418" s="16" t="str">
        <x:f>Coder_A!C418</x:f>
        <x:v>PILOT_01_E05</x:v>
      </x:c>
      <x:c r="D418" s="16" t="str">
        <x:v>n_items_reported</x:v>
      </x:c>
      <x:c r="E418" s="16" t="str">
        <x:f>Coder_A!E418</x:f>
        <x:v>NR</x:v>
      </x:c>
      <x:c r="F418" s="16" t="n">
        <x:f>Coder_B!E418</x:f>
        <x:v>0</x:v>
      </x:c>
      <x:c r="G418" s="16" t="str">
        <x:f>IF(F418="","PENDING",IF(E418=F418,"AGREE","DISAGREE"))</x:f>
        <x:v>PENDING</x:v>
      </x:c>
      <x:c r="H418" s="16" t="str">
        <x:v>N</x:v>
      </x:c>
      <x:c r="I418" s="16" t="str">
        <x:f>Coder_A!F418</x:f>
        <x:v>Sec. 3 Datasets; Appendix A; Table 2; Table 1; Appendix B</x:v>
      </x:c>
      <x:c r="J418" s="16" t="n">
        <x:f>Coder_B!F418</x:f>
        <x:v>0</x:v>
      </x:c>
    </x:row>
    <x:row r="419">
      <x:c r="A419" s="16" t="n">
        <x:v>418</x:v>
      </x:c>
      <x:c r="B419" s="16" t="str">
        <x:v>EXPERIMENT</x:v>
      </x:c>
      <x:c r="C419" s="16" t="str">
        <x:f>Coder_A!C419</x:f>
        <x:v>PILOT_01_E05</x:v>
      </x:c>
      <x:c r="D419" s="16" t="str">
        <x:v>n_kcs_reported</x:v>
      </x:c>
      <x:c r="E419" s="16" t="n">
        <x:f>Coder_A!E419</x:f>
        <x:v>101</x:v>
      </x:c>
      <x:c r="F419" s="16" t="n">
        <x:f>Coder_B!E419</x:f>
        <x:v>0</x:v>
      </x:c>
      <x:c r="G419" s="16" t="str">
        <x:f>IF(F419="","PENDING",IF(E419=F419,"AGREE","DISAGREE"))</x:f>
        <x:v>PENDING</x:v>
      </x:c>
      <x:c r="H419" s="16" t="str">
        <x:v>N</x:v>
      </x:c>
      <x:c r="I419" s="16" t="str">
        <x:f>Coder_A!F419</x:f>
        <x:v>Sec. 3 Datasets; Appendix A; Table 2; Table 1; Appendix B</x:v>
      </x:c>
      <x:c r="J419" s="16" t="n">
        <x:f>Coder_B!F419</x:f>
        <x:v>0</x:v>
      </x:c>
    </x:row>
    <x:row r="420">
      <x:c r="A420" s="16" t="n">
        <x:v>419</x:v>
      </x:c>
      <x:c r="B420" s="16" t="str">
        <x:v>EXPERIMENT</x:v>
      </x:c>
      <x:c r="C420" s="16" t="str">
        <x:f>Coder_A!C420</x:f>
        <x:v>PILOT_01_E05</x:v>
      </x:c>
      <x:c r="D420" s="16" t="str">
        <x:v>n_interactions_reported</x:v>
      </x:c>
      <x:c r="E420" s="16" t="n">
        <x:f>Coder_A!E420</x:f>
        <x:v>62955</x:v>
      </x:c>
      <x:c r="F420" s="16" t="n">
        <x:f>Coder_B!E420</x:f>
        <x:v>0</x:v>
      </x:c>
      <x:c r="G420" s="16" t="str">
        <x:f>IF(F420="","PENDING",IF(E420=F420,"AGREE","DISAGREE"))</x:f>
        <x:v>PENDING</x:v>
      </x:c>
      <x:c r="H420" s="16" t="str">
        <x:v>N</x:v>
      </x:c>
      <x:c r="I420" s="16" t="str">
        <x:f>Coder_A!F420</x:f>
        <x:v>Sec. 3 Datasets; Appendix A; Table 2; Table 1; Appendix B</x:v>
      </x:c>
      <x:c r="J420" s="16" t="n">
        <x:f>Coder_B!F420</x:f>
        <x:v>0</x:v>
      </x:c>
    </x:row>
    <x:row r="421">
      <x:c r="A421" s="16" t="n">
        <x:v>420</x:v>
      </x:c>
      <x:c r="B421" s="16" t="str">
        <x:v>EXPERIMENT</x:v>
      </x:c>
      <x:c r="C421" s="16" t="str">
        <x:f>Coder_A!C421</x:f>
        <x:v>PILOT_01_E05</x:v>
      </x:c>
      <x:c r="D421" s="16" t="str">
        <x:v>multi_skill_present</x:v>
      </x:c>
      <x:c r="E421" s="16" t="str">
        <x:f>Coder_A!E421</x:f>
        <x:v>UNCLEAR</x:v>
      </x:c>
      <x:c r="F421" s="16" t="n">
        <x:f>Coder_B!E421</x:f>
        <x:v>0</x:v>
      </x:c>
      <x:c r="G421" s="16" t="str">
        <x:f>IF(F421="","PENDING",IF(E421=F421,"AGREE","DISAGREE"))</x:f>
        <x:v>PENDING</x:v>
      </x:c>
      <x:c r="H421" s="16" t="str">
        <x:v>Y</x:v>
      </x:c>
      <x:c r="I421" s="16" t="str">
        <x:f>Coder_A!F421</x:f>
        <x:v>Sec. 3 Datasets; Appendix A; Table 2; Table 1; Appendix B</x:v>
      </x:c>
      <x:c r="J421" s="16" t="n">
        <x:f>Coder_B!F421</x:f>
        <x:v>0</x:v>
      </x:c>
    </x:row>
    <x:row r="422">
      <x:c r="A422" s="16" t="n">
        <x:v>421</x:v>
      </x:c>
      <x:c r="B422" s="16" t="str">
        <x:v>EXPERIMENT</x:v>
      </x:c>
      <x:c r="C422" s="16" t="str">
        <x:f>Coder_A!C422</x:f>
        <x:v>PILOT_01_E05</x:v>
      </x:c>
      <x:c r="D422" s="16" t="str">
        <x:v>multi_skill_handling</x:v>
      </x:c>
      <x:c r="E422" s="16" t="str">
        <x:f>Coder_A!E422</x:f>
        <x:v>Combine simultaneous answer logs into one; extract named skill tags</x:v>
      </x:c>
      <x:c r="F422" s="16" t="n">
        <x:f>Coder_B!E422</x:f>
        <x:v>0</x:v>
      </x:c>
      <x:c r="G422" s="16" t="str">
        <x:f>IF(F422="","PENDING",IF(E422=F422,"AGREE","DISAGREE"))</x:f>
        <x:v>PENDING</x:v>
      </x:c>
      <x:c r="H422" s="16" t="str">
        <x:v>N</x:v>
      </x:c>
      <x:c r="I422" s="16" t="str">
        <x:f>Coder_A!F422</x:f>
        <x:v>Sec. 3 Datasets; Appendix A; Table 2; Table 1; Appendix B</x:v>
      </x:c>
      <x:c r="J422" s="16" t="n">
        <x:f>Coder_B!F422</x:f>
        <x:v>0</x:v>
      </x:c>
    </x:row>
    <x:row r="423">
      <x:c r="A423" s="16" t="n">
        <x:v>422</x:v>
      </x:c>
      <x:c r="B423" s="16" t="str">
        <x:v>EXPERIMENT</x:v>
      </x:c>
      <x:c r="C423" s="16" t="str">
        <x:f>Coder_A!C423</x:f>
        <x:v>PILOT_01_E05</x:v>
      </x:c>
      <x:c r="D423" s="16" t="str">
        <x:v>sequence_truncation</x:v>
      </x:c>
      <x:c r="E423" s="16" t="str">
        <x:f>Coder_A!E423</x:f>
        <x:v>NR</x:v>
      </x:c>
      <x:c r="F423" s="16" t="n">
        <x:f>Coder_B!E423</x:f>
        <x:v>0</x:v>
      </x:c>
      <x:c r="G423" s="16" t="str">
        <x:f>IF(F423="","PENDING",IF(E423=F423,"AGREE","DISAGREE"))</x:f>
        <x:v>PENDING</x:v>
      </x:c>
      <x:c r="H423" s="16" t="str">
        <x:v>N</x:v>
      </x:c>
      <x:c r="I423" s="16" t="str">
        <x:f>Coder_A!F423</x:f>
        <x:v>Sec. 3 Datasets; Appendix A; Table 2; Table 1; Appendix B</x:v>
      </x:c>
      <x:c r="J423" s="16" t="n">
        <x:f>Coder_B!F423</x:f>
        <x:v>0</x:v>
      </x:c>
    </x:row>
    <x:row r="424">
      <x:c r="A424" s="16" t="n">
        <x:v>423</x:v>
      </x:c>
      <x:c r="B424" s="16" t="str">
        <x:v>EXPERIMENT</x:v>
      </x:c>
      <x:c r="C424" s="16" t="str">
        <x:f>Coder_A!C424</x:f>
        <x:v>PILOT_01_E05</x:v>
      </x:c>
      <x:c r="D424" s="16" t="str">
        <x:v>min_sequence_filter</x:v>
      </x:c>
      <x:c r="E424" s="16" t="str">
        <x:f>Coder_A!E424</x:f>
        <x:v>NR</x:v>
      </x:c>
      <x:c r="F424" s="16" t="n">
        <x:f>Coder_B!E424</x:f>
        <x:v>0</x:v>
      </x:c>
      <x:c r="G424" s="16" t="str">
        <x:f>IF(F424="","PENDING",IF(E424=F424,"AGREE","DISAGREE"))</x:f>
        <x:v>PENDING</x:v>
      </x:c>
      <x:c r="H424" s="16" t="str">
        <x:v>N</x:v>
      </x:c>
      <x:c r="I424" s="16" t="str">
        <x:f>Coder_A!F424</x:f>
        <x:v>Sec. 3 Datasets; Appendix A; Table 2; Table 1; Appendix B</x:v>
      </x:c>
      <x:c r="J424" s="16" t="n">
        <x:f>Coder_B!F424</x:f>
        <x:v>0</x:v>
      </x:c>
    </x:row>
    <x:row r="425">
      <x:c r="A425" s="16" t="n">
        <x:v>424</x:v>
      </x:c>
      <x:c r="B425" s="16" t="str">
        <x:v>EXPERIMENT</x:v>
      </x:c>
      <x:c r="C425" s="16" t="str">
        <x:f>Coder_A!C425</x:f>
        <x:v>PILOT_01_E05</x:v>
      </x:c>
      <x:c r="D425" s="16" t="str">
        <x:v>timestamp_used</x:v>
      </x:c>
      <x:c r="E425" s="16" t="str">
        <x:f>Coder_A!E425</x:f>
        <x:v>UNCLEAR</x:v>
      </x:c>
      <x:c r="F425" s="16" t="n">
        <x:f>Coder_B!E425</x:f>
        <x:v>0</x:v>
      </x:c>
      <x:c r="G425" s="16" t="str">
        <x:f>IF(F425="","PENDING",IF(E425=F425,"AGREE","DISAGREE"))</x:f>
        <x:v>PENDING</x:v>
      </x:c>
      <x:c r="H425" s="16" t="str">
        <x:v>Y</x:v>
      </x:c>
      <x:c r="I425" s="16" t="str">
        <x:f>Coder_A!F425</x:f>
        <x:v>Sec. 3 Datasets; Appendix A; Table 2; Table 1; Appendix B</x:v>
      </x:c>
      <x:c r="J425" s="16" t="n">
        <x:f>Coder_B!F425</x:f>
        <x:v>0</x:v>
      </x:c>
    </x:row>
    <x:row r="426">
      <x:c r="A426" s="16" t="n">
        <x:v>425</x:v>
      </x:c>
      <x:c r="B426" s="16" t="str">
        <x:v>EXPERIMENT</x:v>
      </x:c>
      <x:c r="C426" s="16" t="str">
        <x:f>Coder_A!C426</x:f>
        <x:v>PILOT_01_E05</x:v>
      </x:c>
      <x:c r="D426" s="16" t="str">
        <x:v>preprocessing_code_available</x:v>
      </x:c>
      <x:c r="E426" s="16" t="str">
        <x:f>Coder_A!E426</x:f>
        <x:v>NR</x:v>
      </x:c>
      <x:c r="F426" s="16" t="n">
        <x:f>Coder_B!E426</x:f>
        <x:v>0</x:v>
      </x:c>
      <x:c r="G426" s="16" t="str">
        <x:f>IF(F426="","PENDING",IF(E426=F426,"AGREE","DISAGREE"))</x:f>
        <x:v>PENDING</x:v>
      </x:c>
      <x:c r="H426" s="16" t="str">
        <x:v>Y</x:v>
      </x:c>
      <x:c r="I426" s="16" t="str">
        <x:f>Coder_A!F426</x:f>
        <x:v>Sec. 3 Datasets; Appendix A; Table 2; Table 1; Appendix B</x:v>
      </x:c>
      <x:c r="J426" s="16" t="n">
        <x:f>Coder_B!F426</x:f>
        <x:v>0</x:v>
      </x:c>
    </x:row>
    <x:row r="427">
      <x:c r="A427" s="16" t="n">
        <x:v>426</x:v>
      </x:c>
      <x:c r="B427" s="16" t="str">
        <x:v>EXPERIMENT</x:v>
      </x:c>
      <x:c r="C427" s="16" t="str">
        <x:f>Coder_A!C427</x:f>
        <x:v>PILOT_01_E05</x:v>
      </x:c>
      <x:c r="D427" s="16" t="str">
        <x:v>split_type</x:v>
      </x:c>
      <x:c r="E427" s="16" t="str">
        <x:f>Coder_A!E427</x:f>
        <x:v>LEARNER_BASED</x:v>
      </x:c>
      <x:c r="F427" s="16" t="n">
        <x:f>Coder_B!E427</x:f>
        <x:v>0</x:v>
      </x:c>
      <x:c r="G427" s="16" t="str">
        <x:f>IF(F427="","PENDING",IF(E427=F427,"AGREE","DISAGREE"))</x:f>
        <x:v>PENDING</x:v>
      </x:c>
      <x:c r="H427" s="16" t="str">
        <x:v>Y</x:v>
      </x:c>
      <x:c r="I427" s="16" t="str">
        <x:f>Coder_A!F427</x:f>
        <x:v>Sec. 3 Datasets; Appendix A; Table 2; Table 1; Appendix B</x:v>
      </x:c>
      <x:c r="J427" s="16" t="n">
        <x:f>Coder_B!F427</x:f>
        <x:v>0</x:v>
      </x:c>
    </x:row>
    <x:row r="428">
      <x:c r="A428" s="16" t="n">
        <x:v>427</x:v>
      </x:c>
      <x:c r="B428" s="16" t="str">
        <x:v>EXPERIMENT</x:v>
      </x:c>
      <x:c r="C428" s="16" t="str">
        <x:f>Coder_A!C428</x:f>
        <x:v>PILOT_01_E05</x:v>
      </x:c>
      <x:c r="D428" s="16" t="str">
        <x:v>split_unit_original</x:v>
      </x:c>
      <x:c r="E428" s="16" t="str">
        <x:f>Coder_A!E428</x:f>
        <x:v>students</x:v>
      </x:c>
      <x:c r="F428" s="16" t="n">
        <x:f>Coder_B!E428</x:f>
        <x:v>0</x:v>
      </x:c>
      <x:c r="G428" s="16" t="str">
        <x:f>IF(F428="","PENDING",IF(E428=F428,"AGREE","DISAGREE"))</x:f>
        <x:v>PENDING</x:v>
      </x:c>
      <x:c r="H428" s="16" t="str">
        <x:v>N</x:v>
      </x:c>
      <x:c r="I428" s="16" t="str">
        <x:f>Coder_A!F428</x:f>
        <x:v>Sec. 3 Datasets; Appendix A; Table 2; Table 1; Appendix B</x:v>
      </x:c>
      <x:c r="J428" s="16" t="n">
        <x:f>Coder_B!F428</x:f>
        <x:v>0</x:v>
      </x:c>
    </x:row>
    <x:row r="429">
      <x:c r="A429" s="16" t="n">
        <x:v>428</x:v>
      </x:c>
      <x:c r="B429" s="16" t="str">
        <x:v>EXPERIMENT</x:v>
      </x:c>
      <x:c r="C429" s="16" t="str">
        <x:f>Coder_A!C429</x:f>
        <x:v>PILOT_01_E05</x:v>
      </x:c>
      <x:c r="D429" s="16" t="str">
        <x:v>train_fraction</x:v>
      </x:c>
      <x:c r="E429" s="16" t="n">
        <x:f>Coder_A!E429</x:f>
        <x:v>0.8</x:v>
      </x:c>
      <x:c r="F429" s="16" t="n">
        <x:f>Coder_B!E429</x:f>
        <x:v>0</x:v>
      </x:c>
      <x:c r="G429" s="16" t="str">
        <x:f>IF(F429="","PENDING",IF(E429=F429,"AGREE","DISAGREE"))</x:f>
        <x:v>PENDING</x:v>
      </x:c>
      <x:c r="H429" s="16" t="str">
        <x:v>N</x:v>
      </x:c>
      <x:c r="I429" s="16" t="str">
        <x:f>Coder_A!F429</x:f>
        <x:v>Sec. 3 Datasets; Appendix A; Table 2; Table 1; Appendix B</x:v>
      </x:c>
      <x:c r="J429" s="16" t="n">
        <x:f>Coder_B!F429</x:f>
        <x:v>0</x:v>
      </x:c>
    </x:row>
    <x:row r="430">
      <x:c r="A430" s="16" t="n">
        <x:v>429</x:v>
      </x:c>
      <x:c r="B430" s="16" t="str">
        <x:v>EXPERIMENT</x:v>
      </x:c>
      <x:c r="C430" s="16" t="str">
        <x:f>Coder_A!C430</x:f>
        <x:v>PILOT_01_E05</x:v>
      </x:c>
      <x:c r="D430" s="16" t="str">
        <x:v>validation_fraction</x:v>
      </x:c>
      <x:c r="E430" s="16" t="n">
        <x:f>Coder_A!E430</x:f>
        <x:v>0.1</x:v>
      </x:c>
      <x:c r="F430" s="16" t="n">
        <x:f>Coder_B!E430</x:f>
        <x:v>0</x:v>
      </x:c>
      <x:c r="G430" s="16" t="str">
        <x:f>IF(F430="","PENDING",IF(E430=F430,"AGREE","DISAGREE"))</x:f>
        <x:v>PENDING</x:v>
      </x:c>
      <x:c r="H430" s="16" t="str">
        <x:v>N</x:v>
      </x:c>
      <x:c r="I430" s="16" t="str">
        <x:f>Coder_A!F430</x:f>
        <x:v>Sec. 3 Datasets; Appendix A; Table 2; Table 1; Appendix B</x:v>
      </x:c>
      <x:c r="J430" s="16" t="n">
        <x:f>Coder_B!F430</x:f>
        <x:v>0</x:v>
      </x:c>
    </x:row>
    <x:row r="431">
      <x:c r="A431" s="16" t="n">
        <x:v>430</x:v>
      </x:c>
      <x:c r="B431" s="16" t="str">
        <x:v>EXPERIMENT</x:v>
      </x:c>
      <x:c r="C431" s="16" t="str">
        <x:f>Coder_A!C431</x:f>
        <x:v>PILOT_01_E05</x:v>
      </x:c>
      <x:c r="D431" s="16" t="str">
        <x:v>test_fraction</x:v>
      </x:c>
      <x:c r="E431" s="16" t="n">
        <x:f>Coder_A!E431</x:f>
        <x:v>0.1</x:v>
      </x:c>
      <x:c r="F431" s="16" t="n">
        <x:f>Coder_B!E431</x:f>
        <x:v>0</x:v>
      </x:c>
      <x:c r="G431" s="16" t="str">
        <x:f>IF(F431="","PENDING",IF(E431=F431,"AGREE","DISAGREE"))</x:f>
        <x:v>PENDING</x:v>
      </x:c>
      <x:c r="H431" s="16" t="str">
        <x:v>N</x:v>
      </x:c>
      <x:c r="I431" s="16" t="str">
        <x:f>Coder_A!F431</x:f>
        <x:v>Sec. 3 Datasets; Appendix A; Table 2; Table 1; Appendix B</x:v>
      </x:c>
      <x:c r="J431" s="16" t="n">
        <x:f>Coder_B!F431</x:f>
        <x:v>0</x:v>
      </x:c>
    </x:row>
    <x:row r="432">
      <x:c r="A432" s="16" t="n">
        <x:v>431</x:v>
      </x:c>
      <x:c r="B432" s="16" t="str">
        <x:v>EXPERIMENT</x:v>
      </x:c>
      <x:c r="C432" s="16" t="str">
        <x:f>Coder_A!C432</x:f>
        <x:v>PILOT_01_E05</x:v>
      </x:c>
      <x:c r="D432" s="16" t="str">
        <x:v>validation_set_separate</x:v>
      </x:c>
      <x:c r="E432" s="16" t="str">
        <x:f>Coder_A!E432</x:f>
        <x:v>Y</x:v>
      </x:c>
      <x:c r="F432" s="16" t="n">
        <x:f>Coder_B!E432</x:f>
        <x:v>0</x:v>
      </x:c>
      <x:c r="G432" s="16" t="str">
        <x:f>IF(F432="","PENDING",IF(E432=F432,"AGREE","DISAGREE"))</x:f>
        <x:v>PENDING</x:v>
      </x:c>
      <x:c r="H432" s="16" t="str">
        <x:v>Y</x:v>
      </x:c>
      <x:c r="I432" s="16" t="str">
        <x:f>Coder_A!F432</x:f>
        <x:v>Sec. 3 Datasets; Appendix A; Table 2; Table 1; Appendix B</x:v>
      </x:c>
      <x:c r="J432" s="16" t="n">
        <x:f>Coder_B!F432</x:f>
        <x:v>0</x:v>
      </x:c>
    </x:row>
    <x:row r="433">
      <x:c r="A433" s="16" t="n">
        <x:v>432</x:v>
      </x:c>
      <x:c r="B433" s="16" t="str">
        <x:v>EXPERIMENT</x:v>
      </x:c>
      <x:c r="C433" s="16" t="str">
        <x:f>Coder_A!C433</x:f>
        <x:v>PILOT_01_E05</x:v>
      </x:c>
      <x:c r="D433" s="16" t="str">
        <x:v>early_stopping_validation_only</x:v>
      </x:c>
      <x:c r="E433" s="16" t="str">
        <x:f>Coder_A!E433</x:f>
        <x:v>UNCLEAR</x:v>
      </x:c>
      <x:c r="F433" s="16" t="n">
        <x:f>Coder_B!E433</x:f>
        <x:v>0</x:v>
      </x:c>
      <x:c r="G433" s="16" t="str">
        <x:f>IF(F433="","PENDING",IF(E433=F433,"AGREE","DISAGREE"))</x:f>
        <x:v>PENDING</x:v>
      </x:c>
      <x:c r="H433" s="16" t="str">
        <x:v>Y</x:v>
      </x:c>
      <x:c r="I433" s="16" t="str">
        <x:f>Coder_A!F433</x:f>
        <x:v>Sec. 3 Datasets; Appendix A; Table 2; Table 1; Appendix B</x:v>
      </x:c>
      <x:c r="J433" s="16" t="n">
        <x:f>Coder_B!F433</x:f>
        <x:v>0</x:v>
      </x:c>
    </x:row>
    <x:row r="434">
      <x:c r="A434" s="16" t="n">
        <x:v>433</x:v>
      </x:c>
      <x:c r="B434" s="16" t="str">
        <x:v>EXPERIMENT</x:v>
      </x:c>
      <x:c r="C434" s="16" t="str">
        <x:f>Coder_A!C434</x:f>
        <x:v>PILOT_01_E05</x:v>
      </x:c>
      <x:c r="D434" s="16" t="str">
        <x:v>graph_train_only</x:v>
      </x:c>
      <x:c r="E434" s="16" t="str">
        <x:f>Coder_A!E434</x:f>
        <x:v>UNCLEAR</x:v>
      </x:c>
      <x:c r="F434" s="16" t="n">
        <x:f>Coder_B!E434</x:f>
        <x:v>0</x:v>
      </x:c>
      <x:c r="G434" s="16" t="str">
        <x:f>IF(F434="","PENDING",IF(E434=F434,"AGREE","DISAGREE"))</x:f>
        <x:v>PENDING</x:v>
      </x:c>
      <x:c r="H434" s="16" t="str">
        <x:v>Y</x:v>
      </x:c>
      <x:c r="I434" s="16" t="str">
        <x:f>Coder_A!F434</x:f>
        <x:v>Sec. 3 Datasets; Appendix A; Table 2; Table 1; Appendix B</x:v>
      </x:c>
      <x:c r="J434" s="16" t="n">
        <x:f>Coder_B!F434</x:f>
        <x:v>0</x:v>
      </x:c>
    </x:row>
    <x:row r="435">
      <x:c r="A435" s="16" t="n">
        <x:v>434</x:v>
      </x:c>
      <x:c r="B435" s="16" t="str">
        <x:v>EXPERIMENT</x:v>
      </x:c>
      <x:c r="C435" s="16" t="str">
        <x:f>Coder_A!C435</x:f>
        <x:v>PILOT_01_E05</x:v>
      </x:c>
      <x:c r="D435" s="16" t="str">
        <x:v>normalization_train_only</x:v>
      </x:c>
      <x:c r="E435" s="16" t="str">
        <x:f>Coder_A!E435</x:f>
        <x:v>NR</x:v>
      </x:c>
      <x:c r="F435" s="16" t="n">
        <x:f>Coder_B!E435</x:f>
        <x:v>0</x:v>
      </x:c>
      <x:c r="G435" s="16" t="str">
        <x:f>IF(F435="","PENDING",IF(E435=F435,"AGREE","DISAGREE"))</x:f>
        <x:v>PENDING</x:v>
      </x:c>
      <x:c r="H435" s="16" t="str">
        <x:v>Y</x:v>
      </x:c>
      <x:c r="I435" s="16" t="str">
        <x:f>Coder_A!F435</x:f>
        <x:v>Sec. 3 Datasets; Appendix A; Table 2; Table 1; Appendix B</x:v>
      </x:c>
      <x:c r="J435" s="16" t="n">
        <x:f>Coder_B!F435</x:f>
        <x:v>0</x:v>
      </x:c>
    </x:row>
    <x:row r="436">
      <x:c r="A436" s="16" t="n">
        <x:v>435</x:v>
      </x:c>
      <x:c r="B436" s="16" t="str">
        <x:v>EXPERIMENT</x:v>
      </x:c>
      <x:c r="C436" s="16" t="str">
        <x:f>Coder_A!C436</x:f>
        <x:v>PILOT_01_E05</x:v>
      </x:c>
      <x:c r="D436" s="16" t="str">
        <x:v>sparse_strata_train_only</x:v>
      </x:c>
      <x:c r="E436" s="16" t="str">
        <x:f>Coder_A!E436</x:f>
        <x:v>NA</x:v>
      </x:c>
      <x:c r="F436" s="16" t="n">
        <x:f>Coder_B!E436</x:f>
        <x:v>0</x:v>
      </x:c>
      <x:c r="G436" s="16" t="str">
        <x:f>IF(F436="","PENDING",IF(E436=F436,"AGREE","DISAGREE"))</x:f>
        <x:v>PENDING</x:v>
      </x:c>
      <x:c r="H436" s="16" t="str">
        <x:v>Y</x:v>
      </x:c>
      <x:c r="I436" s="16" t="str">
        <x:f>Coder_A!F436</x:f>
        <x:v>Sec. 3 Datasets; Appendix A; Table 2; Table 1; Appendix B</x:v>
      </x:c>
      <x:c r="J436" s="16" t="n">
        <x:f>Coder_B!F436</x:f>
        <x:v>0</x:v>
      </x:c>
    </x:row>
    <x:row r="437">
      <x:c r="A437" s="16" t="n">
        <x:v>436</x:v>
      </x:c>
      <x:c r="B437" s="16" t="str">
        <x:v>EXPERIMENT</x:v>
      </x:c>
      <x:c r="C437" s="16" t="str">
        <x:f>Coder_A!C437</x:f>
        <x:v>PILOT_01_E05</x:v>
      </x:c>
      <x:c r="D437" s="16" t="str">
        <x:v>temporal_alignment_audited</x:v>
      </x:c>
      <x:c r="E437" s="16" t="str">
        <x:f>Coder_A!E437</x:f>
        <x:v>NR</x:v>
      </x:c>
      <x:c r="F437" s="16" t="n">
        <x:f>Coder_B!E437</x:f>
        <x:v>0</x:v>
      </x:c>
      <x:c r="G437" s="16" t="str">
        <x:f>IF(F437="","PENDING",IF(E437=F437,"AGREE","DISAGREE"))</x:f>
        <x:v>PENDING</x:v>
      </x:c>
      <x:c r="H437" s="16" t="str">
        <x:v>Y</x:v>
      </x:c>
      <x:c r="I437" s="16" t="str">
        <x:f>Coder_A!F437</x:f>
        <x:v>Sec. 3 Datasets; Appendix A; Table 2; Table 1; Appendix B</x:v>
      </x:c>
      <x:c r="J437" s="16" t="n">
        <x:f>Coder_B!F437</x:f>
        <x:v>0</x:v>
      </x:c>
    </x:row>
    <x:row r="438">
      <x:c r="A438" s="16" t="n">
        <x:v>437</x:v>
      </x:c>
      <x:c r="B438" s="16" t="str">
        <x:v>EXPERIMENT</x:v>
      </x:c>
      <x:c r="C438" s="16" t="str">
        <x:f>Coder_A!C438</x:f>
        <x:v>PILOT_01_E05</x:v>
      </x:c>
      <x:c r="D438" s="16" t="str">
        <x:v>duplicate_entity_leakage_checked</x:v>
      </x:c>
      <x:c r="E438" s="16" t="str">
        <x:f>Coder_A!E438</x:f>
        <x:v>NR</x:v>
      </x:c>
      <x:c r="F438" s="16" t="n">
        <x:f>Coder_B!E438</x:f>
        <x:v>0</x:v>
      </x:c>
      <x:c r="G438" s="16" t="str">
        <x:f>IF(F438="","PENDING",IF(E438=F438,"AGREE","DISAGREE"))</x:f>
        <x:v>PENDING</x:v>
      </x:c>
      <x:c r="H438" s="16" t="str">
        <x:v>Y</x:v>
      </x:c>
      <x:c r="I438" s="16" t="str">
        <x:f>Coder_A!F438</x:f>
        <x:v>Sec. 3 Datasets; Appendix A; Table 2; Table 1; Appendix B</x:v>
      </x:c>
      <x:c r="J438" s="16" t="n">
        <x:f>Coder_B!F438</x:f>
        <x:v>0</x:v>
      </x:c>
    </x:row>
    <x:row r="439">
      <x:c r="A439" s="16" t="n">
        <x:v>438</x:v>
      </x:c>
      <x:c r="B439" s="16" t="str">
        <x:v>EXPERIMENT</x:v>
      </x:c>
      <x:c r="C439" s="16" t="str">
        <x:f>Coder_A!C439</x:f>
        <x:v>PILOT_01_E05</x:v>
      </x:c>
      <x:c r="D439" s="16" t="str">
        <x:v>sparsity_construct</x:v>
      </x:c>
      <x:c r="E439" s="16" t="str">
        <x:f>Coder_A!E439</x:f>
        <x:v>NO_EXPLICIT_FOCUS</x:v>
      </x:c>
      <x:c r="F439" s="16" t="n">
        <x:f>Coder_B!E439</x:f>
        <x:v>0</x:v>
      </x:c>
      <x:c r="G439" s="16" t="str">
        <x:f>IF(F439="","PENDING",IF(E439=F439,"AGREE","DISAGREE"))</x:f>
        <x:v>PENDING</x:v>
      </x:c>
      <x:c r="H439" s="16" t="str">
        <x:v>Y</x:v>
      </x:c>
      <x:c r="I439" s="16" t="str">
        <x:f>Coder_A!F439</x:f>
        <x:v>Sec. 3 Datasets; Appendix A; Table 2; Table 1; Appendix B</x:v>
      </x:c>
      <x:c r="J439" s="16" t="n">
        <x:f>Coder_B!F439</x:f>
        <x:v>0</x:v>
      </x:c>
    </x:row>
    <x:row r="440">
      <x:c r="A440" s="16" t="n">
        <x:v>439</x:v>
      </x:c>
      <x:c r="B440" s="16" t="str">
        <x:v>EXPERIMENT</x:v>
      </x:c>
      <x:c r="C440" s="16" t="str">
        <x:f>Coder_A!C440</x:f>
        <x:v>PILOT_01_E05</x:v>
      </x:c>
      <x:c r="D440" s="16" t="str">
        <x:v>sparse_definition_original</x:v>
      </x:c>
      <x:c r="E440" s="16" t="str">
        <x:f>Coder_A!E440</x:f>
        <x:v>NA</x:v>
      </x:c>
      <x:c r="F440" s="16" t="n">
        <x:f>Coder_B!E440</x:f>
        <x:v>0</x:v>
      </x:c>
      <x:c r="G440" s="16" t="str">
        <x:f>IF(F440="","PENDING",IF(E440=F440,"AGREE","DISAGREE"))</x:f>
        <x:v>PENDING</x:v>
      </x:c>
      <x:c r="H440" s="16" t="str">
        <x:v>N</x:v>
      </x:c>
      <x:c r="I440" s="16" t="str">
        <x:f>Coder_A!F440</x:f>
        <x:v>Sec. 3 Datasets; Appendix A; Table 2; Table 1; Appendix B</x:v>
      </x:c>
      <x:c r="J440" s="16" t="n">
        <x:f>Coder_B!F440</x:f>
        <x:v>0</x:v>
      </x:c>
    </x:row>
    <x:row r="441">
      <x:c r="A441" s="16" t="n">
        <x:v>440</x:v>
      </x:c>
      <x:c r="B441" s="16" t="str">
        <x:v>EXPERIMENT</x:v>
      </x:c>
      <x:c r="C441" s="16" t="str">
        <x:f>Coder_A!C441</x:f>
        <x:v>PILOT_01_E05</x:v>
      </x:c>
      <x:c r="D441" s="16" t="str">
        <x:v>sparse_threshold_original</x:v>
      </x:c>
      <x:c r="E441" s="16" t="str">
        <x:f>Coder_A!E441</x:f>
        <x:v>NA</x:v>
      </x:c>
      <x:c r="F441" s="16" t="n">
        <x:f>Coder_B!E441</x:f>
        <x:v>0</x:v>
      </x:c>
      <x:c r="G441" s="16" t="str">
        <x:f>IF(F441="","PENDING",IF(E441=F441,"AGREE","DISAGREE"))</x:f>
        <x:v>PENDING</x:v>
      </x:c>
      <x:c r="H441" s="16" t="str">
        <x:v>N</x:v>
      </x:c>
      <x:c r="I441" s="16" t="str">
        <x:f>Coder_A!F441</x:f>
        <x:v>Sec. 3 Datasets; Appendix A; Table 2; Table 1; Appendix B</x:v>
      </x:c>
      <x:c r="J441" s="16" t="n">
        <x:f>Coder_B!F441</x:f>
        <x:v>0</x:v>
      </x:c>
    </x:row>
    <x:row r="442">
      <x:c r="A442" s="16" t="n">
        <x:v>441</x:v>
      </x:c>
      <x:c r="B442" s="16" t="str">
        <x:v>EXPERIMENT</x:v>
      </x:c>
      <x:c r="C442" s="16" t="str">
        <x:f>Coder_A!C442</x:f>
        <x:v>PILOT_01_E05</x:v>
      </x:c>
      <x:c r="D442" s="16" t="str">
        <x:v>threshold_source</x:v>
      </x:c>
      <x:c r="E442" s="16" t="str">
        <x:f>Coder_A!E442</x:f>
        <x:v>NA</x:v>
      </x:c>
      <x:c r="F442" s="16" t="n">
        <x:f>Coder_B!E442</x:f>
        <x:v>0</x:v>
      </x:c>
      <x:c r="G442" s="16" t="str">
        <x:f>IF(F442="","PENDING",IF(E442=F442,"AGREE","DISAGREE"))</x:f>
        <x:v>PENDING</x:v>
      </x:c>
      <x:c r="H442" s="16" t="str">
        <x:v>Y</x:v>
      </x:c>
      <x:c r="I442" s="16" t="str">
        <x:f>Coder_A!F442</x:f>
        <x:v>Sec. 3 Datasets; Appendix A; Table 2; Table 1; Appendix B</x:v>
      </x:c>
      <x:c r="J442" s="16" t="n">
        <x:f>Coder_B!F442</x:f>
        <x:v>0</x:v>
      </x:c>
    </x:row>
    <x:row r="443">
      <x:c r="A443" s="16" t="n">
        <x:v>442</x:v>
      </x:c>
      <x:c r="B443" s="16" t="str">
        <x:v>EXPERIMENT</x:v>
      </x:c>
      <x:c r="C443" s="16" t="str">
        <x:f>Coder_A!C443</x:f>
        <x:v>PILOT_01_E05</x:v>
      </x:c>
      <x:c r="D443" s="16" t="str">
        <x:v>frequency_computed_on</x:v>
      </x:c>
      <x:c r="E443" s="16" t="str">
        <x:f>Coder_A!E443</x:f>
        <x:v>NA</x:v>
      </x:c>
      <x:c r="F443" s="16" t="n">
        <x:f>Coder_B!E443</x:f>
        <x:v>0</x:v>
      </x:c>
      <x:c r="G443" s="16" t="str">
        <x:f>IF(F443="","PENDING",IF(E443=F443,"AGREE","DISAGREE"))</x:f>
        <x:v>PENDING</x:v>
      </x:c>
      <x:c r="H443" s="16" t="str">
        <x:v>Y</x:v>
      </x:c>
      <x:c r="I443" s="16" t="str">
        <x:f>Coder_A!F443</x:f>
        <x:v>Sec. 3 Datasets; Appendix A; Table 2; Table 1; Appendix B</x:v>
      </x:c>
      <x:c r="J443" s="16" t="n">
        <x:f>Coder_B!F443</x:f>
        <x:v>0</x:v>
      </x:c>
    </x:row>
    <x:row r="444">
      <x:c r="A444" s="16" t="n">
        <x:v>443</x:v>
      </x:c>
      <x:c r="B444" s="16" t="str">
        <x:v>EXPERIMENT</x:v>
      </x:c>
      <x:c r="C444" s="16" t="str">
        <x:f>Coder_A!C444</x:f>
        <x:v>PILOT_01_E05</x:v>
      </x:c>
      <x:c r="D444" s="16" t="str">
        <x:v>strict_zero_train_verified</x:v>
      </x:c>
      <x:c r="E444" s="16" t="str">
        <x:f>Coder_A!E444</x:f>
        <x:v>NA</x:v>
      </x:c>
      <x:c r="F444" s="16" t="n">
        <x:f>Coder_B!E444</x:f>
        <x:v>0</x:v>
      </x:c>
      <x:c r="G444" s="16" t="str">
        <x:f>IF(F444="","PENDING",IF(E444=F444,"AGREE","DISAGREE"))</x:f>
        <x:v>PENDING</x:v>
      </x:c>
      <x:c r="H444" s="16" t="str">
        <x:v>Y</x:v>
      </x:c>
      <x:c r="I444" s="16" t="str">
        <x:f>Coder_A!F444</x:f>
        <x:v>Sec. 3 Datasets; Appendix A; Table 2; Table 1; Appendix B</x:v>
      </x:c>
      <x:c r="J444" s="16" t="n">
        <x:f>Coder_B!F444</x:f>
        <x:v>0</x:v>
      </x:c>
    </x:row>
    <x:row r="445">
      <x:c r="A445" s="16" t="n">
        <x:v>444</x:v>
      </x:c>
      <x:c r="B445" s="16" t="str">
        <x:v>EXPERIMENT</x:v>
      </x:c>
      <x:c r="C445" s="16" t="str">
        <x:f>Coder_A!C445</x:f>
        <x:v>PILOT_01_E05</x:v>
      </x:c>
      <x:c r="D445" s="16" t="str">
        <x:v>external_info_for_unseen_kc</x:v>
      </x:c>
      <x:c r="E445" s="16" t="str">
        <x:f>Coder_A!E445</x:f>
        <x:v>NA</x:v>
      </x:c>
      <x:c r="F445" s="16" t="n">
        <x:f>Coder_B!E445</x:f>
        <x:v>0</x:v>
      </x:c>
      <x:c r="G445" s="16" t="str">
        <x:f>IF(F445="","PENDING",IF(E445=F445,"AGREE","DISAGREE"))</x:f>
        <x:v>PENDING</x:v>
      </x:c>
      <x:c r="H445" s="16" t="str">
        <x:v>Y</x:v>
      </x:c>
      <x:c r="I445" s="16" t="str">
        <x:f>Coder_A!F445</x:f>
        <x:v>Sec. 3 Datasets; Appendix A; Table 2; Table 1; Appendix B</x:v>
      </x:c>
      <x:c r="J445" s="16" t="n">
        <x:f>Coder_B!F445</x:f>
        <x:v>0</x:v>
      </x:c>
    </x:row>
    <x:row r="446">
      <x:c r="A446" s="16" t="n">
        <x:v>445</x:v>
      </x:c>
      <x:c r="B446" s="16" t="str">
        <x:v>EXPERIMENT</x:v>
      </x:c>
      <x:c r="C446" s="16" t="str">
        <x:f>Coder_A!C446</x:f>
        <x:v>PILOT_01_E05</x:v>
      </x:c>
      <x:c r="D446" s="16" t="str">
        <x:v>support_kcs</x:v>
      </x:c>
      <x:c r="E446" s="16" t="str">
        <x:f>Coder_A!E446</x:f>
        <x:v>NA</x:v>
      </x:c>
      <x:c r="F446" s="16" t="n">
        <x:f>Coder_B!E446</x:f>
        <x:v>0</x:v>
      </x:c>
      <x:c r="G446" s="16" t="str">
        <x:f>IF(F446="","PENDING",IF(E446=F446,"AGREE","DISAGREE"))</x:f>
        <x:v>PENDING</x:v>
      </x:c>
      <x:c r="H446" s="16" t="str">
        <x:v>N</x:v>
      </x:c>
      <x:c r="I446" s="16" t="str">
        <x:f>Coder_A!F446</x:f>
        <x:v>Sec. 3 Datasets; Appendix A; Table 2; Table 1; Appendix B</x:v>
      </x:c>
      <x:c r="J446" s="16" t="n">
        <x:f>Coder_B!F446</x:f>
        <x:v>0</x:v>
      </x:c>
    </x:row>
    <x:row r="447">
      <x:c r="A447" s="16" t="n">
        <x:v>446</x:v>
      </x:c>
      <x:c r="B447" s="16" t="str">
        <x:v>EXPERIMENT</x:v>
      </x:c>
      <x:c r="C447" s="16" t="str">
        <x:f>Coder_A!C447</x:f>
        <x:v>PILOT_01_E05</x:v>
      </x:c>
      <x:c r="D447" s="16" t="str">
        <x:v>support_learners</x:v>
      </x:c>
      <x:c r="E447" s="16" t="str">
        <x:f>Coder_A!E447</x:f>
        <x:v>NA</x:v>
      </x:c>
      <x:c r="F447" s="16" t="n">
        <x:f>Coder_B!E447</x:f>
        <x:v>0</x:v>
      </x:c>
      <x:c r="G447" s="16" t="str">
        <x:f>IF(F447="","PENDING",IF(E447=F447,"AGREE","DISAGREE"))</x:f>
        <x:v>PENDING</x:v>
      </x:c>
      <x:c r="H447" s="16" t="str">
        <x:v>N</x:v>
      </x:c>
      <x:c r="I447" s="16" t="str">
        <x:f>Coder_A!F447</x:f>
        <x:v>Sec. 3 Datasets; Appendix A; Table 2; Table 1; Appendix B</x:v>
      </x:c>
      <x:c r="J447" s="16" t="n">
        <x:f>Coder_B!F447</x:f>
        <x:v>0</x:v>
      </x:c>
    </x:row>
    <x:row r="448">
      <x:c r="A448" s="16" t="n">
        <x:v>447</x:v>
      </x:c>
      <x:c r="B448" s="16" t="str">
        <x:v>EXPERIMENT</x:v>
      </x:c>
      <x:c r="C448" s="16" t="str">
        <x:f>Coder_A!C448</x:f>
        <x:v>PILOT_01_E05</x:v>
      </x:c>
      <x:c r="D448" s="16" t="str">
        <x:v>support_items</x:v>
      </x:c>
      <x:c r="E448" s="16" t="str">
        <x:f>Coder_A!E448</x:f>
        <x:v>NA</x:v>
      </x:c>
      <x:c r="F448" s="16" t="n">
        <x:f>Coder_B!E448</x:f>
        <x:v>0</x:v>
      </x:c>
      <x:c r="G448" s="16" t="str">
        <x:f>IF(F448="","PENDING",IF(E448=F448,"AGREE","DISAGREE"))</x:f>
        <x:v>PENDING</x:v>
      </x:c>
      <x:c r="H448" s="16" t="str">
        <x:v>N</x:v>
      </x:c>
      <x:c r="I448" s="16" t="str">
        <x:f>Coder_A!F448</x:f>
        <x:v>Sec. 3 Datasets; Appendix A; Table 2; Table 1; Appendix B</x:v>
      </x:c>
      <x:c r="J448" s="16" t="n">
        <x:f>Coder_B!F448</x:f>
        <x:v>0</x:v>
      </x:c>
    </x:row>
    <x:row r="449">
      <x:c r="A449" s="16" t="n">
        <x:v>448</x:v>
      </x:c>
      <x:c r="B449" s="16" t="str">
        <x:v>EXPERIMENT</x:v>
      </x:c>
      <x:c r="C449" s="16" t="str">
        <x:f>Coder_A!C449</x:f>
        <x:v>PILOT_01_E05</x:v>
      </x:c>
      <x:c r="D449" s="16" t="str">
        <x:v>support_test_interactions</x:v>
      </x:c>
      <x:c r="E449" s="16" t="str">
        <x:f>Coder_A!E449</x:f>
        <x:v>NA</x:v>
      </x:c>
      <x:c r="F449" s="16" t="n">
        <x:f>Coder_B!E449</x:f>
        <x:v>0</x:v>
      </x:c>
      <x:c r="G449" s="16" t="str">
        <x:f>IF(F449="","PENDING",IF(E449=F449,"AGREE","DISAGREE"))</x:f>
        <x:v>PENDING</x:v>
      </x:c>
      <x:c r="H449" s="16" t="str">
        <x:v>N</x:v>
      </x:c>
      <x:c r="I449" s="16" t="str">
        <x:f>Coder_A!F449</x:f>
        <x:v>Sec. 3 Datasets; Appendix A; Table 2; Table 1; Appendix B</x:v>
      </x:c>
      <x:c r="J449" s="16" t="n">
        <x:f>Coder_B!F449</x:f>
        <x:v>0</x:v>
      </x:c>
    </x:row>
    <x:row r="450">
      <x:c r="A450" s="16" t="n">
        <x:v>449</x:v>
      </x:c>
      <x:c r="B450" s="16" t="str">
        <x:v>EXPERIMENT</x:v>
      </x:c>
      <x:c r="C450" s="16" t="str">
        <x:f>Coder_A!C450</x:f>
        <x:v>PILOT_01_E05</x:v>
      </x:c>
      <x:c r="D450" s="16" t="str">
        <x:v>positive_count</x:v>
      </x:c>
      <x:c r="E450" s="16" t="str">
        <x:f>Coder_A!E450</x:f>
        <x:v>NA</x:v>
      </x:c>
      <x:c r="F450" s="16" t="n">
        <x:f>Coder_B!E450</x:f>
        <x:v>0</x:v>
      </x:c>
      <x:c r="G450" s="16" t="str">
        <x:f>IF(F450="","PENDING",IF(E450=F450,"AGREE","DISAGREE"))</x:f>
        <x:v>PENDING</x:v>
      </x:c>
      <x:c r="H450" s="16" t="str">
        <x:v>N</x:v>
      </x:c>
      <x:c r="I450" s="16" t="str">
        <x:f>Coder_A!F450</x:f>
        <x:v>Sec. 3 Datasets; Appendix A; Table 2; Table 1; Appendix B</x:v>
      </x:c>
      <x:c r="J450" s="16" t="n">
        <x:f>Coder_B!F450</x:f>
        <x:v>0</x:v>
      </x:c>
    </x:row>
    <x:row r="451">
      <x:c r="A451" s="16" t="n">
        <x:v>450</x:v>
      </x:c>
      <x:c r="B451" s="16" t="str">
        <x:v>EXPERIMENT</x:v>
      </x:c>
      <x:c r="C451" s="16" t="str">
        <x:f>Coder_A!C451</x:f>
        <x:v>PILOT_01_E05</x:v>
      </x:c>
      <x:c r="D451" s="16" t="str">
        <x:v>negative_count</x:v>
      </x:c>
      <x:c r="E451" s="16" t="str">
        <x:f>Coder_A!E451</x:f>
        <x:v>NA</x:v>
      </x:c>
      <x:c r="F451" s="16" t="n">
        <x:f>Coder_B!E451</x:f>
        <x:v>0</x:v>
      </x:c>
      <x:c r="G451" s="16" t="str">
        <x:f>IF(F451="","PENDING",IF(E451=F451,"AGREE","DISAGREE"))</x:f>
        <x:v>PENDING</x:v>
      </x:c>
      <x:c r="H451" s="16" t="str">
        <x:v>N</x:v>
      </x:c>
      <x:c r="I451" s="16" t="str">
        <x:f>Coder_A!F451</x:f>
        <x:v>Sec. 3 Datasets; Appendix A; Table 2; Table 1; Appendix B</x:v>
      </x:c>
      <x:c r="J451" s="16" t="n">
        <x:f>Coder_B!F451</x:f>
        <x:v>0</x:v>
      </x:c>
    </x:row>
    <x:row r="452">
      <x:c r="A452" s="16" t="n">
        <x:v>451</x:v>
      </x:c>
      <x:c r="B452" s="16" t="str">
        <x:v>EXPERIMENT</x:v>
      </x:c>
      <x:c r="C452" s="16" t="str">
        <x:f>Coder_A!C452</x:f>
        <x:v>PILOT_01_E05</x:v>
      </x:c>
      <x:c r="D452" s="16" t="str">
        <x:v>metric_name_original</x:v>
      </x:c>
      <x:c r="E452" s="16" t="str">
        <x:f>Coder_A!E452</x:f>
        <x:v>AUC</x:v>
      </x:c>
      <x:c r="F452" s="16" t="n">
        <x:f>Coder_B!E452</x:f>
        <x:v>0</x:v>
      </x:c>
      <x:c r="G452" s="16" t="str">
        <x:f>IF(F452="","PENDING",IF(E452=F452,"AGREE","DISAGREE"))</x:f>
        <x:v>PENDING</x:v>
      </x:c>
      <x:c r="H452" s="16" t="str">
        <x:v>N</x:v>
      </x:c>
      <x:c r="I452" s="16" t="str">
        <x:f>Coder_A!F452</x:f>
        <x:v>Sec. 3 Datasets; Appendix A; Table 2; Table 1; Appendix B</x:v>
      </x:c>
      <x:c r="J452" s="16" t="n">
        <x:f>Coder_B!F452</x:f>
        <x:v>0</x:v>
      </x:c>
    </x:row>
    <x:row r="453">
      <x:c r="A453" s="16" t="n">
        <x:v>452</x:v>
      </x:c>
      <x:c r="B453" s="16" t="str">
        <x:v>EXPERIMENT</x:v>
      </x:c>
      <x:c r="C453" s="16" t="str">
        <x:f>Coder_A!C453</x:f>
        <x:v>PILOT_01_E05</x:v>
      </x:c>
      <x:c r="D453" s="16" t="str">
        <x:v>metric_value_original</x:v>
      </x:c>
      <x:c r="E453" s="16" t="n">
        <x:f>Coder_A!E453</x:f>
        <x:v>0.723</x:v>
      </x:c>
      <x:c r="F453" s="16" t="n">
        <x:f>Coder_B!E453</x:f>
        <x:v>0</x:v>
      </x:c>
      <x:c r="G453" s="16" t="str">
        <x:f>IF(F453="","PENDING",IF(E453=F453,"AGREE","DISAGREE"))</x:f>
        <x:v>PENDING</x:v>
      </x:c>
      <x:c r="H453" s="16" t="str">
        <x:v>N</x:v>
      </x:c>
      <x:c r="I453" s="16" t="str">
        <x:f>Coder_A!F453</x:f>
        <x:v>Sec. 3 Datasets; Appendix A; Table 2; Table 1; Appendix B</x:v>
      </x:c>
      <x:c r="J453" s="16" t="n">
        <x:f>Coder_B!F453</x:f>
        <x:v>0</x:v>
      </x:c>
    </x:row>
    <x:row r="454">
      <x:c r="A454" s="16" t="n">
        <x:v>453</x:v>
      </x:c>
      <x:c r="B454" s="16" t="str">
        <x:v>EXPERIMENT</x:v>
      </x:c>
      <x:c r="C454" s="16" t="str">
        <x:f>Coder_A!C454</x:f>
        <x:v>PILOT_01_E05</x:v>
      </x:c>
      <x:c r="D454" s="16" t="str">
        <x:v>metric_scope</x:v>
      </x:c>
      <x:c r="E454" s="16" t="str">
        <x:f>Coder_A!E454</x:f>
        <x:v>OVERALL</x:v>
      </x:c>
      <x:c r="F454" s="16" t="n">
        <x:f>Coder_B!E454</x:f>
        <x:v>0</x:v>
      </x:c>
      <x:c r="G454" s="16" t="str">
        <x:f>IF(F454="","PENDING",IF(E454=F454,"AGREE","DISAGREE"))</x:f>
        <x:v>PENDING</x:v>
      </x:c>
      <x:c r="H454" s="16" t="str">
        <x:v>Y</x:v>
      </x:c>
      <x:c r="I454" s="16" t="str">
        <x:f>Coder_A!F454</x:f>
        <x:v>Sec. 3 Datasets; Appendix A; Table 2; Table 1; Appendix B</x:v>
      </x:c>
      <x:c r="J454" s="16" t="n">
        <x:f>Coder_B!F454</x:f>
        <x:v>0</x:v>
      </x:c>
    </x:row>
    <x:row r="455">
      <x:c r="A455" s="16" t="n">
        <x:v>454</x:v>
      </x:c>
      <x:c r="B455" s="16" t="str">
        <x:v>EXPERIMENT</x:v>
      </x:c>
      <x:c r="C455" s="16" t="str">
        <x:f>Coder_A!C455</x:f>
        <x:v>PILOT_01_E05</x:v>
      </x:c>
      <x:c r="D455" s="16" t="str">
        <x:v>n_seeds</x:v>
      </x:c>
      <x:c r="E455" s="16" t="str">
        <x:f>Coder_A!E455</x:f>
        <x:v>NR</x:v>
      </x:c>
      <x:c r="F455" s="16" t="n">
        <x:f>Coder_B!E455</x:f>
        <x:v>0</x:v>
      </x:c>
      <x:c r="G455" s="16" t="str">
        <x:f>IF(F455="","PENDING",IF(E455=F455,"AGREE","DISAGREE"))</x:f>
        <x:v>PENDING</x:v>
      </x:c>
      <x:c r="H455" s="16" t="str">
        <x:v>N</x:v>
      </x:c>
      <x:c r="I455" s="16" t="str">
        <x:f>Coder_A!F455</x:f>
        <x:v>Sec. 3 Datasets; Appendix A; Table 2; Table 1; Appendix B</x:v>
      </x:c>
      <x:c r="J455" s="16" t="n">
        <x:f>Coder_B!F455</x:f>
        <x:v>0</x:v>
      </x:c>
    </x:row>
    <x:row r="456">
      <x:c r="A456" s="16" t="n">
        <x:v>455</x:v>
      </x:c>
      <x:c r="B456" s="16" t="str">
        <x:v>EXPERIMENT</x:v>
      </x:c>
      <x:c r="C456" s="16" t="str">
        <x:f>Coder_A!C456</x:f>
        <x:v>PILOT_01_E05</x:v>
      </x:c>
      <x:c r="D456" s="16" t="str">
        <x:v>seed_values_reported</x:v>
      </x:c>
      <x:c r="E456" s="16" t="str">
        <x:f>Coder_A!E456</x:f>
        <x:v>NR</x:v>
      </x:c>
      <x:c r="F456" s="16" t="n">
        <x:f>Coder_B!E456</x:f>
        <x:v>0</x:v>
      </x:c>
      <x:c r="G456" s="16" t="str">
        <x:f>IF(F456="","PENDING",IF(E456=F456,"AGREE","DISAGREE"))</x:f>
        <x:v>PENDING</x:v>
      </x:c>
      <x:c r="H456" s="16" t="str">
        <x:v>N</x:v>
      </x:c>
      <x:c r="I456" s="16" t="str">
        <x:f>Coder_A!F456</x:f>
        <x:v>Sec. 3 Datasets; Appendix A; Table 2; Table 1; Appendix B</x:v>
      </x:c>
      <x:c r="J456" s="16" t="n">
        <x:f>Coder_B!F456</x:f>
        <x:v>0</x:v>
      </x:c>
    </x:row>
    <x:row r="457">
      <x:c r="A457" s="16" t="n">
        <x:v>456</x:v>
      </x:c>
      <x:c r="B457" s="16" t="str">
        <x:v>EXPERIMENT</x:v>
      </x:c>
      <x:c r="C457" s="16" t="str">
        <x:f>Coder_A!C457</x:f>
        <x:v>PILOT_01_E05</x:v>
      </x:c>
      <x:c r="D457" s="16" t="str">
        <x:v>mean_std_reported</x:v>
      </x:c>
      <x:c r="E457" s="16" t="str">
        <x:f>Coder_A!E457</x:f>
        <x:v>N</x:v>
      </x:c>
      <x:c r="F457" s="16" t="n">
        <x:f>Coder_B!E457</x:f>
        <x:v>0</x:v>
      </x:c>
      <x:c r="G457" s="16" t="str">
        <x:f>IF(F457="","PENDING",IF(E457=F457,"AGREE","DISAGREE"))</x:f>
        <x:v>PENDING</x:v>
      </x:c>
      <x:c r="H457" s="16" t="str">
        <x:v>Y</x:v>
      </x:c>
      <x:c r="I457" s="16" t="str">
        <x:f>Coder_A!F457</x:f>
        <x:v>Sec. 3 Datasets; Appendix A; Table 2; Table 1; Appendix B</x:v>
      </x:c>
      <x:c r="J457" s="16" t="n">
        <x:f>Coder_B!F457</x:f>
        <x:v>0</x:v>
      </x:c>
    </x:row>
    <x:row r="458">
      <x:c r="A458" s="16" t="n">
        <x:v>457</x:v>
      </x:c>
      <x:c r="B458" s="16" t="str">
        <x:v>EXPERIMENT</x:v>
      </x:c>
      <x:c r="C458" s="16" t="str">
        <x:f>Coder_A!C458</x:f>
        <x:v>PILOT_01_E05</x:v>
      </x:c>
      <x:c r="D458" s="16" t="str">
        <x:v>confidence_interval</x:v>
      </x:c>
      <x:c r="E458" s="16" t="str">
        <x:f>Coder_A!E458</x:f>
        <x:v>NR</x:v>
      </x:c>
      <x:c r="F458" s="16" t="n">
        <x:f>Coder_B!E458</x:f>
        <x:v>0</x:v>
      </x:c>
      <x:c r="G458" s="16" t="str">
        <x:f>IF(F458="","PENDING",IF(E458=F458,"AGREE","DISAGREE"))</x:f>
        <x:v>PENDING</x:v>
      </x:c>
      <x:c r="H458" s="16" t="str">
        <x:v>N</x:v>
      </x:c>
      <x:c r="I458" s="16" t="str">
        <x:f>Coder_A!F458</x:f>
        <x:v>Sec. 3 Datasets; Appendix A; Table 2; Table 1; Appendix B</x:v>
      </x:c>
      <x:c r="J458" s="16" t="n">
        <x:f>Coder_B!F458</x:f>
        <x:v>0</x:v>
      </x:c>
    </x:row>
    <x:row r="459">
      <x:c r="A459" s="16" t="n">
        <x:v>458</x:v>
      </x:c>
      <x:c r="B459" s="16" t="str">
        <x:v>EXPERIMENT</x:v>
      </x:c>
      <x:c r="C459" s="16" t="str">
        <x:f>Coder_A!C459</x:f>
        <x:v>PILOT_01_E05</x:v>
      </x:c>
      <x:c r="D459" s="16" t="str">
        <x:v>bootstrap_unit</x:v>
      </x:c>
      <x:c r="E459" s="16" t="str">
        <x:f>Coder_A!E459</x:f>
        <x:v>NA</x:v>
      </x:c>
      <x:c r="F459" s="16" t="n">
        <x:f>Coder_B!E459</x:f>
        <x:v>0</x:v>
      </x:c>
      <x:c r="G459" s="16" t="str">
        <x:f>IF(F459="","PENDING",IF(E459=F459,"AGREE","DISAGREE"))</x:f>
        <x:v>PENDING</x:v>
      </x:c>
      <x:c r="H459" s="16" t="str">
        <x:v>Y</x:v>
      </x:c>
      <x:c r="I459" s="16" t="str">
        <x:f>Coder_A!F459</x:f>
        <x:v>Sec. 3 Datasets; Appendix A; Table 2; Table 1; Appendix B</x:v>
      </x:c>
      <x:c r="J459" s="16" t="n">
        <x:f>Coder_B!F459</x:f>
        <x:v>0</x:v>
      </x:c>
    </x:row>
    <x:row r="460">
      <x:c r="A460" s="16" t="n">
        <x:v>459</x:v>
      </x:c>
      <x:c r="B460" s="16" t="str">
        <x:v>EXPERIMENT</x:v>
      </x:c>
      <x:c r="C460" s="16" t="str">
        <x:f>Coder_A!C460</x:f>
        <x:v>PILOT_01_E05</x:v>
      </x:c>
      <x:c r="D460" s="16" t="str">
        <x:v>statistical_test</x:v>
      </x:c>
      <x:c r="E460" s="16" t="str">
        <x:f>Coder_A!E460</x:f>
        <x:v>NR</x:v>
      </x:c>
      <x:c r="F460" s="16" t="n">
        <x:f>Coder_B!E460</x:f>
        <x:v>0</x:v>
      </x:c>
      <x:c r="G460" s="16" t="str">
        <x:f>IF(F460="","PENDING",IF(E460=F460,"AGREE","DISAGREE"))</x:f>
        <x:v>PENDING</x:v>
      </x:c>
      <x:c r="H460" s="16" t="str">
        <x:v>N</x:v>
      </x:c>
      <x:c r="I460" s="16" t="str">
        <x:f>Coder_A!F460</x:f>
        <x:v>Sec. 3 Datasets; Appendix A; Table 2; Table 1; Appendix B</x:v>
      </x:c>
      <x:c r="J460" s="16" t="n">
        <x:f>Coder_B!F460</x:f>
        <x:v>0</x:v>
      </x:c>
    </x:row>
    <x:row r="461">
      <x:c r="A461" s="16" t="n">
        <x:v>460</x:v>
      </x:c>
      <x:c r="B461" s="16" t="str">
        <x:v>EXPERIMENT</x:v>
      </x:c>
      <x:c r="C461" s="16" t="str">
        <x:f>Coder_A!C461</x:f>
        <x:v>PILOT_01_E05</x:v>
      </x:c>
      <x:c r="D461" s="16" t="str">
        <x:v>multiple_comparison_correction</x:v>
      </x:c>
      <x:c r="E461" s="16" t="str">
        <x:f>Coder_A!E461</x:f>
        <x:v>NR</x:v>
      </x:c>
      <x:c r="F461" s="16" t="n">
        <x:f>Coder_B!E461</x:f>
        <x:v>0</x:v>
      </x:c>
      <x:c r="G461" s="16" t="str">
        <x:f>IF(F461="","PENDING",IF(E461=F461,"AGREE","DISAGREE"))</x:f>
        <x:v>PENDING</x:v>
      </x:c>
      <x:c r="H461" s="16" t="str">
        <x:v>N</x:v>
      </x:c>
      <x:c r="I461" s="16" t="str">
        <x:f>Coder_A!F461</x:f>
        <x:v>Sec. 3 Datasets; Appendix A; Table 2; Table 1; Appendix B</x:v>
      </x:c>
      <x:c r="J461" s="16" t="n">
        <x:f>Coder_B!F461</x:f>
        <x:v>0</x:v>
      </x:c>
    </x:row>
    <x:row r="462">
      <x:c r="A462" s="16" t="n">
        <x:v>461</x:v>
      </x:c>
      <x:c r="B462" s="16" t="str">
        <x:v>EXPERIMENT</x:v>
      </x:c>
      <x:c r="C462" s="16" t="str">
        <x:f>Coder_A!C462</x:f>
        <x:v>PILOT_01_E05</x:v>
      </x:c>
      <x:c r="D462" s="16" t="str">
        <x:v>effect_size</x:v>
      </x:c>
      <x:c r="E462" s="16" t="str">
        <x:f>Coder_A!E462</x:f>
        <x:v>NR</x:v>
      </x:c>
      <x:c r="F462" s="16" t="n">
        <x:f>Coder_B!E462</x:f>
        <x:v>0</x:v>
      </x:c>
      <x:c r="G462" s="16" t="str">
        <x:f>IF(F462="","PENDING",IF(E462=F462,"AGREE","DISAGREE"))</x:f>
        <x:v>PENDING</x:v>
      </x:c>
      <x:c r="H462" s="16" t="str">
        <x:v>N</x:v>
      </x:c>
      <x:c r="I462" s="16" t="str">
        <x:f>Coder_A!F462</x:f>
        <x:v>Sec. 3 Datasets; Appendix A; Table 2; Table 1; Appendix B</x:v>
      </x:c>
      <x:c r="J462" s="16" t="n">
        <x:f>Coder_B!F462</x:f>
        <x:v>0</x:v>
      </x:c>
    </x:row>
    <x:row r="463">
      <x:c r="A463" s="16" t="n">
        <x:v>462</x:v>
      </x:c>
      <x:c r="B463" s="16" t="str">
        <x:v>EXPERIMENT</x:v>
      </x:c>
      <x:c r="C463" s="16" t="str">
        <x:f>Coder_A!C463</x:f>
        <x:v>PILOT_01_E05</x:v>
      </x:c>
      <x:c r="D463" s="16" t="str">
        <x:v>paired_design</x:v>
      </x:c>
      <x:c r="E463" s="16" t="str">
        <x:f>Coder_A!E463</x:f>
        <x:v>NR</x:v>
      </x:c>
      <x:c r="F463" s="16" t="n">
        <x:f>Coder_B!E463</x:f>
        <x:v>0</x:v>
      </x:c>
      <x:c r="G463" s="16" t="str">
        <x:f>IF(F463="","PENDING",IF(E463=F463,"AGREE","DISAGREE"))</x:f>
        <x:v>PENDING</x:v>
      </x:c>
      <x:c r="H463" s="16" t="str">
        <x:v>Y</x:v>
      </x:c>
      <x:c r="I463" s="16" t="str">
        <x:f>Coder_A!F463</x:f>
        <x:v>Sec. 3 Datasets; Appendix A; Table 2; Table 1; Appendix B</x:v>
      </x:c>
      <x:c r="J463" s="16" t="n">
        <x:f>Coder_B!F463</x:f>
        <x:v>0</x:v>
      </x:c>
    </x:row>
    <x:row r="464">
      <x:c r="A464" s="16" t="n">
        <x:v>463</x:v>
      </x:c>
      <x:c r="B464" s="16" t="str">
        <x:v>EXPERIMENT</x:v>
      </x:c>
      <x:c r="C464" s="16" t="str">
        <x:f>Coder_A!C464</x:f>
        <x:v>PILOT_01_E05</x:v>
      </x:c>
      <x:c r="D464" s="16" t="str">
        <x:v>significance_threshold</x:v>
      </x:c>
      <x:c r="E464" s="16" t="str">
        <x:f>Coder_A!E464</x:f>
        <x:v>NR</x:v>
      </x:c>
      <x:c r="F464" s="16" t="n">
        <x:f>Coder_B!E464</x:f>
        <x:v>0</x:v>
      </x:c>
      <x:c r="G464" s="16" t="str">
        <x:f>IF(F464="","PENDING",IF(E464=F464,"AGREE","DISAGREE"))</x:f>
        <x:v>PENDING</x:v>
      </x:c>
      <x:c r="H464" s="16" t="str">
        <x:v>N</x:v>
      </x:c>
      <x:c r="I464" s="16" t="str">
        <x:f>Coder_A!F464</x:f>
        <x:v>Sec. 3 Datasets; Appendix A; Table 2; Table 1; Appendix B</x:v>
      </x:c>
      <x:c r="J464" s="16" t="n">
        <x:f>Coder_B!F464</x:f>
        <x:v>0</x:v>
      </x:c>
    </x:row>
    <x:row r="465">
      <x:c r="A465" s="16" t="n">
        <x:v>464</x:v>
      </x:c>
      <x:c r="B465" s="16" t="str">
        <x:v>EXPERIMENT</x:v>
      </x:c>
      <x:c r="C465" s="16" t="str">
        <x:f>Coder_A!C465</x:f>
        <x:v>PILOT_01_E05</x:v>
      </x:c>
      <x:c r="D465" s="16" t="str">
        <x:v>parameter_count</x:v>
      </x:c>
      <x:c r="E465" s="16" t="str">
        <x:f>Coder_A!E465</x:f>
        <x:v>NR</x:v>
      </x:c>
      <x:c r="F465" s="16" t="n">
        <x:f>Coder_B!E465</x:f>
        <x:v>0</x:v>
      </x:c>
      <x:c r="G465" s="16" t="str">
        <x:f>IF(F465="","PENDING",IF(E465=F465,"AGREE","DISAGREE"))</x:f>
        <x:v>PENDING</x:v>
      </x:c>
      <x:c r="H465" s="16" t="str">
        <x:v>N</x:v>
      </x:c>
      <x:c r="I465" s="16" t="str">
        <x:f>Coder_A!F465</x:f>
        <x:v>Sec. 3 Datasets; Appendix A; Table 2; Table 1; Appendix B</x:v>
      </x:c>
      <x:c r="J465" s="16" t="n">
        <x:f>Coder_B!F465</x:f>
        <x:v>0</x:v>
      </x:c>
    </x:row>
    <x:row r="466">
      <x:c r="A466" s="16" t="n">
        <x:v>465</x:v>
      </x:c>
      <x:c r="B466" s="16" t="str">
        <x:v>EXPERIMENT</x:v>
      </x:c>
      <x:c r="C466" s="16" t="str">
        <x:f>Coder_A!C466</x:f>
        <x:v>PILOT_01_E05</x:v>
      </x:c>
      <x:c r="D466" s="16" t="str">
        <x:v>train_time</x:v>
      </x:c>
      <x:c r="E466" s="16" t="str">
        <x:f>Coder_A!E466</x:f>
        <x:v>NR</x:v>
      </x:c>
      <x:c r="F466" s="16" t="n">
        <x:f>Coder_B!E466</x:f>
        <x:v>0</x:v>
      </x:c>
      <x:c r="G466" s="16" t="str">
        <x:f>IF(F466="","PENDING",IF(E466=F466,"AGREE","DISAGREE"))</x:f>
        <x:v>PENDING</x:v>
      </x:c>
      <x:c r="H466" s="16" t="str">
        <x:v>N</x:v>
      </x:c>
      <x:c r="I466" s="16" t="str">
        <x:f>Coder_A!F466</x:f>
        <x:v>Sec. 3 Datasets; Appendix A; Table 2; Table 1; Appendix B</x:v>
      </x:c>
      <x:c r="J466" s="16" t="n">
        <x:f>Coder_B!F466</x:f>
        <x:v>0</x:v>
      </x:c>
    </x:row>
    <x:row r="467">
      <x:c r="A467" s="16" t="n">
        <x:v>466</x:v>
      </x:c>
      <x:c r="B467" s="16" t="str">
        <x:v>EXPERIMENT</x:v>
      </x:c>
      <x:c r="C467" s="16" t="str">
        <x:f>Coder_A!C467</x:f>
        <x:v>PILOT_01_E05</x:v>
      </x:c>
      <x:c r="D467" s="16" t="str">
        <x:v>time_per_epoch</x:v>
      </x:c>
      <x:c r="E467" s="16" t="str">
        <x:f>Coder_A!E467</x:f>
        <x:v>NR</x:v>
      </x:c>
      <x:c r="F467" s="16" t="n">
        <x:f>Coder_B!E467</x:f>
        <x:v>0</x:v>
      </x:c>
      <x:c r="G467" s="16" t="str">
        <x:f>IF(F467="","PENDING",IF(E467=F467,"AGREE","DISAGREE"))</x:f>
        <x:v>PENDING</x:v>
      </x:c>
      <x:c r="H467" s="16" t="str">
        <x:v>N</x:v>
      </x:c>
      <x:c r="I467" s="16" t="str">
        <x:f>Coder_A!F467</x:f>
        <x:v>Sec. 3 Datasets; Appendix A; Table 2; Table 1; Appendix B</x:v>
      </x:c>
      <x:c r="J467" s="16" t="n">
        <x:f>Coder_B!F467</x:f>
        <x:v>0</x:v>
      </x:c>
    </x:row>
    <x:row r="468">
      <x:c r="A468" s="16" t="n">
        <x:v>467</x:v>
      </x:c>
      <x:c r="B468" s="16" t="str">
        <x:v>EXPERIMENT</x:v>
      </x:c>
      <x:c r="C468" s="16" t="str">
        <x:f>Coder_A!C468</x:f>
        <x:v>PILOT_01_E05</x:v>
      </x:c>
      <x:c r="D468" s="16" t="str">
        <x:v>inference_latency</x:v>
      </x:c>
      <x:c r="E468" s="16" t="str">
        <x:f>Coder_A!E468</x:f>
        <x:v>NR</x:v>
      </x:c>
      <x:c r="F468" s="16" t="n">
        <x:f>Coder_B!E468</x:f>
        <x:v>0</x:v>
      </x:c>
      <x:c r="G468" s="16" t="str">
        <x:f>IF(F468="","PENDING",IF(E468=F468,"AGREE","DISAGREE"))</x:f>
        <x:v>PENDING</x:v>
      </x:c>
      <x:c r="H468" s="16" t="str">
        <x:v>N</x:v>
      </x:c>
      <x:c r="I468" s="16" t="str">
        <x:f>Coder_A!F468</x:f>
        <x:v>Sec. 3 Datasets; Appendix A; Table 2; Table 1; Appendix B</x:v>
      </x:c>
      <x:c r="J468" s="16" t="n">
        <x:f>Coder_B!F468</x:f>
        <x:v>0</x:v>
      </x:c>
    </x:row>
    <x:row r="469">
      <x:c r="A469" s="16" t="n">
        <x:v>468</x:v>
      </x:c>
      <x:c r="B469" s="16" t="str">
        <x:v>EXPERIMENT</x:v>
      </x:c>
      <x:c r="C469" s="16" t="str">
        <x:f>Coder_A!C469</x:f>
        <x:v>PILOT_01_E05</x:v>
      </x:c>
      <x:c r="D469" s="16" t="str">
        <x:v>throughput</x:v>
      </x:c>
      <x:c r="E469" s="16" t="str">
        <x:f>Coder_A!E469</x:f>
        <x:v>NR</x:v>
      </x:c>
      <x:c r="F469" s="16" t="n">
        <x:f>Coder_B!E469</x:f>
        <x:v>0</x:v>
      </x:c>
      <x:c r="G469" s="16" t="str">
        <x:f>IF(F469="","PENDING",IF(E469=F469,"AGREE","DISAGREE"))</x:f>
        <x:v>PENDING</x:v>
      </x:c>
      <x:c r="H469" s="16" t="str">
        <x:v>N</x:v>
      </x:c>
      <x:c r="I469" s="16" t="str">
        <x:f>Coder_A!F469</x:f>
        <x:v>Sec. 3 Datasets; Appendix A; Table 2; Table 1; Appendix B</x:v>
      </x:c>
      <x:c r="J469" s="16" t="n">
        <x:f>Coder_B!F469</x:f>
        <x:v>0</x:v>
      </x:c>
    </x:row>
    <x:row r="470">
      <x:c r="A470" s="16" t="n">
        <x:v>469</x:v>
      </x:c>
      <x:c r="B470" s="16" t="str">
        <x:v>EXPERIMENT</x:v>
      </x:c>
      <x:c r="C470" s="16" t="str">
        <x:f>Coder_A!C470</x:f>
        <x:v>PILOT_01_E05</x:v>
      </x:c>
      <x:c r="D470" s="16" t="str">
        <x:v>cpu_ram</x:v>
      </x:c>
      <x:c r="E470" s="16" t="str">
        <x:f>Coder_A!E470</x:f>
        <x:v>NR</x:v>
      </x:c>
      <x:c r="F470" s="16" t="n">
        <x:f>Coder_B!E470</x:f>
        <x:v>0</x:v>
      </x:c>
      <x:c r="G470" s="16" t="str">
        <x:f>IF(F470="","PENDING",IF(E470=F470,"AGREE","DISAGREE"))</x:f>
        <x:v>PENDING</x:v>
      </x:c>
      <x:c r="H470" s="16" t="str">
        <x:v>N</x:v>
      </x:c>
      <x:c r="I470" s="16" t="str">
        <x:f>Coder_A!F470</x:f>
        <x:v>Sec. 3 Datasets; Appendix A; Table 2; Table 1; Appendix B</x:v>
      </x:c>
      <x:c r="J470" s="16" t="n">
        <x:f>Coder_B!F470</x:f>
        <x:v>0</x:v>
      </x:c>
    </x:row>
    <x:row r="471">
      <x:c r="A471" s="16" t="n">
        <x:v>470</x:v>
      </x:c>
      <x:c r="B471" s="16" t="str">
        <x:v>EXPERIMENT</x:v>
      </x:c>
      <x:c r="C471" s="16" t="str">
        <x:f>Coder_A!C471</x:f>
        <x:v>PILOT_01_E05</x:v>
      </x:c>
      <x:c r="D471" s="16" t="str">
        <x:v>gpu_vram</x:v>
      </x:c>
      <x:c r="E471" s="16" t="str">
        <x:f>Coder_A!E471</x:f>
        <x:v>NR</x:v>
      </x:c>
      <x:c r="F471" s="16" t="n">
        <x:f>Coder_B!E471</x:f>
        <x:v>0</x:v>
      </x:c>
      <x:c r="G471" s="16" t="str">
        <x:f>IF(F471="","PENDING",IF(E471=F471,"AGREE","DISAGREE"))</x:f>
        <x:v>PENDING</x:v>
      </x:c>
      <x:c r="H471" s="16" t="str">
        <x:v>N</x:v>
      </x:c>
      <x:c r="I471" s="16" t="str">
        <x:f>Coder_A!F471</x:f>
        <x:v>Sec. 3 Datasets; Appendix A; Table 2; Table 1; Appendix B</x:v>
      </x:c>
      <x:c r="J471" s="16" t="n">
        <x:f>Coder_B!F471</x:f>
        <x:v>0</x:v>
      </x:c>
    </x:row>
    <x:row r="472">
      <x:c r="A472" s="16" t="n">
        <x:v>471</x:v>
      </x:c>
      <x:c r="B472" s="16" t="str">
        <x:v>EXPERIMENT</x:v>
      </x:c>
      <x:c r="C472" s="16" t="str">
        <x:f>Coder_A!C472</x:f>
        <x:v>PILOT_01_E05</x:v>
      </x:c>
      <x:c r="D472" s="16" t="str">
        <x:v>hardware</x:v>
      </x:c>
      <x:c r="E472" s="16" t="str">
        <x:f>Coder_A!E472</x:f>
        <x:v>NR</x:v>
      </x:c>
      <x:c r="F472" s="16" t="n">
        <x:f>Coder_B!E472</x:f>
        <x:v>0</x:v>
      </x:c>
      <x:c r="G472" s="16" t="str">
        <x:f>IF(F472="","PENDING",IF(E472=F472,"AGREE","DISAGREE"))</x:f>
        <x:v>PENDING</x:v>
      </x:c>
      <x:c r="H472" s="16" t="str">
        <x:v>N</x:v>
      </x:c>
      <x:c r="I472" s="16" t="str">
        <x:f>Coder_A!F472</x:f>
        <x:v>Sec. 3 Datasets; Appendix A; Table 2; Table 1; Appendix B</x:v>
      </x:c>
      <x:c r="J472" s="16" t="n">
        <x:f>Coder_B!F472</x:f>
        <x:v>0</x:v>
      </x:c>
    </x:row>
    <x:row r="473">
      <x:c r="A473" s="16" t="n">
        <x:v>472</x:v>
      </x:c>
      <x:c r="B473" s="16" t="str">
        <x:v>EXPERIMENT</x:v>
      </x:c>
      <x:c r="C473" s="16" t="str">
        <x:f>Coder_A!C473</x:f>
        <x:v>PILOT_01_E05</x:v>
      </x:c>
      <x:c r="D473" s="16" t="str">
        <x:v>graph_construction_time</x:v>
      </x:c>
      <x:c r="E473" s="16" t="str">
        <x:f>Coder_A!E473</x:f>
        <x:v>NR</x:v>
      </x:c>
      <x:c r="F473" s="16" t="n">
        <x:f>Coder_B!E473</x:f>
        <x:v>0</x:v>
      </x:c>
      <x:c r="G473" s="16" t="str">
        <x:f>IF(F473="","PENDING",IF(E473=F473,"AGREE","DISAGREE"))</x:f>
        <x:v>PENDING</x:v>
      </x:c>
      <x:c r="H473" s="16" t="str">
        <x:v>N</x:v>
      </x:c>
      <x:c r="I473" s="16" t="str">
        <x:f>Coder_A!F473</x:f>
        <x:v>Sec. 3 Datasets; Appendix A; Table 2; Table 1; Appendix B</x:v>
      </x:c>
      <x:c r="J473" s="16" t="n">
        <x:f>Coder_B!F473</x:f>
        <x:v>0</x:v>
      </x:c>
    </x:row>
    <x:row r="474">
      <x:c r="A474" s="16" t="n">
        <x:v>473</x:v>
      </x:c>
      <x:c r="B474" s="16" t="str">
        <x:v>EXPERIMENT</x:v>
      </x:c>
      <x:c r="C474" s="16" t="str">
        <x:f>Coder_A!C474</x:f>
        <x:v>PILOT_01_E05</x:v>
      </x:c>
      <x:c r="D474" s="16" t="str">
        <x:v>complexity_formula</x:v>
      </x:c>
      <x:c r="E474" s="16" t="str">
        <x:f>Coder_A!E474</x:f>
        <x:v>NR</x:v>
      </x:c>
      <x:c r="F474" s="16" t="n">
        <x:f>Coder_B!E474</x:f>
        <x:v>0</x:v>
      </x:c>
      <x:c r="G474" s="16" t="str">
        <x:f>IF(F474="","PENDING",IF(E474=F474,"AGREE","DISAGREE"))</x:f>
        <x:v>PENDING</x:v>
      </x:c>
      <x:c r="H474" s="16" t="str">
        <x:v>N</x:v>
      </x:c>
      <x:c r="I474" s="16" t="str">
        <x:f>Coder_A!F474</x:f>
        <x:v>Sec. 3 Datasets; Appendix A; Table 2; Table 1; Appendix B</x:v>
      </x:c>
      <x:c r="J474" s="16" t="n">
        <x:f>Coder_B!F474</x:f>
        <x:v>0</x:v>
      </x:c>
    </x:row>
    <x:row r="475">
      <x:c r="A475" s="16" t="n">
        <x:v>474</x:v>
      </x:c>
      <x:c r="B475" s="16" t="str">
        <x:v>EXPERIMENT</x:v>
      </x:c>
      <x:c r="C475" s="16" t="str">
        <x:f>Coder_A!C475</x:f>
        <x:v>PILOT_01_E05</x:v>
      </x:c>
      <x:c r="D475" s="16" t="str">
        <x:v>scale_up_experiment</x:v>
      </x:c>
      <x:c r="E475" s="16" t="str">
        <x:f>Coder_A!E475</x:f>
        <x:v>N</x:v>
      </x:c>
      <x:c r="F475" s="16" t="n">
        <x:f>Coder_B!E475</x:f>
        <x:v>0</x:v>
      </x:c>
      <x:c r="G475" s="16" t="str">
        <x:f>IF(F475="","PENDING",IF(E475=F475,"AGREE","DISAGREE"))</x:f>
        <x:v>PENDING</x:v>
      </x:c>
      <x:c r="H475" s="16" t="str">
        <x:v>Y</x:v>
      </x:c>
      <x:c r="I475" s="16" t="str">
        <x:f>Coder_A!F475</x:f>
        <x:v>Sec. 3 Datasets; Appendix A; Table 2; Table 1; Appendix B</x:v>
      </x:c>
      <x:c r="J475" s="16" t="n">
        <x:f>Coder_B!F475</x:f>
        <x:v>0</x:v>
      </x:c>
    </x:row>
    <x:row r="476">
      <x:c r="A476" s="16" t="n">
        <x:v>475</x:v>
      </x:c>
      <x:c r="B476" s="16" t="str">
        <x:v>EXPERIMENT</x:v>
      </x:c>
      <x:c r="C476" s="16" t="str">
        <x:f>Coder_A!C476</x:f>
        <x:v>PILOT_01_E05</x:v>
      </x:c>
      <x:c r="D476" s="16" t="str">
        <x:v>oom_timeout_reported</x:v>
      </x:c>
      <x:c r="E476" s="16" t="str">
        <x:f>Coder_A!E476</x:f>
        <x:v>NR</x:v>
      </x:c>
      <x:c r="F476" s="16" t="n">
        <x:f>Coder_B!E476</x:f>
        <x:v>0</x:v>
      </x:c>
      <x:c r="G476" s="16" t="str">
        <x:f>IF(F476="","PENDING",IF(E476=F476,"AGREE","DISAGREE"))</x:f>
        <x:v>PENDING</x:v>
      </x:c>
      <x:c r="H476" s="16" t="str">
        <x:v>Y</x:v>
      </x:c>
      <x:c r="I476" s="16" t="str">
        <x:f>Coder_A!F476</x:f>
        <x:v>Sec. 3 Datasets; Appendix A; Table 2; Table 1; Appendix B</x:v>
      </x:c>
      <x:c r="J476" s="16" t="n">
        <x:f>Coder_B!F476</x:f>
        <x:v>0</x:v>
      </x:c>
    </x:row>
    <x:row r="477">
      <x:c r="A477" s="16" t="n">
        <x:v>476</x:v>
      </x:c>
      <x:c r="B477" s="16" t="str">
        <x:v>EXPERIMENT</x:v>
      </x:c>
      <x:c r="C477" s="16" t="str">
        <x:f>Coder_A!C477</x:f>
        <x:v>PILOT_01_E06</x:v>
      </x:c>
      <x:c r="D477" s="16" t="str">
        <x:v>dataset_name</x:v>
      </x:c>
      <x:c r="E477" s="16" t="str">
        <x:f>Coder_A!E477</x:f>
        <x:v>KDDCup</x:v>
      </x:c>
      <x:c r="F477" s="16" t="n">
        <x:f>Coder_B!E477</x:f>
        <x:v>0</x:v>
      </x:c>
      <x:c r="G477" s="16" t="str">
        <x:f>IF(F477="","PENDING",IF(E477=F477,"AGREE","DISAGREE"))</x:f>
        <x:v>PENDING</x:v>
      </x:c>
      <x:c r="H477" s="16" t="str">
        <x:v>N</x:v>
      </x:c>
      <x:c r="I477" s="16" t="str">
        <x:f>Coder_A!F477</x:f>
        <x:v>Sec. 3 Datasets; Appendix A; Table 2; Table 1; Appendix B</x:v>
      </x:c>
      <x:c r="J477" s="16" t="n">
        <x:f>Coder_B!F477</x:f>
        <x:v>0</x:v>
      </x:c>
    </x:row>
    <x:row r="478">
      <x:c r="A478" s="16" t="n">
        <x:v>477</x:v>
      </x:c>
      <x:c r="B478" s="16" t="str">
        <x:v>EXPERIMENT</x:v>
      </x:c>
      <x:c r="C478" s="16" t="str">
        <x:f>Coder_A!C478</x:f>
        <x:v>PILOT_01_E06</x:v>
      </x:c>
      <x:c r="D478" s="16" t="str">
        <x:v>dataset_version</x:v>
      </x:c>
      <x:c r="E478" s="16" t="str">
        <x:f>Coder_A!E478</x:f>
        <x:v>Bridge to Algebra 2006-2007</x:v>
      </x:c>
      <x:c r="F478" s="16" t="n">
        <x:f>Coder_B!E478</x:f>
        <x:v>0</x:v>
      </x:c>
      <x:c r="G478" s="16" t="str">
        <x:f>IF(F478="","PENDING",IF(E478=F478,"AGREE","DISAGREE"))</x:f>
        <x:v>PENDING</x:v>
      </x:c>
      <x:c r="H478" s="16" t="str">
        <x:v>N</x:v>
      </x:c>
      <x:c r="I478" s="16" t="str">
        <x:f>Coder_A!F478</x:f>
        <x:v>Sec. 3 Datasets; Appendix A; Table 2; Table 1; Appendix B</x:v>
      </x:c>
      <x:c r="J478" s="16" t="n">
        <x:f>Coder_B!F478</x:f>
        <x:v>0</x:v>
      </x:c>
    </x:row>
    <x:row r="479">
      <x:c r="A479" s="16" t="n">
        <x:v>478</x:v>
      </x:c>
      <x:c r="B479" s="16" t="str">
        <x:v>EXPERIMENT</x:v>
      </x:c>
      <x:c r="C479" s="16" t="str">
        <x:f>Coder_A!C479</x:f>
        <x:v>PILOT_01_E06</x:v>
      </x:c>
      <x:c r="D479" s="16" t="str">
        <x:v>n_learners_reported</x:v>
      </x:c>
      <x:c r="E479" s="16" t="n">
        <x:f>Coder_A!E479</x:f>
        <x:v>1000</x:v>
      </x:c>
      <x:c r="F479" s="16" t="n">
        <x:f>Coder_B!E479</x:f>
        <x:v>0</x:v>
      </x:c>
      <x:c r="G479" s="16" t="str">
        <x:f>IF(F479="","PENDING",IF(E479=F479,"AGREE","DISAGREE"))</x:f>
        <x:v>PENDING</x:v>
      </x:c>
      <x:c r="H479" s="16" t="str">
        <x:v>N</x:v>
      </x:c>
      <x:c r="I479" s="16" t="str">
        <x:f>Coder_A!F479</x:f>
        <x:v>Sec. 3 Datasets; Appendix A; Table 2; Table 1; Appendix B</x:v>
      </x:c>
      <x:c r="J479" s="16" t="n">
        <x:f>Coder_B!F479</x:f>
        <x:v>0</x:v>
      </x:c>
    </x:row>
    <x:row r="480">
      <x:c r="A480" s="16" t="n">
        <x:v>479</x:v>
      </x:c>
      <x:c r="B480" s="16" t="str">
        <x:v>EXPERIMENT</x:v>
      </x:c>
      <x:c r="C480" s="16" t="str">
        <x:f>Coder_A!C480</x:f>
        <x:v>PILOT_01_E06</x:v>
      </x:c>
      <x:c r="D480" s="16" t="str">
        <x:v>n_items_reported</x:v>
      </x:c>
      <x:c r="E480" s="16" t="str">
        <x:f>Coder_A!E480</x:f>
        <x:v>NR</x:v>
      </x:c>
      <x:c r="F480" s="16" t="n">
        <x:f>Coder_B!E480</x:f>
        <x:v>0</x:v>
      </x:c>
      <x:c r="G480" s="16" t="str">
        <x:f>IF(F480="","PENDING",IF(E480=F480,"AGREE","DISAGREE"))</x:f>
        <x:v>PENDING</x:v>
      </x:c>
      <x:c r="H480" s="16" t="str">
        <x:v>N</x:v>
      </x:c>
      <x:c r="I480" s="16" t="str">
        <x:f>Coder_A!F480</x:f>
        <x:v>Sec. 3 Datasets; Appendix A; Table 2; Table 1; Appendix B</x:v>
      </x:c>
      <x:c r="J480" s="16" t="n">
        <x:f>Coder_B!F480</x:f>
        <x:v>0</x:v>
      </x:c>
    </x:row>
    <x:row r="481">
      <x:c r="A481" s="16" t="n">
        <x:v>480</x:v>
      </x:c>
      <x:c r="B481" s="16" t="str">
        <x:v>EXPERIMENT</x:v>
      </x:c>
      <x:c r="C481" s="16" t="str">
        <x:f>Coder_A!C481</x:f>
        <x:v>PILOT_01_E06</x:v>
      </x:c>
      <x:c r="D481" s="16" t="str">
        <x:v>n_kcs_reported</x:v>
      </x:c>
      <x:c r="E481" s="16" t="n">
        <x:f>Coder_A!E481</x:f>
        <x:v>211</x:v>
      </x:c>
      <x:c r="F481" s="16" t="n">
        <x:f>Coder_B!E481</x:f>
        <x:v>0</x:v>
      </x:c>
      <x:c r="G481" s="16" t="str">
        <x:f>IF(F481="","PENDING",IF(E481=F481,"AGREE","DISAGREE"))</x:f>
        <x:v>PENDING</x:v>
      </x:c>
      <x:c r="H481" s="16" t="str">
        <x:v>N</x:v>
      </x:c>
      <x:c r="I481" s="16" t="str">
        <x:f>Coder_A!F481</x:f>
        <x:v>Sec. 3 Datasets; Appendix A; Table 2; Table 1; Appendix B</x:v>
      </x:c>
      <x:c r="J481" s="16" t="n">
        <x:f>Coder_B!F481</x:f>
        <x:v>0</x:v>
      </x:c>
    </x:row>
    <x:row r="482">
      <x:c r="A482" s="16" t="n">
        <x:v>481</x:v>
      </x:c>
      <x:c r="B482" s="16" t="str">
        <x:v>EXPERIMENT</x:v>
      </x:c>
      <x:c r="C482" s="16" t="str">
        <x:f>Coder_A!C482</x:f>
        <x:v>PILOT_01_E06</x:v>
      </x:c>
      <x:c r="D482" s="16" t="str">
        <x:v>n_interactions_reported</x:v>
      </x:c>
      <x:c r="E482" s="16" t="n">
        <x:f>Coder_A!E482</x:f>
        <x:v>98200</x:v>
      </x:c>
      <x:c r="F482" s="16" t="n">
        <x:f>Coder_B!E482</x:f>
        <x:v>0</x:v>
      </x:c>
      <x:c r="G482" s="16" t="str">
        <x:f>IF(F482="","PENDING",IF(E482=F482,"AGREE","DISAGREE"))</x:f>
        <x:v>PENDING</x:v>
      </x:c>
      <x:c r="H482" s="16" t="str">
        <x:v>N</x:v>
      </x:c>
      <x:c r="I482" s="16" t="str">
        <x:f>Coder_A!F482</x:f>
        <x:v>Sec. 3 Datasets; Appendix A; Table 2; Table 1; Appendix B</x:v>
      </x:c>
      <x:c r="J482" s="16" t="n">
        <x:f>Coder_B!F482</x:f>
        <x:v>0</x:v>
      </x:c>
    </x:row>
    <x:row r="483">
      <x:c r="A483" s="16" t="n">
        <x:v>482</x:v>
      </x:c>
      <x:c r="B483" s="16" t="str">
        <x:v>EXPERIMENT</x:v>
      </x:c>
      <x:c r="C483" s="16" t="str">
        <x:f>Coder_A!C483</x:f>
        <x:v>PILOT_01_E06</x:v>
      </x:c>
      <x:c r="D483" s="16" t="str">
        <x:v>multi_skill_present</x:v>
      </x:c>
      <x:c r="E483" s="16" t="str">
        <x:f>Coder_A!E483</x:f>
        <x:v>UNCLEAR</x:v>
      </x:c>
      <x:c r="F483" s="16" t="n">
        <x:f>Coder_B!E483</x:f>
        <x:v>0</x:v>
      </x:c>
      <x:c r="G483" s="16" t="str">
        <x:f>IF(F483="","PENDING",IF(E483=F483,"AGREE","DISAGREE"))</x:f>
        <x:v>PENDING</x:v>
      </x:c>
      <x:c r="H483" s="16" t="str">
        <x:v>Y</x:v>
      </x:c>
      <x:c r="I483" s="16" t="str">
        <x:f>Coder_A!F483</x:f>
        <x:v>Sec. 3 Datasets; Appendix A; Table 2; Table 1; Appendix B</x:v>
      </x:c>
      <x:c r="J483" s="16" t="n">
        <x:f>Coder_B!F483</x:f>
        <x:v>0</x:v>
      </x:c>
    </x:row>
    <x:row r="484">
      <x:c r="A484" s="16" t="n">
        <x:v>483</x:v>
      </x:c>
      <x:c r="B484" s="16" t="str">
        <x:v>EXPERIMENT</x:v>
      </x:c>
      <x:c r="C484" s="16" t="str">
        <x:f>Coder_A!C484</x:f>
        <x:v>PILOT_01_E06</x:v>
      </x:c>
      <x:c r="D484" s="16" t="str">
        <x:v>multi_skill_handling</x:v>
      </x:c>
      <x:c r="E484" s="16" t="str">
        <x:f>Coder_A!E484</x:f>
        <x:v>Combine simultaneous answer logs into one; extract named skill tags</x:v>
      </x:c>
      <x:c r="F484" s="16" t="n">
        <x:f>Coder_B!E484</x:f>
        <x:v>0</x:v>
      </x:c>
      <x:c r="G484" s="16" t="str">
        <x:f>IF(F484="","PENDING",IF(E484=F484,"AGREE","DISAGREE"))</x:f>
        <x:v>PENDING</x:v>
      </x:c>
      <x:c r="H484" s="16" t="str">
        <x:v>N</x:v>
      </x:c>
      <x:c r="I484" s="16" t="str">
        <x:f>Coder_A!F484</x:f>
        <x:v>Sec. 3 Datasets; Appendix A; Table 2; Table 1; Appendix B</x:v>
      </x:c>
      <x:c r="J484" s="16" t="n">
        <x:f>Coder_B!F484</x:f>
        <x:v>0</x:v>
      </x:c>
    </x:row>
    <x:row r="485">
      <x:c r="A485" s="16" t="n">
        <x:v>484</x:v>
      </x:c>
      <x:c r="B485" s="16" t="str">
        <x:v>EXPERIMENT</x:v>
      </x:c>
      <x:c r="C485" s="16" t="str">
        <x:f>Coder_A!C485</x:f>
        <x:v>PILOT_01_E06</x:v>
      </x:c>
      <x:c r="D485" s="16" t="str">
        <x:v>sequence_truncation</x:v>
      </x:c>
      <x:c r="E485" s="16" t="str">
        <x:f>Coder_A!E485</x:f>
        <x:v>NR</x:v>
      </x:c>
      <x:c r="F485" s="16" t="n">
        <x:f>Coder_B!E485</x:f>
        <x:v>0</x:v>
      </x:c>
      <x:c r="G485" s="16" t="str">
        <x:f>IF(F485="","PENDING",IF(E485=F485,"AGREE","DISAGREE"))</x:f>
        <x:v>PENDING</x:v>
      </x:c>
      <x:c r="H485" s="16" t="str">
        <x:v>N</x:v>
      </x:c>
      <x:c r="I485" s="16" t="str">
        <x:f>Coder_A!F485</x:f>
        <x:v>Sec. 3 Datasets; Appendix A; Table 2; Table 1; Appendix B</x:v>
      </x:c>
      <x:c r="J485" s="16" t="n">
        <x:f>Coder_B!F485</x:f>
        <x:v>0</x:v>
      </x:c>
    </x:row>
    <x:row r="486">
      <x:c r="A486" s="16" t="n">
        <x:v>485</x:v>
      </x:c>
      <x:c r="B486" s="16" t="str">
        <x:v>EXPERIMENT</x:v>
      </x:c>
      <x:c r="C486" s="16" t="str">
        <x:f>Coder_A!C486</x:f>
        <x:v>PILOT_01_E06</x:v>
      </x:c>
      <x:c r="D486" s="16" t="str">
        <x:v>min_sequence_filter</x:v>
      </x:c>
      <x:c r="E486" s="16" t="str">
        <x:f>Coder_A!E486</x:f>
        <x:v>NR</x:v>
      </x:c>
      <x:c r="F486" s="16" t="n">
        <x:f>Coder_B!E486</x:f>
        <x:v>0</x:v>
      </x:c>
      <x:c r="G486" s="16" t="str">
        <x:f>IF(F486="","PENDING",IF(E486=F486,"AGREE","DISAGREE"))</x:f>
        <x:v>PENDING</x:v>
      </x:c>
      <x:c r="H486" s="16" t="str">
        <x:v>N</x:v>
      </x:c>
      <x:c r="I486" s="16" t="str">
        <x:f>Coder_A!F486</x:f>
        <x:v>Sec. 3 Datasets; Appendix A; Table 2; Table 1; Appendix B</x:v>
      </x:c>
      <x:c r="J486" s="16" t="n">
        <x:f>Coder_B!F486</x:f>
        <x:v>0</x:v>
      </x:c>
    </x:row>
    <x:row r="487">
      <x:c r="A487" s="16" t="n">
        <x:v>486</x:v>
      </x:c>
      <x:c r="B487" s="16" t="str">
        <x:v>EXPERIMENT</x:v>
      </x:c>
      <x:c r="C487" s="16" t="str">
        <x:f>Coder_A!C487</x:f>
        <x:v>PILOT_01_E06</x:v>
      </x:c>
      <x:c r="D487" s="16" t="str">
        <x:v>timestamp_used</x:v>
      </x:c>
      <x:c r="E487" s="16" t="str">
        <x:f>Coder_A!E487</x:f>
        <x:v>UNCLEAR</x:v>
      </x:c>
      <x:c r="F487" s="16" t="n">
        <x:f>Coder_B!E487</x:f>
        <x:v>0</x:v>
      </x:c>
      <x:c r="G487" s="16" t="str">
        <x:f>IF(F487="","PENDING",IF(E487=F487,"AGREE","DISAGREE"))</x:f>
        <x:v>PENDING</x:v>
      </x:c>
      <x:c r="H487" s="16" t="str">
        <x:v>Y</x:v>
      </x:c>
      <x:c r="I487" s="16" t="str">
        <x:f>Coder_A!F487</x:f>
        <x:v>Sec. 3 Datasets; Appendix A; Table 2; Table 1; Appendix B</x:v>
      </x:c>
      <x:c r="J487" s="16" t="n">
        <x:f>Coder_B!F487</x:f>
        <x:v>0</x:v>
      </x:c>
    </x:row>
    <x:row r="488">
      <x:c r="A488" s="16" t="n">
        <x:v>487</x:v>
      </x:c>
      <x:c r="B488" s="16" t="str">
        <x:v>EXPERIMENT</x:v>
      </x:c>
      <x:c r="C488" s="16" t="str">
        <x:f>Coder_A!C488</x:f>
        <x:v>PILOT_01_E06</x:v>
      </x:c>
      <x:c r="D488" s="16" t="str">
        <x:v>preprocessing_code_available</x:v>
      </x:c>
      <x:c r="E488" s="16" t="str">
        <x:f>Coder_A!E488</x:f>
        <x:v>NR</x:v>
      </x:c>
      <x:c r="F488" s="16" t="n">
        <x:f>Coder_B!E488</x:f>
        <x:v>0</x:v>
      </x:c>
      <x:c r="G488" s="16" t="str">
        <x:f>IF(F488="","PENDING",IF(E488=F488,"AGREE","DISAGREE"))</x:f>
        <x:v>PENDING</x:v>
      </x:c>
      <x:c r="H488" s="16" t="str">
        <x:v>Y</x:v>
      </x:c>
      <x:c r="I488" s="16" t="str">
        <x:f>Coder_A!F488</x:f>
        <x:v>Sec. 3 Datasets; Appendix A; Table 2; Table 1; Appendix B</x:v>
      </x:c>
      <x:c r="J488" s="16" t="n">
        <x:f>Coder_B!F488</x:f>
        <x:v>0</x:v>
      </x:c>
    </x:row>
    <x:row r="489">
      <x:c r="A489" s="16" t="n">
        <x:v>488</x:v>
      </x:c>
      <x:c r="B489" s="16" t="str">
        <x:v>EXPERIMENT</x:v>
      </x:c>
      <x:c r="C489" s="16" t="str">
        <x:f>Coder_A!C489</x:f>
        <x:v>PILOT_01_E06</x:v>
      </x:c>
      <x:c r="D489" s="16" t="str">
        <x:v>split_type</x:v>
      </x:c>
      <x:c r="E489" s="16" t="str">
        <x:f>Coder_A!E489</x:f>
        <x:v>LEARNER_BASED</x:v>
      </x:c>
      <x:c r="F489" s="16" t="n">
        <x:f>Coder_B!E489</x:f>
        <x:v>0</x:v>
      </x:c>
      <x:c r="G489" s="16" t="str">
        <x:f>IF(F489="","PENDING",IF(E489=F489,"AGREE","DISAGREE"))</x:f>
        <x:v>PENDING</x:v>
      </x:c>
      <x:c r="H489" s="16" t="str">
        <x:v>Y</x:v>
      </x:c>
      <x:c r="I489" s="16" t="str">
        <x:f>Coder_A!F489</x:f>
        <x:v>Sec. 3 Datasets; Appendix A; Table 2; Table 1; Appendix B</x:v>
      </x:c>
      <x:c r="J489" s="16" t="n">
        <x:f>Coder_B!F489</x:f>
        <x:v>0</x:v>
      </x:c>
    </x:row>
    <x:row r="490">
      <x:c r="A490" s="16" t="n">
        <x:v>489</x:v>
      </x:c>
      <x:c r="B490" s="16" t="str">
        <x:v>EXPERIMENT</x:v>
      </x:c>
      <x:c r="C490" s="16" t="str">
        <x:f>Coder_A!C490</x:f>
        <x:v>PILOT_01_E06</x:v>
      </x:c>
      <x:c r="D490" s="16" t="str">
        <x:v>split_unit_original</x:v>
      </x:c>
      <x:c r="E490" s="16" t="str">
        <x:f>Coder_A!E490</x:f>
        <x:v>students</x:v>
      </x:c>
      <x:c r="F490" s="16" t="n">
        <x:f>Coder_B!E490</x:f>
        <x:v>0</x:v>
      </x:c>
      <x:c r="G490" s="16" t="str">
        <x:f>IF(F490="","PENDING",IF(E490=F490,"AGREE","DISAGREE"))</x:f>
        <x:v>PENDING</x:v>
      </x:c>
      <x:c r="H490" s="16" t="str">
        <x:v>N</x:v>
      </x:c>
      <x:c r="I490" s="16" t="str">
        <x:f>Coder_A!F490</x:f>
        <x:v>Sec. 3 Datasets; Appendix A; Table 2; Table 1; Appendix B</x:v>
      </x:c>
      <x:c r="J490" s="16" t="n">
        <x:f>Coder_B!F490</x:f>
        <x:v>0</x:v>
      </x:c>
    </x:row>
    <x:row r="491">
      <x:c r="A491" s="16" t="n">
        <x:v>490</x:v>
      </x:c>
      <x:c r="B491" s="16" t="str">
        <x:v>EXPERIMENT</x:v>
      </x:c>
      <x:c r="C491" s="16" t="str">
        <x:f>Coder_A!C491</x:f>
        <x:v>PILOT_01_E06</x:v>
      </x:c>
      <x:c r="D491" s="16" t="str">
        <x:v>train_fraction</x:v>
      </x:c>
      <x:c r="E491" s="16" t="n">
        <x:f>Coder_A!E491</x:f>
        <x:v>0.8</x:v>
      </x:c>
      <x:c r="F491" s="16" t="n">
        <x:f>Coder_B!E491</x:f>
        <x:v>0</x:v>
      </x:c>
      <x:c r="G491" s="16" t="str">
        <x:f>IF(F491="","PENDING",IF(E491=F491,"AGREE","DISAGREE"))</x:f>
        <x:v>PENDING</x:v>
      </x:c>
      <x:c r="H491" s="16" t="str">
        <x:v>N</x:v>
      </x:c>
      <x:c r="I491" s="16" t="str">
        <x:f>Coder_A!F491</x:f>
        <x:v>Sec. 3 Datasets; Appendix A; Table 2; Table 1; Appendix B</x:v>
      </x:c>
      <x:c r="J491" s="16" t="n">
        <x:f>Coder_B!F491</x:f>
        <x:v>0</x:v>
      </x:c>
    </x:row>
    <x:row r="492">
      <x:c r="A492" s="16" t="n">
        <x:v>491</x:v>
      </x:c>
      <x:c r="B492" s="16" t="str">
        <x:v>EXPERIMENT</x:v>
      </x:c>
      <x:c r="C492" s="16" t="str">
        <x:f>Coder_A!C492</x:f>
        <x:v>PILOT_01_E06</x:v>
      </x:c>
      <x:c r="D492" s="16" t="str">
        <x:v>validation_fraction</x:v>
      </x:c>
      <x:c r="E492" s="16" t="n">
        <x:f>Coder_A!E492</x:f>
        <x:v>0.1</x:v>
      </x:c>
      <x:c r="F492" s="16" t="n">
        <x:f>Coder_B!E492</x:f>
        <x:v>0</x:v>
      </x:c>
      <x:c r="G492" s="16" t="str">
        <x:f>IF(F492="","PENDING",IF(E492=F492,"AGREE","DISAGREE"))</x:f>
        <x:v>PENDING</x:v>
      </x:c>
      <x:c r="H492" s="16" t="str">
        <x:v>N</x:v>
      </x:c>
      <x:c r="I492" s="16" t="str">
        <x:f>Coder_A!F492</x:f>
        <x:v>Sec. 3 Datasets; Appendix A; Table 2; Table 1; Appendix B</x:v>
      </x:c>
      <x:c r="J492" s="16" t="n">
        <x:f>Coder_B!F492</x:f>
        <x:v>0</x:v>
      </x:c>
    </x:row>
    <x:row r="493">
      <x:c r="A493" s="16" t="n">
        <x:v>492</x:v>
      </x:c>
      <x:c r="B493" s="16" t="str">
        <x:v>EXPERIMENT</x:v>
      </x:c>
      <x:c r="C493" s="16" t="str">
        <x:f>Coder_A!C493</x:f>
        <x:v>PILOT_01_E06</x:v>
      </x:c>
      <x:c r="D493" s="16" t="str">
        <x:v>test_fraction</x:v>
      </x:c>
      <x:c r="E493" s="16" t="n">
        <x:f>Coder_A!E493</x:f>
        <x:v>0.1</x:v>
      </x:c>
      <x:c r="F493" s="16" t="n">
        <x:f>Coder_B!E493</x:f>
        <x:v>0</x:v>
      </x:c>
      <x:c r="G493" s="16" t="str">
        <x:f>IF(F493="","PENDING",IF(E493=F493,"AGREE","DISAGREE"))</x:f>
        <x:v>PENDING</x:v>
      </x:c>
      <x:c r="H493" s="16" t="str">
        <x:v>N</x:v>
      </x:c>
      <x:c r="I493" s="16" t="str">
        <x:f>Coder_A!F493</x:f>
        <x:v>Sec. 3 Datasets; Appendix A; Table 2; Table 1; Appendix B</x:v>
      </x:c>
      <x:c r="J493" s="16" t="n">
        <x:f>Coder_B!F493</x:f>
        <x:v>0</x:v>
      </x:c>
    </x:row>
    <x:row r="494">
      <x:c r="A494" s="16" t="n">
        <x:v>493</x:v>
      </x:c>
      <x:c r="B494" s="16" t="str">
        <x:v>EXPERIMENT</x:v>
      </x:c>
      <x:c r="C494" s="16" t="str">
        <x:f>Coder_A!C494</x:f>
        <x:v>PILOT_01_E06</x:v>
      </x:c>
      <x:c r="D494" s="16" t="str">
        <x:v>validation_set_separate</x:v>
      </x:c>
      <x:c r="E494" s="16" t="str">
        <x:f>Coder_A!E494</x:f>
        <x:v>Y</x:v>
      </x:c>
      <x:c r="F494" s="16" t="n">
        <x:f>Coder_B!E494</x:f>
        <x:v>0</x:v>
      </x:c>
      <x:c r="G494" s="16" t="str">
        <x:f>IF(F494="","PENDING",IF(E494=F494,"AGREE","DISAGREE"))</x:f>
        <x:v>PENDING</x:v>
      </x:c>
      <x:c r="H494" s="16" t="str">
        <x:v>Y</x:v>
      </x:c>
      <x:c r="I494" s="16" t="str">
        <x:f>Coder_A!F494</x:f>
        <x:v>Sec. 3 Datasets; Appendix A; Table 2; Table 1; Appendix B</x:v>
      </x:c>
      <x:c r="J494" s="16" t="n">
        <x:f>Coder_B!F494</x:f>
        <x:v>0</x:v>
      </x:c>
    </x:row>
    <x:row r="495">
      <x:c r="A495" s="16" t="n">
        <x:v>494</x:v>
      </x:c>
      <x:c r="B495" s="16" t="str">
        <x:v>EXPERIMENT</x:v>
      </x:c>
      <x:c r="C495" s="16" t="str">
        <x:f>Coder_A!C495</x:f>
        <x:v>PILOT_01_E06</x:v>
      </x:c>
      <x:c r="D495" s="16" t="str">
        <x:v>early_stopping_validation_only</x:v>
      </x:c>
      <x:c r="E495" s="16" t="str">
        <x:f>Coder_A!E495</x:f>
        <x:v>UNCLEAR</x:v>
      </x:c>
      <x:c r="F495" s="16" t="n">
        <x:f>Coder_B!E495</x:f>
        <x:v>0</x:v>
      </x:c>
      <x:c r="G495" s="16" t="str">
        <x:f>IF(F495="","PENDING",IF(E495=F495,"AGREE","DISAGREE"))</x:f>
        <x:v>PENDING</x:v>
      </x:c>
      <x:c r="H495" s="16" t="str">
        <x:v>Y</x:v>
      </x:c>
      <x:c r="I495" s="16" t="str">
        <x:f>Coder_A!F495</x:f>
        <x:v>Sec. 3 Datasets; Appendix A; Table 2; Table 1; Appendix B</x:v>
      </x:c>
      <x:c r="J495" s="16" t="n">
        <x:f>Coder_B!F495</x:f>
        <x:v>0</x:v>
      </x:c>
    </x:row>
    <x:row r="496">
      <x:c r="A496" s="16" t="n">
        <x:v>495</x:v>
      </x:c>
      <x:c r="B496" s="16" t="str">
        <x:v>EXPERIMENT</x:v>
      </x:c>
      <x:c r="C496" s="16" t="str">
        <x:f>Coder_A!C496</x:f>
        <x:v>PILOT_01_E06</x:v>
      </x:c>
      <x:c r="D496" s="16" t="str">
        <x:v>graph_train_only</x:v>
      </x:c>
      <x:c r="E496" s="16" t="str">
        <x:f>Coder_A!E496</x:f>
        <x:v>UNCLEAR</x:v>
      </x:c>
      <x:c r="F496" s="16" t="n">
        <x:f>Coder_B!E496</x:f>
        <x:v>0</x:v>
      </x:c>
      <x:c r="G496" s="16" t="str">
        <x:f>IF(F496="","PENDING",IF(E496=F496,"AGREE","DISAGREE"))</x:f>
        <x:v>PENDING</x:v>
      </x:c>
      <x:c r="H496" s="16" t="str">
        <x:v>Y</x:v>
      </x:c>
      <x:c r="I496" s="16" t="str">
        <x:f>Coder_A!F496</x:f>
        <x:v>Sec. 3 Datasets; Appendix A; Table 2; Table 1; Appendix B</x:v>
      </x:c>
      <x:c r="J496" s="16" t="n">
        <x:f>Coder_B!F496</x:f>
        <x:v>0</x:v>
      </x:c>
    </x:row>
    <x:row r="497">
      <x:c r="A497" s="16" t="n">
        <x:v>496</x:v>
      </x:c>
      <x:c r="B497" s="16" t="str">
        <x:v>EXPERIMENT</x:v>
      </x:c>
      <x:c r="C497" s="16" t="str">
        <x:f>Coder_A!C497</x:f>
        <x:v>PILOT_01_E06</x:v>
      </x:c>
      <x:c r="D497" s="16" t="str">
        <x:v>normalization_train_only</x:v>
      </x:c>
      <x:c r="E497" s="16" t="str">
        <x:f>Coder_A!E497</x:f>
        <x:v>NR</x:v>
      </x:c>
      <x:c r="F497" s="16" t="n">
        <x:f>Coder_B!E497</x:f>
        <x:v>0</x:v>
      </x:c>
      <x:c r="G497" s="16" t="str">
        <x:f>IF(F497="","PENDING",IF(E497=F497,"AGREE","DISAGREE"))</x:f>
        <x:v>PENDING</x:v>
      </x:c>
      <x:c r="H497" s="16" t="str">
        <x:v>Y</x:v>
      </x:c>
      <x:c r="I497" s="16" t="str">
        <x:f>Coder_A!F497</x:f>
        <x:v>Sec. 3 Datasets; Appendix A; Table 2; Table 1; Appendix B</x:v>
      </x:c>
      <x:c r="J497" s="16" t="n">
        <x:f>Coder_B!F497</x:f>
        <x:v>0</x:v>
      </x:c>
    </x:row>
    <x:row r="498">
      <x:c r="A498" s="16" t="n">
        <x:v>497</x:v>
      </x:c>
      <x:c r="B498" s="16" t="str">
        <x:v>EXPERIMENT</x:v>
      </x:c>
      <x:c r="C498" s="16" t="str">
        <x:f>Coder_A!C498</x:f>
        <x:v>PILOT_01_E06</x:v>
      </x:c>
      <x:c r="D498" s="16" t="str">
        <x:v>sparse_strata_train_only</x:v>
      </x:c>
      <x:c r="E498" s="16" t="str">
        <x:f>Coder_A!E498</x:f>
        <x:v>NA</x:v>
      </x:c>
      <x:c r="F498" s="16" t="n">
        <x:f>Coder_B!E498</x:f>
        <x:v>0</x:v>
      </x:c>
      <x:c r="G498" s="16" t="str">
        <x:f>IF(F498="","PENDING",IF(E498=F498,"AGREE","DISAGREE"))</x:f>
        <x:v>PENDING</x:v>
      </x:c>
      <x:c r="H498" s="16" t="str">
        <x:v>Y</x:v>
      </x:c>
      <x:c r="I498" s="16" t="str">
        <x:f>Coder_A!F498</x:f>
        <x:v>Sec. 3 Datasets; Appendix A; Table 2; Table 1; Appendix B</x:v>
      </x:c>
      <x:c r="J498" s="16" t="n">
        <x:f>Coder_B!F498</x:f>
        <x:v>0</x:v>
      </x:c>
    </x:row>
    <x:row r="499">
      <x:c r="A499" s="16" t="n">
        <x:v>498</x:v>
      </x:c>
      <x:c r="B499" s="16" t="str">
        <x:v>EXPERIMENT</x:v>
      </x:c>
      <x:c r="C499" s="16" t="str">
        <x:f>Coder_A!C499</x:f>
        <x:v>PILOT_01_E06</x:v>
      </x:c>
      <x:c r="D499" s="16" t="str">
        <x:v>temporal_alignment_audited</x:v>
      </x:c>
      <x:c r="E499" s="16" t="str">
        <x:f>Coder_A!E499</x:f>
        <x:v>NR</x:v>
      </x:c>
      <x:c r="F499" s="16" t="n">
        <x:f>Coder_B!E499</x:f>
        <x:v>0</x:v>
      </x:c>
      <x:c r="G499" s="16" t="str">
        <x:f>IF(F499="","PENDING",IF(E499=F499,"AGREE","DISAGREE"))</x:f>
        <x:v>PENDING</x:v>
      </x:c>
      <x:c r="H499" s="16" t="str">
        <x:v>Y</x:v>
      </x:c>
      <x:c r="I499" s="16" t="str">
        <x:f>Coder_A!F499</x:f>
        <x:v>Sec. 3 Datasets; Appendix A; Table 2; Table 1; Appendix B</x:v>
      </x:c>
      <x:c r="J499" s="16" t="n">
        <x:f>Coder_B!F499</x:f>
        <x:v>0</x:v>
      </x:c>
    </x:row>
    <x:row r="500">
      <x:c r="A500" s="16" t="n">
        <x:v>499</x:v>
      </x:c>
      <x:c r="B500" s="16" t="str">
        <x:v>EXPERIMENT</x:v>
      </x:c>
      <x:c r="C500" s="16" t="str">
        <x:f>Coder_A!C500</x:f>
        <x:v>PILOT_01_E06</x:v>
      </x:c>
      <x:c r="D500" s="16" t="str">
        <x:v>duplicate_entity_leakage_checked</x:v>
      </x:c>
      <x:c r="E500" s="16" t="str">
        <x:f>Coder_A!E500</x:f>
        <x:v>NR</x:v>
      </x:c>
      <x:c r="F500" s="16" t="n">
        <x:f>Coder_B!E500</x:f>
        <x:v>0</x:v>
      </x:c>
      <x:c r="G500" s="16" t="str">
        <x:f>IF(F500="","PENDING",IF(E500=F500,"AGREE","DISAGREE"))</x:f>
        <x:v>PENDING</x:v>
      </x:c>
      <x:c r="H500" s="16" t="str">
        <x:v>Y</x:v>
      </x:c>
      <x:c r="I500" s="16" t="str">
        <x:f>Coder_A!F500</x:f>
        <x:v>Sec. 3 Datasets; Appendix A; Table 2; Table 1; Appendix B</x:v>
      </x:c>
      <x:c r="J500" s="16" t="n">
        <x:f>Coder_B!F500</x:f>
        <x:v>0</x:v>
      </x:c>
    </x:row>
    <x:row r="501">
      <x:c r="A501" s="16" t="n">
        <x:v>500</x:v>
      </x:c>
      <x:c r="B501" s="16" t="str">
        <x:v>EXPERIMENT</x:v>
      </x:c>
      <x:c r="C501" s="16" t="str">
        <x:f>Coder_A!C501</x:f>
        <x:v>PILOT_01_E06</x:v>
      </x:c>
      <x:c r="D501" s="16" t="str">
        <x:v>sparsity_construct</x:v>
      </x:c>
      <x:c r="E501" s="16" t="str">
        <x:f>Coder_A!E501</x:f>
        <x:v>NO_EXPLICIT_FOCUS</x:v>
      </x:c>
      <x:c r="F501" s="16" t="n">
        <x:f>Coder_B!E501</x:f>
        <x:v>0</x:v>
      </x:c>
      <x:c r="G501" s="16" t="str">
        <x:f>IF(F501="","PENDING",IF(E501=F501,"AGREE","DISAGREE"))</x:f>
        <x:v>PENDING</x:v>
      </x:c>
      <x:c r="H501" s="16" t="str">
        <x:v>Y</x:v>
      </x:c>
      <x:c r="I501" s="16" t="str">
        <x:f>Coder_A!F501</x:f>
        <x:v>Sec. 3 Datasets; Appendix A; Table 2; Table 1; Appendix B</x:v>
      </x:c>
      <x:c r="J501" s="16" t="n">
        <x:f>Coder_B!F501</x:f>
        <x:v>0</x:v>
      </x:c>
    </x:row>
    <x:row r="502">
      <x:c r="A502" s="16" t="n">
        <x:v>501</x:v>
      </x:c>
      <x:c r="B502" s="16" t="str">
        <x:v>EXPERIMENT</x:v>
      </x:c>
      <x:c r="C502" s="16" t="str">
        <x:f>Coder_A!C502</x:f>
        <x:v>PILOT_01_E06</x:v>
      </x:c>
      <x:c r="D502" s="16" t="str">
        <x:v>sparse_definition_original</x:v>
      </x:c>
      <x:c r="E502" s="16" t="str">
        <x:f>Coder_A!E502</x:f>
        <x:v>NA</x:v>
      </x:c>
      <x:c r="F502" s="16" t="n">
        <x:f>Coder_B!E502</x:f>
        <x:v>0</x:v>
      </x:c>
      <x:c r="G502" s="16" t="str">
        <x:f>IF(F502="","PENDING",IF(E502=F502,"AGREE","DISAGREE"))</x:f>
        <x:v>PENDING</x:v>
      </x:c>
      <x:c r="H502" s="16" t="str">
        <x:v>N</x:v>
      </x:c>
      <x:c r="I502" s="16" t="str">
        <x:f>Coder_A!F502</x:f>
        <x:v>Sec. 3 Datasets; Appendix A; Table 2; Table 1; Appendix B</x:v>
      </x:c>
      <x:c r="J502" s="16" t="n">
        <x:f>Coder_B!F502</x:f>
        <x:v>0</x:v>
      </x:c>
    </x:row>
    <x:row r="503">
      <x:c r="A503" s="16" t="n">
        <x:v>502</x:v>
      </x:c>
      <x:c r="B503" s="16" t="str">
        <x:v>EXPERIMENT</x:v>
      </x:c>
      <x:c r="C503" s="16" t="str">
        <x:f>Coder_A!C503</x:f>
        <x:v>PILOT_01_E06</x:v>
      </x:c>
      <x:c r="D503" s="16" t="str">
        <x:v>sparse_threshold_original</x:v>
      </x:c>
      <x:c r="E503" s="16" t="str">
        <x:f>Coder_A!E503</x:f>
        <x:v>NA</x:v>
      </x:c>
      <x:c r="F503" s="16" t="n">
        <x:f>Coder_B!E503</x:f>
        <x:v>0</x:v>
      </x:c>
      <x:c r="G503" s="16" t="str">
        <x:f>IF(F503="","PENDING",IF(E503=F503,"AGREE","DISAGREE"))</x:f>
        <x:v>PENDING</x:v>
      </x:c>
      <x:c r="H503" s="16" t="str">
        <x:v>N</x:v>
      </x:c>
      <x:c r="I503" s="16" t="str">
        <x:f>Coder_A!F503</x:f>
        <x:v>Sec. 3 Datasets; Appendix A; Table 2; Table 1; Appendix B</x:v>
      </x:c>
      <x:c r="J503" s="16" t="n">
        <x:f>Coder_B!F503</x:f>
        <x:v>0</x:v>
      </x:c>
    </x:row>
    <x:row r="504">
      <x:c r="A504" s="16" t="n">
        <x:v>503</x:v>
      </x:c>
      <x:c r="B504" s="16" t="str">
        <x:v>EXPERIMENT</x:v>
      </x:c>
      <x:c r="C504" s="16" t="str">
        <x:f>Coder_A!C504</x:f>
        <x:v>PILOT_01_E06</x:v>
      </x:c>
      <x:c r="D504" s="16" t="str">
        <x:v>threshold_source</x:v>
      </x:c>
      <x:c r="E504" s="16" t="str">
        <x:f>Coder_A!E504</x:f>
        <x:v>NA</x:v>
      </x:c>
      <x:c r="F504" s="16" t="n">
        <x:f>Coder_B!E504</x:f>
        <x:v>0</x:v>
      </x:c>
      <x:c r="G504" s="16" t="str">
        <x:f>IF(F504="","PENDING",IF(E504=F504,"AGREE","DISAGREE"))</x:f>
        <x:v>PENDING</x:v>
      </x:c>
      <x:c r="H504" s="16" t="str">
        <x:v>Y</x:v>
      </x:c>
      <x:c r="I504" s="16" t="str">
        <x:f>Coder_A!F504</x:f>
        <x:v>Sec. 3 Datasets; Appendix A; Table 2; Table 1; Appendix B</x:v>
      </x:c>
      <x:c r="J504" s="16" t="n">
        <x:f>Coder_B!F504</x:f>
        <x:v>0</x:v>
      </x:c>
    </x:row>
    <x:row r="505">
      <x:c r="A505" s="16" t="n">
        <x:v>504</x:v>
      </x:c>
      <x:c r="B505" s="16" t="str">
        <x:v>EXPERIMENT</x:v>
      </x:c>
      <x:c r="C505" s="16" t="str">
        <x:f>Coder_A!C505</x:f>
        <x:v>PILOT_01_E06</x:v>
      </x:c>
      <x:c r="D505" s="16" t="str">
        <x:v>frequency_computed_on</x:v>
      </x:c>
      <x:c r="E505" s="16" t="str">
        <x:f>Coder_A!E505</x:f>
        <x:v>NA</x:v>
      </x:c>
      <x:c r="F505" s="16" t="n">
        <x:f>Coder_B!E505</x:f>
        <x:v>0</x:v>
      </x:c>
      <x:c r="G505" s="16" t="str">
        <x:f>IF(F505="","PENDING",IF(E505=F505,"AGREE","DISAGREE"))</x:f>
        <x:v>PENDING</x:v>
      </x:c>
      <x:c r="H505" s="16" t="str">
        <x:v>Y</x:v>
      </x:c>
      <x:c r="I505" s="16" t="str">
        <x:f>Coder_A!F505</x:f>
        <x:v>Sec. 3 Datasets; Appendix A; Table 2; Table 1; Appendix B</x:v>
      </x:c>
      <x:c r="J505" s="16" t="n">
        <x:f>Coder_B!F505</x:f>
        <x:v>0</x:v>
      </x:c>
    </x:row>
    <x:row r="506">
      <x:c r="A506" s="16" t="n">
        <x:v>505</x:v>
      </x:c>
      <x:c r="B506" s="16" t="str">
        <x:v>EXPERIMENT</x:v>
      </x:c>
      <x:c r="C506" s="16" t="str">
        <x:f>Coder_A!C506</x:f>
        <x:v>PILOT_01_E06</x:v>
      </x:c>
      <x:c r="D506" s="16" t="str">
        <x:v>strict_zero_train_verified</x:v>
      </x:c>
      <x:c r="E506" s="16" t="str">
        <x:f>Coder_A!E506</x:f>
        <x:v>NA</x:v>
      </x:c>
      <x:c r="F506" s="16" t="n">
        <x:f>Coder_B!E506</x:f>
        <x:v>0</x:v>
      </x:c>
      <x:c r="G506" s="16" t="str">
        <x:f>IF(F506="","PENDING",IF(E506=F506,"AGREE","DISAGREE"))</x:f>
        <x:v>PENDING</x:v>
      </x:c>
      <x:c r="H506" s="16" t="str">
        <x:v>Y</x:v>
      </x:c>
      <x:c r="I506" s="16" t="str">
        <x:f>Coder_A!F506</x:f>
        <x:v>Sec. 3 Datasets; Appendix A; Table 2; Table 1; Appendix B</x:v>
      </x:c>
      <x:c r="J506" s="16" t="n">
        <x:f>Coder_B!F506</x:f>
        <x:v>0</x:v>
      </x:c>
    </x:row>
    <x:row r="507">
      <x:c r="A507" s="16" t="n">
        <x:v>506</x:v>
      </x:c>
      <x:c r="B507" s="16" t="str">
        <x:v>EXPERIMENT</x:v>
      </x:c>
      <x:c r="C507" s="16" t="str">
        <x:f>Coder_A!C507</x:f>
        <x:v>PILOT_01_E06</x:v>
      </x:c>
      <x:c r="D507" s="16" t="str">
        <x:v>external_info_for_unseen_kc</x:v>
      </x:c>
      <x:c r="E507" s="16" t="str">
        <x:f>Coder_A!E507</x:f>
        <x:v>NA</x:v>
      </x:c>
      <x:c r="F507" s="16" t="n">
        <x:f>Coder_B!E507</x:f>
        <x:v>0</x:v>
      </x:c>
      <x:c r="G507" s="16" t="str">
        <x:f>IF(F507="","PENDING",IF(E507=F507,"AGREE","DISAGREE"))</x:f>
        <x:v>PENDING</x:v>
      </x:c>
      <x:c r="H507" s="16" t="str">
        <x:v>Y</x:v>
      </x:c>
      <x:c r="I507" s="16" t="str">
        <x:f>Coder_A!F507</x:f>
        <x:v>Sec. 3 Datasets; Appendix A; Table 2; Table 1; Appendix B</x:v>
      </x:c>
      <x:c r="J507" s="16" t="n">
        <x:f>Coder_B!F507</x:f>
        <x:v>0</x:v>
      </x:c>
    </x:row>
    <x:row r="508">
      <x:c r="A508" s="16" t="n">
        <x:v>507</x:v>
      </x:c>
      <x:c r="B508" s="16" t="str">
        <x:v>EXPERIMENT</x:v>
      </x:c>
      <x:c r="C508" s="16" t="str">
        <x:f>Coder_A!C508</x:f>
        <x:v>PILOT_01_E06</x:v>
      </x:c>
      <x:c r="D508" s="16" t="str">
        <x:v>support_kcs</x:v>
      </x:c>
      <x:c r="E508" s="16" t="str">
        <x:f>Coder_A!E508</x:f>
        <x:v>NA</x:v>
      </x:c>
      <x:c r="F508" s="16" t="n">
        <x:f>Coder_B!E508</x:f>
        <x:v>0</x:v>
      </x:c>
      <x:c r="G508" s="16" t="str">
        <x:f>IF(F508="","PENDING",IF(E508=F508,"AGREE","DISAGREE"))</x:f>
        <x:v>PENDING</x:v>
      </x:c>
      <x:c r="H508" s="16" t="str">
        <x:v>N</x:v>
      </x:c>
      <x:c r="I508" s="16" t="str">
        <x:f>Coder_A!F508</x:f>
        <x:v>Sec. 3 Datasets; Appendix A; Table 2; Table 1; Appendix B</x:v>
      </x:c>
      <x:c r="J508" s="16" t="n">
        <x:f>Coder_B!F508</x:f>
        <x:v>0</x:v>
      </x:c>
    </x:row>
    <x:row r="509">
      <x:c r="A509" s="16" t="n">
        <x:v>508</x:v>
      </x:c>
      <x:c r="B509" s="16" t="str">
        <x:v>EXPERIMENT</x:v>
      </x:c>
      <x:c r="C509" s="16" t="str">
        <x:f>Coder_A!C509</x:f>
        <x:v>PILOT_01_E06</x:v>
      </x:c>
      <x:c r="D509" s="16" t="str">
        <x:v>support_learners</x:v>
      </x:c>
      <x:c r="E509" s="16" t="str">
        <x:f>Coder_A!E509</x:f>
        <x:v>NA</x:v>
      </x:c>
      <x:c r="F509" s="16" t="n">
        <x:f>Coder_B!E509</x:f>
        <x:v>0</x:v>
      </x:c>
      <x:c r="G509" s="16" t="str">
        <x:f>IF(F509="","PENDING",IF(E509=F509,"AGREE","DISAGREE"))</x:f>
        <x:v>PENDING</x:v>
      </x:c>
      <x:c r="H509" s="16" t="str">
        <x:v>N</x:v>
      </x:c>
      <x:c r="I509" s="16" t="str">
        <x:f>Coder_A!F509</x:f>
        <x:v>Sec. 3 Datasets; Appendix A; Table 2; Table 1; Appendix B</x:v>
      </x:c>
      <x:c r="J509" s="16" t="n">
        <x:f>Coder_B!F509</x:f>
        <x:v>0</x:v>
      </x:c>
    </x:row>
    <x:row r="510">
      <x:c r="A510" s="16" t="n">
        <x:v>509</x:v>
      </x:c>
      <x:c r="B510" s="16" t="str">
        <x:v>EXPERIMENT</x:v>
      </x:c>
      <x:c r="C510" s="16" t="str">
        <x:f>Coder_A!C510</x:f>
        <x:v>PILOT_01_E06</x:v>
      </x:c>
      <x:c r="D510" s="16" t="str">
        <x:v>support_items</x:v>
      </x:c>
      <x:c r="E510" s="16" t="str">
        <x:f>Coder_A!E510</x:f>
        <x:v>NA</x:v>
      </x:c>
      <x:c r="F510" s="16" t="n">
        <x:f>Coder_B!E510</x:f>
        <x:v>0</x:v>
      </x:c>
      <x:c r="G510" s="16" t="str">
        <x:f>IF(F510="","PENDING",IF(E510=F510,"AGREE","DISAGREE"))</x:f>
        <x:v>PENDING</x:v>
      </x:c>
      <x:c r="H510" s="16" t="str">
        <x:v>N</x:v>
      </x:c>
      <x:c r="I510" s="16" t="str">
        <x:f>Coder_A!F510</x:f>
        <x:v>Sec. 3 Datasets; Appendix A; Table 2; Table 1; Appendix B</x:v>
      </x:c>
      <x:c r="J510" s="16" t="n">
        <x:f>Coder_B!F510</x:f>
        <x:v>0</x:v>
      </x:c>
    </x:row>
    <x:row r="511">
      <x:c r="A511" s="16" t="n">
        <x:v>510</x:v>
      </x:c>
      <x:c r="B511" s="16" t="str">
        <x:v>EXPERIMENT</x:v>
      </x:c>
      <x:c r="C511" s="16" t="str">
        <x:f>Coder_A!C511</x:f>
        <x:v>PILOT_01_E06</x:v>
      </x:c>
      <x:c r="D511" s="16" t="str">
        <x:v>support_test_interactions</x:v>
      </x:c>
      <x:c r="E511" s="16" t="str">
        <x:f>Coder_A!E511</x:f>
        <x:v>NA</x:v>
      </x:c>
      <x:c r="F511" s="16" t="n">
        <x:f>Coder_B!E511</x:f>
        <x:v>0</x:v>
      </x:c>
      <x:c r="G511" s="16" t="str">
        <x:f>IF(F511="","PENDING",IF(E511=F511,"AGREE","DISAGREE"))</x:f>
        <x:v>PENDING</x:v>
      </x:c>
      <x:c r="H511" s="16" t="str">
        <x:v>N</x:v>
      </x:c>
      <x:c r="I511" s="16" t="str">
        <x:f>Coder_A!F511</x:f>
        <x:v>Sec. 3 Datasets; Appendix A; Table 2; Table 1; Appendix B</x:v>
      </x:c>
      <x:c r="J511" s="16" t="n">
        <x:f>Coder_B!F511</x:f>
        <x:v>0</x:v>
      </x:c>
    </x:row>
    <x:row r="512">
      <x:c r="A512" s="16" t="n">
        <x:v>511</x:v>
      </x:c>
      <x:c r="B512" s="16" t="str">
        <x:v>EXPERIMENT</x:v>
      </x:c>
      <x:c r="C512" s="16" t="str">
        <x:f>Coder_A!C512</x:f>
        <x:v>PILOT_01_E06</x:v>
      </x:c>
      <x:c r="D512" s="16" t="str">
        <x:v>positive_count</x:v>
      </x:c>
      <x:c r="E512" s="16" t="str">
        <x:f>Coder_A!E512</x:f>
        <x:v>NA</x:v>
      </x:c>
      <x:c r="F512" s="16" t="n">
        <x:f>Coder_B!E512</x:f>
        <x:v>0</x:v>
      </x:c>
      <x:c r="G512" s="16" t="str">
        <x:f>IF(F512="","PENDING",IF(E512=F512,"AGREE","DISAGREE"))</x:f>
        <x:v>PENDING</x:v>
      </x:c>
      <x:c r="H512" s="16" t="str">
        <x:v>N</x:v>
      </x:c>
      <x:c r="I512" s="16" t="str">
        <x:f>Coder_A!F512</x:f>
        <x:v>Sec. 3 Datasets; Appendix A; Table 2; Table 1; Appendix B</x:v>
      </x:c>
      <x:c r="J512" s="16" t="n">
        <x:f>Coder_B!F512</x:f>
        <x:v>0</x:v>
      </x:c>
    </x:row>
    <x:row r="513">
      <x:c r="A513" s="16" t="n">
        <x:v>512</x:v>
      </x:c>
      <x:c r="B513" s="16" t="str">
        <x:v>EXPERIMENT</x:v>
      </x:c>
      <x:c r="C513" s="16" t="str">
        <x:f>Coder_A!C513</x:f>
        <x:v>PILOT_01_E06</x:v>
      </x:c>
      <x:c r="D513" s="16" t="str">
        <x:v>negative_count</x:v>
      </x:c>
      <x:c r="E513" s="16" t="str">
        <x:f>Coder_A!E513</x:f>
        <x:v>NA</x:v>
      </x:c>
      <x:c r="F513" s="16" t="n">
        <x:f>Coder_B!E513</x:f>
        <x:v>0</x:v>
      </x:c>
      <x:c r="G513" s="16" t="str">
        <x:f>IF(F513="","PENDING",IF(E513=F513,"AGREE","DISAGREE"))</x:f>
        <x:v>PENDING</x:v>
      </x:c>
      <x:c r="H513" s="16" t="str">
        <x:v>N</x:v>
      </x:c>
      <x:c r="I513" s="16" t="str">
        <x:f>Coder_A!F513</x:f>
        <x:v>Sec. 3 Datasets; Appendix A; Table 2; Table 1; Appendix B</x:v>
      </x:c>
      <x:c r="J513" s="16" t="n">
        <x:f>Coder_B!F513</x:f>
        <x:v>0</x:v>
      </x:c>
    </x:row>
    <x:row r="514">
      <x:c r="A514" s="16" t="n">
        <x:v>513</x:v>
      </x:c>
      <x:c r="B514" s="16" t="str">
        <x:v>EXPERIMENT</x:v>
      </x:c>
      <x:c r="C514" s="16" t="str">
        <x:f>Coder_A!C514</x:f>
        <x:v>PILOT_01_E06</x:v>
      </x:c>
      <x:c r="D514" s="16" t="str">
        <x:v>metric_name_original</x:v>
      </x:c>
      <x:c r="E514" s="16" t="str">
        <x:f>Coder_A!E514</x:f>
        <x:v>AUC</x:v>
      </x:c>
      <x:c r="F514" s="16" t="n">
        <x:f>Coder_B!E514</x:f>
        <x:v>0</x:v>
      </x:c>
      <x:c r="G514" s="16" t="str">
        <x:f>IF(F514="","PENDING",IF(E514=F514,"AGREE","DISAGREE"))</x:f>
        <x:v>PENDING</x:v>
      </x:c>
      <x:c r="H514" s="16" t="str">
        <x:v>N</x:v>
      </x:c>
      <x:c r="I514" s="16" t="str">
        <x:f>Coder_A!F514</x:f>
        <x:v>Sec. 3 Datasets; Appendix A; Table 2; Table 1; Appendix B</x:v>
      </x:c>
      <x:c r="J514" s="16" t="n">
        <x:f>Coder_B!F514</x:f>
        <x:v>0</x:v>
      </x:c>
    </x:row>
    <x:row r="515">
      <x:c r="A515" s="16" t="n">
        <x:v>514</x:v>
      </x:c>
      <x:c r="B515" s="16" t="str">
        <x:v>EXPERIMENT</x:v>
      </x:c>
      <x:c r="C515" s="16" t="str">
        <x:f>Coder_A!C515</x:f>
        <x:v>PILOT_01_E06</x:v>
      </x:c>
      <x:c r="D515" s="16" t="str">
        <x:v>metric_value_original</x:v>
      </x:c>
      <x:c r="E515" s="16" t="n">
        <x:f>Coder_A!E515</x:f>
        <x:v>0.764</x:v>
      </x:c>
      <x:c r="F515" s="16" t="n">
        <x:f>Coder_B!E515</x:f>
        <x:v>0</x:v>
      </x:c>
      <x:c r="G515" s="16" t="str">
        <x:f>IF(F515="","PENDING",IF(E515=F515,"AGREE","DISAGREE"))</x:f>
        <x:v>PENDING</x:v>
      </x:c>
      <x:c r="H515" s="16" t="str">
        <x:v>N</x:v>
      </x:c>
      <x:c r="I515" s="16" t="str">
        <x:f>Coder_A!F515</x:f>
        <x:v>Sec. 3 Datasets; Appendix A; Table 2; Table 1; Appendix B</x:v>
      </x:c>
      <x:c r="J515" s="16" t="n">
        <x:f>Coder_B!F515</x:f>
        <x:v>0</x:v>
      </x:c>
    </x:row>
    <x:row r="516">
      <x:c r="A516" s="16" t="n">
        <x:v>515</x:v>
      </x:c>
      <x:c r="B516" s="16" t="str">
        <x:v>EXPERIMENT</x:v>
      </x:c>
      <x:c r="C516" s="16" t="str">
        <x:f>Coder_A!C516</x:f>
        <x:v>PILOT_01_E06</x:v>
      </x:c>
      <x:c r="D516" s="16" t="str">
        <x:v>metric_scope</x:v>
      </x:c>
      <x:c r="E516" s="16" t="str">
        <x:f>Coder_A!E516</x:f>
        <x:v>OVERALL</x:v>
      </x:c>
      <x:c r="F516" s="16" t="n">
        <x:f>Coder_B!E516</x:f>
        <x:v>0</x:v>
      </x:c>
      <x:c r="G516" s="16" t="str">
        <x:f>IF(F516="","PENDING",IF(E516=F516,"AGREE","DISAGREE"))</x:f>
        <x:v>PENDING</x:v>
      </x:c>
      <x:c r="H516" s="16" t="str">
        <x:v>Y</x:v>
      </x:c>
      <x:c r="I516" s="16" t="str">
        <x:f>Coder_A!F516</x:f>
        <x:v>Sec. 3 Datasets; Appendix A; Table 2; Table 1; Appendix B</x:v>
      </x:c>
      <x:c r="J516" s="16" t="n">
        <x:f>Coder_B!F516</x:f>
        <x:v>0</x:v>
      </x:c>
    </x:row>
    <x:row r="517">
      <x:c r="A517" s="16" t="n">
        <x:v>516</x:v>
      </x:c>
      <x:c r="B517" s="16" t="str">
        <x:v>EXPERIMENT</x:v>
      </x:c>
      <x:c r="C517" s="16" t="str">
        <x:f>Coder_A!C517</x:f>
        <x:v>PILOT_01_E06</x:v>
      </x:c>
      <x:c r="D517" s="16" t="str">
        <x:v>n_seeds</x:v>
      </x:c>
      <x:c r="E517" s="16" t="str">
        <x:f>Coder_A!E517</x:f>
        <x:v>NR</x:v>
      </x:c>
      <x:c r="F517" s="16" t="n">
        <x:f>Coder_B!E517</x:f>
        <x:v>0</x:v>
      </x:c>
      <x:c r="G517" s="16" t="str">
        <x:f>IF(F517="","PENDING",IF(E517=F517,"AGREE","DISAGREE"))</x:f>
        <x:v>PENDING</x:v>
      </x:c>
      <x:c r="H517" s="16" t="str">
        <x:v>N</x:v>
      </x:c>
      <x:c r="I517" s="16" t="str">
        <x:f>Coder_A!F517</x:f>
        <x:v>Sec. 3 Datasets; Appendix A; Table 2; Table 1; Appendix B</x:v>
      </x:c>
      <x:c r="J517" s="16" t="n">
        <x:f>Coder_B!F517</x:f>
        <x:v>0</x:v>
      </x:c>
    </x:row>
    <x:row r="518">
      <x:c r="A518" s="16" t="n">
        <x:v>517</x:v>
      </x:c>
      <x:c r="B518" s="16" t="str">
        <x:v>EXPERIMENT</x:v>
      </x:c>
      <x:c r="C518" s="16" t="str">
        <x:f>Coder_A!C518</x:f>
        <x:v>PILOT_01_E06</x:v>
      </x:c>
      <x:c r="D518" s="16" t="str">
        <x:v>seed_values_reported</x:v>
      </x:c>
      <x:c r="E518" s="16" t="str">
        <x:f>Coder_A!E518</x:f>
        <x:v>NR</x:v>
      </x:c>
      <x:c r="F518" s="16" t="n">
        <x:f>Coder_B!E518</x:f>
        <x:v>0</x:v>
      </x:c>
      <x:c r="G518" s="16" t="str">
        <x:f>IF(F518="","PENDING",IF(E518=F518,"AGREE","DISAGREE"))</x:f>
        <x:v>PENDING</x:v>
      </x:c>
      <x:c r="H518" s="16" t="str">
        <x:v>N</x:v>
      </x:c>
      <x:c r="I518" s="16" t="str">
        <x:f>Coder_A!F518</x:f>
        <x:v>Sec. 3 Datasets; Appendix A; Table 2; Table 1; Appendix B</x:v>
      </x:c>
      <x:c r="J518" s="16" t="n">
        <x:f>Coder_B!F518</x:f>
        <x:v>0</x:v>
      </x:c>
    </x:row>
    <x:row r="519">
      <x:c r="A519" s="16" t="n">
        <x:v>518</x:v>
      </x:c>
      <x:c r="B519" s="16" t="str">
        <x:v>EXPERIMENT</x:v>
      </x:c>
      <x:c r="C519" s="16" t="str">
        <x:f>Coder_A!C519</x:f>
        <x:v>PILOT_01_E06</x:v>
      </x:c>
      <x:c r="D519" s="16" t="str">
        <x:v>mean_std_reported</x:v>
      </x:c>
      <x:c r="E519" s="16" t="str">
        <x:f>Coder_A!E519</x:f>
        <x:v>N</x:v>
      </x:c>
      <x:c r="F519" s="16" t="n">
        <x:f>Coder_B!E519</x:f>
        <x:v>0</x:v>
      </x:c>
      <x:c r="G519" s="16" t="str">
        <x:f>IF(F519="","PENDING",IF(E519=F519,"AGREE","DISAGREE"))</x:f>
        <x:v>PENDING</x:v>
      </x:c>
      <x:c r="H519" s="16" t="str">
        <x:v>Y</x:v>
      </x:c>
      <x:c r="I519" s="16" t="str">
        <x:f>Coder_A!F519</x:f>
        <x:v>Sec. 3 Datasets; Appendix A; Table 2; Table 1; Appendix B</x:v>
      </x:c>
      <x:c r="J519" s="16" t="n">
        <x:f>Coder_B!F519</x:f>
        <x:v>0</x:v>
      </x:c>
    </x:row>
    <x:row r="520">
      <x:c r="A520" s="16" t="n">
        <x:v>519</x:v>
      </x:c>
      <x:c r="B520" s="16" t="str">
        <x:v>EXPERIMENT</x:v>
      </x:c>
      <x:c r="C520" s="16" t="str">
        <x:f>Coder_A!C520</x:f>
        <x:v>PILOT_01_E06</x:v>
      </x:c>
      <x:c r="D520" s="16" t="str">
        <x:v>confidence_interval</x:v>
      </x:c>
      <x:c r="E520" s="16" t="str">
        <x:f>Coder_A!E520</x:f>
        <x:v>NR</x:v>
      </x:c>
      <x:c r="F520" s="16" t="n">
        <x:f>Coder_B!E520</x:f>
        <x:v>0</x:v>
      </x:c>
      <x:c r="G520" s="16" t="str">
        <x:f>IF(F520="","PENDING",IF(E520=F520,"AGREE","DISAGREE"))</x:f>
        <x:v>PENDING</x:v>
      </x:c>
      <x:c r="H520" s="16" t="str">
        <x:v>N</x:v>
      </x:c>
      <x:c r="I520" s="16" t="str">
        <x:f>Coder_A!F520</x:f>
        <x:v>Sec. 3 Datasets; Appendix A; Table 2; Table 1; Appendix B</x:v>
      </x:c>
      <x:c r="J520" s="16" t="n">
        <x:f>Coder_B!F520</x:f>
        <x:v>0</x:v>
      </x:c>
    </x:row>
    <x:row r="521">
      <x:c r="A521" s="16" t="n">
        <x:v>520</x:v>
      </x:c>
      <x:c r="B521" s="16" t="str">
        <x:v>EXPERIMENT</x:v>
      </x:c>
      <x:c r="C521" s="16" t="str">
        <x:f>Coder_A!C521</x:f>
        <x:v>PILOT_01_E06</x:v>
      </x:c>
      <x:c r="D521" s="16" t="str">
        <x:v>bootstrap_unit</x:v>
      </x:c>
      <x:c r="E521" s="16" t="str">
        <x:f>Coder_A!E521</x:f>
        <x:v>NA</x:v>
      </x:c>
      <x:c r="F521" s="16" t="n">
        <x:f>Coder_B!E521</x:f>
        <x:v>0</x:v>
      </x:c>
      <x:c r="G521" s="16" t="str">
        <x:f>IF(F521="","PENDING",IF(E521=F521,"AGREE","DISAGREE"))</x:f>
        <x:v>PENDING</x:v>
      </x:c>
      <x:c r="H521" s="16" t="str">
        <x:v>Y</x:v>
      </x:c>
      <x:c r="I521" s="16" t="str">
        <x:f>Coder_A!F521</x:f>
        <x:v>Sec. 3 Datasets; Appendix A; Table 2; Table 1; Appendix B</x:v>
      </x:c>
      <x:c r="J521" s="16" t="n">
        <x:f>Coder_B!F521</x:f>
        <x:v>0</x:v>
      </x:c>
    </x:row>
    <x:row r="522">
      <x:c r="A522" s="16" t="n">
        <x:v>521</x:v>
      </x:c>
      <x:c r="B522" s="16" t="str">
        <x:v>EXPERIMENT</x:v>
      </x:c>
      <x:c r="C522" s="16" t="str">
        <x:f>Coder_A!C522</x:f>
        <x:v>PILOT_01_E06</x:v>
      </x:c>
      <x:c r="D522" s="16" t="str">
        <x:v>statistical_test</x:v>
      </x:c>
      <x:c r="E522" s="16" t="str">
        <x:f>Coder_A!E522</x:f>
        <x:v>NR</x:v>
      </x:c>
      <x:c r="F522" s="16" t="n">
        <x:f>Coder_B!E522</x:f>
        <x:v>0</x:v>
      </x:c>
      <x:c r="G522" s="16" t="str">
        <x:f>IF(F522="","PENDING",IF(E522=F522,"AGREE","DISAGREE"))</x:f>
        <x:v>PENDING</x:v>
      </x:c>
      <x:c r="H522" s="16" t="str">
        <x:v>N</x:v>
      </x:c>
      <x:c r="I522" s="16" t="str">
        <x:f>Coder_A!F522</x:f>
        <x:v>Sec. 3 Datasets; Appendix A; Table 2; Table 1; Appendix B</x:v>
      </x:c>
      <x:c r="J522" s="16" t="n">
        <x:f>Coder_B!F522</x:f>
        <x:v>0</x:v>
      </x:c>
    </x:row>
    <x:row r="523">
      <x:c r="A523" s="16" t="n">
        <x:v>522</x:v>
      </x:c>
      <x:c r="B523" s="16" t="str">
        <x:v>EXPERIMENT</x:v>
      </x:c>
      <x:c r="C523" s="16" t="str">
        <x:f>Coder_A!C523</x:f>
        <x:v>PILOT_01_E06</x:v>
      </x:c>
      <x:c r="D523" s="16" t="str">
        <x:v>multiple_comparison_correction</x:v>
      </x:c>
      <x:c r="E523" s="16" t="str">
        <x:f>Coder_A!E523</x:f>
        <x:v>NR</x:v>
      </x:c>
      <x:c r="F523" s="16" t="n">
        <x:f>Coder_B!E523</x:f>
        <x:v>0</x:v>
      </x:c>
      <x:c r="G523" s="16" t="str">
        <x:f>IF(F523="","PENDING",IF(E523=F523,"AGREE","DISAGREE"))</x:f>
        <x:v>PENDING</x:v>
      </x:c>
      <x:c r="H523" s="16" t="str">
        <x:v>N</x:v>
      </x:c>
      <x:c r="I523" s="16" t="str">
        <x:f>Coder_A!F523</x:f>
        <x:v>Sec. 3 Datasets; Appendix A; Table 2; Table 1; Appendix B</x:v>
      </x:c>
      <x:c r="J523" s="16" t="n">
        <x:f>Coder_B!F523</x:f>
        <x:v>0</x:v>
      </x:c>
    </x:row>
    <x:row r="524">
      <x:c r="A524" s="16" t="n">
        <x:v>523</x:v>
      </x:c>
      <x:c r="B524" s="16" t="str">
        <x:v>EXPERIMENT</x:v>
      </x:c>
      <x:c r="C524" s="16" t="str">
        <x:f>Coder_A!C524</x:f>
        <x:v>PILOT_01_E06</x:v>
      </x:c>
      <x:c r="D524" s="16" t="str">
        <x:v>effect_size</x:v>
      </x:c>
      <x:c r="E524" s="16" t="str">
        <x:f>Coder_A!E524</x:f>
        <x:v>NR</x:v>
      </x:c>
      <x:c r="F524" s="16" t="n">
        <x:f>Coder_B!E524</x:f>
        <x:v>0</x:v>
      </x:c>
      <x:c r="G524" s="16" t="str">
        <x:f>IF(F524="","PENDING",IF(E524=F524,"AGREE","DISAGREE"))</x:f>
        <x:v>PENDING</x:v>
      </x:c>
      <x:c r="H524" s="16" t="str">
        <x:v>N</x:v>
      </x:c>
      <x:c r="I524" s="16" t="str">
        <x:f>Coder_A!F524</x:f>
        <x:v>Sec. 3 Datasets; Appendix A; Table 2; Table 1; Appendix B</x:v>
      </x:c>
      <x:c r="J524" s="16" t="n">
        <x:f>Coder_B!F524</x:f>
        <x:v>0</x:v>
      </x:c>
    </x:row>
    <x:row r="525">
      <x:c r="A525" s="16" t="n">
        <x:v>524</x:v>
      </x:c>
      <x:c r="B525" s="16" t="str">
        <x:v>EXPERIMENT</x:v>
      </x:c>
      <x:c r="C525" s="16" t="str">
        <x:f>Coder_A!C525</x:f>
        <x:v>PILOT_01_E06</x:v>
      </x:c>
      <x:c r="D525" s="16" t="str">
        <x:v>paired_design</x:v>
      </x:c>
      <x:c r="E525" s="16" t="str">
        <x:f>Coder_A!E525</x:f>
        <x:v>NR</x:v>
      </x:c>
      <x:c r="F525" s="16" t="n">
        <x:f>Coder_B!E525</x:f>
        <x:v>0</x:v>
      </x:c>
      <x:c r="G525" s="16" t="str">
        <x:f>IF(F525="","PENDING",IF(E525=F525,"AGREE","DISAGREE"))</x:f>
        <x:v>PENDING</x:v>
      </x:c>
      <x:c r="H525" s="16" t="str">
        <x:v>Y</x:v>
      </x:c>
      <x:c r="I525" s="16" t="str">
        <x:f>Coder_A!F525</x:f>
        <x:v>Sec. 3 Datasets; Appendix A; Table 2; Table 1; Appendix B</x:v>
      </x:c>
      <x:c r="J525" s="16" t="n">
        <x:f>Coder_B!F525</x:f>
        <x:v>0</x:v>
      </x:c>
    </x:row>
    <x:row r="526">
      <x:c r="A526" s="16" t="n">
        <x:v>525</x:v>
      </x:c>
      <x:c r="B526" s="16" t="str">
        <x:v>EXPERIMENT</x:v>
      </x:c>
      <x:c r="C526" s="16" t="str">
        <x:f>Coder_A!C526</x:f>
        <x:v>PILOT_01_E06</x:v>
      </x:c>
      <x:c r="D526" s="16" t="str">
        <x:v>significance_threshold</x:v>
      </x:c>
      <x:c r="E526" s="16" t="str">
        <x:f>Coder_A!E526</x:f>
        <x:v>NR</x:v>
      </x:c>
      <x:c r="F526" s="16" t="n">
        <x:f>Coder_B!E526</x:f>
        <x:v>0</x:v>
      </x:c>
      <x:c r="G526" s="16" t="str">
        <x:f>IF(F526="","PENDING",IF(E526=F526,"AGREE","DISAGREE"))</x:f>
        <x:v>PENDING</x:v>
      </x:c>
      <x:c r="H526" s="16" t="str">
        <x:v>N</x:v>
      </x:c>
      <x:c r="I526" s="16" t="str">
        <x:f>Coder_A!F526</x:f>
        <x:v>Sec. 3 Datasets; Appendix A; Table 2; Table 1; Appendix B</x:v>
      </x:c>
      <x:c r="J526" s="16" t="n">
        <x:f>Coder_B!F526</x:f>
        <x:v>0</x:v>
      </x:c>
    </x:row>
    <x:row r="527">
      <x:c r="A527" s="16" t="n">
        <x:v>526</x:v>
      </x:c>
      <x:c r="B527" s="16" t="str">
        <x:v>EXPERIMENT</x:v>
      </x:c>
      <x:c r="C527" s="16" t="str">
        <x:f>Coder_A!C527</x:f>
        <x:v>PILOT_01_E06</x:v>
      </x:c>
      <x:c r="D527" s="16" t="str">
        <x:v>parameter_count</x:v>
      </x:c>
      <x:c r="E527" s="16" t="str">
        <x:f>Coder_A!E527</x:f>
        <x:v>NR</x:v>
      </x:c>
      <x:c r="F527" s="16" t="n">
        <x:f>Coder_B!E527</x:f>
        <x:v>0</x:v>
      </x:c>
      <x:c r="G527" s="16" t="str">
        <x:f>IF(F527="","PENDING",IF(E527=F527,"AGREE","DISAGREE"))</x:f>
        <x:v>PENDING</x:v>
      </x:c>
      <x:c r="H527" s="16" t="str">
        <x:v>N</x:v>
      </x:c>
      <x:c r="I527" s="16" t="str">
        <x:f>Coder_A!F527</x:f>
        <x:v>Sec. 3 Datasets; Appendix A; Table 2; Table 1; Appendix B</x:v>
      </x:c>
      <x:c r="J527" s="16" t="n">
        <x:f>Coder_B!F527</x:f>
        <x:v>0</x:v>
      </x:c>
    </x:row>
    <x:row r="528">
      <x:c r="A528" s="16" t="n">
        <x:v>527</x:v>
      </x:c>
      <x:c r="B528" s="16" t="str">
        <x:v>EXPERIMENT</x:v>
      </x:c>
      <x:c r="C528" s="16" t="str">
        <x:f>Coder_A!C528</x:f>
        <x:v>PILOT_01_E06</x:v>
      </x:c>
      <x:c r="D528" s="16" t="str">
        <x:v>train_time</x:v>
      </x:c>
      <x:c r="E528" s="16" t="str">
        <x:f>Coder_A!E528</x:f>
        <x:v>NR</x:v>
      </x:c>
      <x:c r="F528" s="16" t="n">
        <x:f>Coder_B!E528</x:f>
        <x:v>0</x:v>
      </x:c>
      <x:c r="G528" s="16" t="str">
        <x:f>IF(F528="","PENDING",IF(E528=F528,"AGREE","DISAGREE"))</x:f>
        <x:v>PENDING</x:v>
      </x:c>
      <x:c r="H528" s="16" t="str">
        <x:v>N</x:v>
      </x:c>
      <x:c r="I528" s="16" t="str">
        <x:f>Coder_A!F528</x:f>
        <x:v>Sec. 3 Datasets; Appendix A; Table 2; Table 1; Appendix B</x:v>
      </x:c>
      <x:c r="J528" s="16" t="n">
        <x:f>Coder_B!F528</x:f>
        <x:v>0</x:v>
      </x:c>
    </x:row>
    <x:row r="529">
      <x:c r="A529" s="16" t="n">
        <x:v>528</x:v>
      </x:c>
      <x:c r="B529" s="16" t="str">
        <x:v>EXPERIMENT</x:v>
      </x:c>
      <x:c r="C529" s="16" t="str">
        <x:f>Coder_A!C529</x:f>
        <x:v>PILOT_01_E06</x:v>
      </x:c>
      <x:c r="D529" s="16" t="str">
        <x:v>time_per_epoch</x:v>
      </x:c>
      <x:c r="E529" s="16" t="str">
        <x:f>Coder_A!E529</x:f>
        <x:v>NR</x:v>
      </x:c>
      <x:c r="F529" s="16" t="n">
        <x:f>Coder_B!E529</x:f>
        <x:v>0</x:v>
      </x:c>
      <x:c r="G529" s="16" t="str">
        <x:f>IF(F529="","PENDING",IF(E529=F529,"AGREE","DISAGREE"))</x:f>
        <x:v>PENDING</x:v>
      </x:c>
      <x:c r="H529" s="16" t="str">
        <x:v>N</x:v>
      </x:c>
      <x:c r="I529" s="16" t="str">
        <x:f>Coder_A!F529</x:f>
        <x:v>Sec. 3 Datasets; Appendix A; Table 2; Table 1; Appendix B</x:v>
      </x:c>
      <x:c r="J529" s="16" t="n">
        <x:f>Coder_B!F529</x:f>
        <x:v>0</x:v>
      </x:c>
    </x:row>
    <x:row r="530">
      <x:c r="A530" s="16" t="n">
        <x:v>529</x:v>
      </x:c>
      <x:c r="B530" s="16" t="str">
        <x:v>EXPERIMENT</x:v>
      </x:c>
      <x:c r="C530" s="16" t="str">
        <x:f>Coder_A!C530</x:f>
        <x:v>PILOT_01_E06</x:v>
      </x:c>
      <x:c r="D530" s="16" t="str">
        <x:v>inference_latency</x:v>
      </x:c>
      <x:c r="E530" s="16" t="str">
        <x:f>Coder_A!E530</x:f>
        <x:v>NR</x:v>
      </x:c>
      <x:c r="F530" s="16" t="n">
        <x:f>Coder_B!E530</x:f>
        <x:v>0</x:v>
      </x:c>
      <x:c r="G530" s="16" t="str">
        <x:f>IF(F530="","PENDING",IF(E530=F530,"AGREE","DISAGREE"))</x:f>
        <x:v>PENDING</x:v>
      </x:c>
      <x:c r="H530" s="16" t="str">
        <x:v>N</x:v>
      </x:c>
      <x:c r="I530" s="16" t="str">
        <x:f>Coder_A!F530</x:f>
        <x:v>Sec. 3 Datasets; Appendix A; Table 2; Table 1; Appendix B</x:v>
      </x:c>
      <x:c r="J530" s="16" t="n">
        <x:f>Coder_B!F530</x:f>
        <x:v>0</x:v>
      </x:c>
    </x:row>
    <x:row r="531">
      <x:c r="A531" s="16" t="n">
        <x:v>530</x:v>
      </x:c>
      <x:c r="B531" s="16" t="str">
        <x:v>EXPERIMENT</x:v>
      </x:c>
      <x:c r="C531" s="16" t="str">
        <x:f>Coder_A!C531</x:f>
        <x:v>PILOT_01_E06</x:v>
      </x:c>
      <x:c r="D531" s="16" t="str">
        <x:v>throughput</x:v>
      </x:c>
      <x:c r="E531" s="16" t="str">
        <x:f>Coder_A!E531</x:f>
        <x:v>NR</x:v>
      </x:c>
      <x:c r="F531" s="16" t="n">
        <x:f>Coder_B!E531</x:f>
        <x:v>0</x:v>
      </x:c>
      <x:c r="G531" s="16" t="str">
        <x:f>IF(F531="","PENDING",IF(E531=F531,"AGREE","DISAGREE"))</x:f>
        <x:v>PENDING</x:v>
      </x:c>
      <x:c r="H531" s="16" t="str">
        <x:v>N</x:v>
      </x:c>
      <x:c r="I531" s="16" t="str">
        <x:f>Coder_A!F531</x:f>
        <x:v>Sec. 3 Datasets; Appendix A; Table 2; Table 1; Appendix B</x:v>
      </x:c>
      <x:c r="J531" s="16" t="n">
        <x:f>Coder_B!F531</x:f>
        <x:v>0</x:v>
      </x:c>
    </x:row>
    <x:row r="532">
      <x:c r="A532" s="16" t="n">
        <x:v>531</x:v>
      </x:c>
      <x:c r="B532" s="16" t="str">
        <x:v>EXPERIMENT</x:v>
      </x:c>
      <x:c r="C532" s="16" t="str">
        <x:f>Coder_A!C532</x:f>
        <x:v>PILOT_01_E06</x:v>
      </x:c>
      <x:c r="D532" s="16" t="str">
        <x:v>cpu_ram</x:v>
      </x:c>
      <x:c r="E532" s="16" t="str">
        <x:f>Coder_A!E532</x:f>
        <x:v>NR</x:v>
      </x:c>
      <x:c r="F532" s="16" t="n">
        <x:f>Coder_B!E532</x:f>
        <x:v>0</x:v>
      </x:c>
      <x:c r="G532" s="16" t="str">
        <x:f>IF(F532="","PENDING",IF(E532=F532,"AGREE","DISAGREE"))</x:f>
        <x:v>PENDING</x:v>
      </x:c>
      <x:c r="H532" s="16" t="str">
        <x:v>N</x:v>
      </x:c>
      <x:c r="I532" s="16" t="str">
        <x:f>Coder_A!F532</x:f>
        <x:v>Sec. 3 Datasets; Appendix A; Table 2; Table 1; Appendix B</x:v>
      </x:c>
      <x:c r="J532" s="16" t="n">
        <x:f>Coder_B!F532</x:f>
        <x:v>0</x:v>
      </x:c>
    </x:row>
    <x:row r="533">
      <x:c r="A533" s="16" t="n">
        <x:v>532</x:v>
      </x:c>
      <x:c r="B533" s="16" t="str">
        <x:v>EXPERIMENT</x:v>
      </x:c>
      <x:c r="C533" s="16" t="str">
        <x:f>Coder_A!C533</x:f>
        <x:v>PILOT_01_E06</x:v>
      </x:c>
      <x:c r="D533" s="16" t="str">
        <x:v>gpu_vram</x:v>
      </x:c>
      <x:c r="E533" s="16" t="str">
        <x:f>Coder_A!E533</x:f>
        <x:v>NR</x:v>
      </x:c>
      <x:c r="F533" s="16" t="n">
        <x:f>Coder_B!E533</x:f>
        <x:v>0</x:v>
      </x:c>
      <x:c r="G533" s="16" t="str">
        <x:f>IF(F533="","PENDING",IF(E533=F533,"AGREE","DISAGREE"))</x:f>
        <x:v>PENDING</x:v>
      </x:c>
      <x:c r="H533" s="16" t="str">
        <x:v>N</x:v>
      </x:c>
      <x:c r="I533" s="16" t="str">
        <x:f>Coder_A!F533</x:f>
        <x:v>Sec. 3 Datasets; Appendix A; Table 2; Table 1; Appendix B</x:v>
      </x:c>
      <x:c r="J533" s="16" t="n">
        <x:f>Coder_B!F533</x:f>
        <x:v>0</x:v>
      </x:c>
    </x:row>
    <x:row r="534">
      <x:c r="A534" s="16" t="n">
        <x:v>533</x:v>
      </x:c>
      <x:c r="B534" s="16" t="str">
        <x:v>EXPERIMENT</x:v>
      </x:c>
      <x:c r="C534" s="16" t="str">
        <x:f>Coder_A!C534</x:f>
        <x:v>PILOT_01_E06</x:v>
      </x:c>
      <x:c r="D534" s="16" t="str">
        <x:v>hardware</x:v>
      </x:c>
      <x:c r="E534" s="16" t="str">
        <x:f>Coder_A!E534</x:f>
        <x:v>NR</x:v>
      </x:c>
      <x:c r="F534" s="16" t="n">
        <x:f>Coder_B!E534</x:f>
        <x:v>0</x:v>
      </x:c>
      <x:c r="G534" s="16" t="str">
        <x:f>IF(F534="","PENDING",IF(E534=F534,"AGREE","DISAGREE"))</x:f>
        <x:v>PENDING</x:v>
      </x:c>
      <x:c r="H534" s="16" t="str">
        <x:v>N</x:v>
      </x:c>
      <x:c r="I534" s="16" t="str">
        <x:f>Coder_A!F534</x:f>
        <x:v>Sec. 3 Datasets; Appendix A; Table 2; Table 1; Appendix B</x:v>
      </x:c>
      <x:c r="J534" s="16" t="n">
        <x:f>Coder_B!F534</x:f>
        <x:v>0</x:v>
      </x:c>
    </x:row>
    <x:row r="535">
      <x:c r="A535" s="16" t="n">
        <x:v>534</x:v>
      </x:c>
      <x:c r="B535" s="16" t="str">
        <x:v>EXPERIMENT</x:v>
      </x:c>
      <x:c r="C535" s="16" t="str">
        <x:f>Coder_A!C535</x:f>
        <x:v>PILOT_01_E06</x:v>
      </x:c>
      <x:c r="D535" s="16" t="str">
        <x:v>graph_construction_time</x:v>
      </x:c>
      <x:c r="E535" s="16" t="str">
        <x:f>Coder_A!E535</x:f>
        <x:v>NR</x:v>
      </x:c>
      <x:c r="F535" s="16" t="n">
        <x:f>Coder_B!E535</x:f>
        <x:v>0</x:v>
      </x:c>
      <x:c r="G535" s="16" t="str">
        <x:f>IF(F535="","PENDING",IF(E535=F535,"AGREE","DISAGREE"))</x:f>
        <x:v>PENDING</x:v>
      </x:c>
      <x:c r="H535" s="16" t="str">
        <x:v>N</x:v>
      </x:c>
      <x:c r="I535" s="16" t="str">
        <x:f>Coder_A!F535</x:f>
        <x:v>Sec. 3 Datasets; Appendix A; Table 2; Table 1; Appendix B</x:v>
      </x:c>
      <x:c r="J535" s="16" t="n">
        <x:f>Coder_B!F535</x:f>
        <x:v>0</x:v>
      </x:c>
    </x:row>
    <x:row r="536">
      <x:c r="A536" s="16" t="n">
        <x:v>535</x:v>
      </x:c>
      <x:c r="B536" s="16" t="str">
        <x:v>EXPERIMENT</x:v>
      </x:c>
      <x:c r="C536" s="16" t="str">
        <x:f>Coder_A!C536</x:f>
        <x:v>PILOT_01_E06</x:v>
      </x:c>
      <x:c r="D536" s="16" t="str">
        <x:v>complexity_formula</x:v>
      </x:c>
      <x:c r="E536" s="16" t="str">
        <x:f>Coder_A!E536</x:f>
        <x:v>NR</x:v>
      </x:c>
      <x:c r="F536" s="16" t="n">
        <x:f>Coder_B!E536</x:f>
        <x:v>0</x:v>
      </x:c>
      <x:c r="G536" s="16" t="str">
        <x:f>IF(F536="","PENDING",IF(E536=F536,"AGREE","DISAGREE"))</x:f>
        <x:v>PENDING</x:v>
      </x:c>
      <x:c r="H536" s="16" t="str">
        <x:v>N</x:v>
      </x:c>
      <x:c r="I536" s="16" t="str">
        <x:f>Coder_A!F536</x:f>
        <x:v>Sec. 3 Datasets; Appendix A; Table 2; Table 1; Appendix B</x:v>
      </x:c>
      <x:c r="J536" s="16" t="n">
        <x:f>Coder_B!F536</x:f>
        <x:v>0</x:v>
      </x:c>
    </x:row>
    <x:row r="537">
      <x:c r="A537" s="16" t="n">
        <x:v>536</x:v>
      </x:c>
      <x:c r="B537" s="16" t="str">
        <x:v>EXPERIMENT</x:v>
      </x:c>
      <x:c r="C537" s="16" t="str">
        <x:f>Coder_A!C537</x:f>
        <x:v>PILOT_01_E06</x:v>
      </x:c>
      <x:c r="D537" s="16" t="str">
        <x:v>scale_up_experiment</x:v>
      </x:c>
      <x:c r="E537" s="16" t="str">
        <x:f>Coder_A!E537</x:f>
        <x:v>N</x:v>
      </x:c>
      <x:c r="F537" s="16" t="n">
        <x:f>Coder_B!E537</x:f>
        <x:v>0</x:v>
      </x:c>
      <x:c r="G537" s="16" t="str">
        <x:f>IF(F537="","PENDING",IF(E537=F537,"AGREE","DISAGREE"))</x:f>
        <x:v>PENDING</x:v>
      </x:c>
      <x:c r="H537" s="16" t="str">
        <x:v>Y</x:v>
      </x:c>
      <x:c r="I537" s="16" t="str">
        <x:f>Coder_A!F537</x:f>
        <x:v>Sec. 3 Datasets; Appendix A; Table 2; Table 1; Appendix B</x:v>
      </x:c>
      <x:c r="J537" s="16" t="n">
        <x:f>Coder_B!F537</x:f>
        <x:v>0</x:v>
      </x:c>
    </x:row>
    <x:row r="538">
      <x:c r="A538" s="16" t="n">
        <x:v>537</x:v>
      </x:c>
      <x:c r="B538" s="16" t="str">
        <x:v>EXPERIMENT</x:v>
      </x:c>
      <x:c r="C538" s="16" t="str">
        <x:f>Coder_A!C538</x:f>
        <x:v>PILOT_01_E06</x:v>
      </x:c>
      <x:c r="D538" s="16" t="str">
        <x:v>oom_timeout_reported</x:v>
      </x:c>
      <x:c r="E538" s="16" t="str">
        <x:f>Coder_A!E538</x:f>
        <x:v>NR</x:v>
      </x:c>
      <x:c r="F538" s="16" t="n">
        <x:f>Coder_B!E538</x:f>
        <x:v>0</x:v>
      </x:c>
      <x:c r="G538" s="16" t="str">
        <x:f>IF(F538="","PENDING",IF(E538=F538,"AGREE","DISAGREE"))</x:f>
        <x:v>PENDING</x:v>
      </x:c>
      <x:c r="H538" s="16" t="str">
        <x:v>Y</x:v>
      </x:c>
      <x:c r="I538" s="16" t="str">
        <x:f>Coder_A!F538</x:f>
        <x:v>Sec. 3 Datasets; Appendix A; Table 2; Table 1; Appendix B</x:v>
      </x:c>
      <x:c r="J538" s="16" t="n">
        <x:f>Coder_B!F538</x:f>
        <x:v>0</x:v>
      </x:c>
    </x:row>
    <x:row r="539">
      <x:c r="A539" s="16" t="n">
        <x:v>538</x:v>
      </x:c>
      <x:c r="B539" s="16" t="str">
        <x:v>EXPERIMENT</x:v>
      </x:c>
      <x:c r="C539" s="16" t="str">
        <x:f>Coder_A!C539</x:f>
        <x:v>PILOT_01_E07</x:v>
      </x:c>
      <x:c r="D539" s="16" t="str">
        <x:v>dataset_name</x:v>
      </x:c>
      <x:c r="E539" s="16" t="str">
        <x:f>Coder_A!E539</x:f>
        <x:v>ASSISTments</x:v>
      </x:c>
      <x:c r="F539" s="16" t="n">
        <x:f>Coder_B!E539</x:f>
        <x:v>0</x:v>
      </x:c>
      <x:c r="G539" s="16" t="str">
        <x:f>IF(F539="","PENDING",IF(E539=F539,"AGREE","DISAGREE"))</x:f>
        <x:v>PENDING</x:v>
      </x:c>
      <x:c r="H539" s="16" t="str">
        <x:v>N</x:v>
      </x:c>
      <x:c r="I539" s="16" t="str">
        <x:f>Coder_A!F539</x:f>
        <x:v>Sec. 3 Datasets; Appendix A; Table 2; Table 1; Appendix B</x:v>
      </x:c>
      <x:c r="J539" s="16" t="n">
        <x:f>Coder_B!F539</x:f>
        <x:v>0</x:v>
      </x:c>
    </x:row>
    <x:row r="540">
      <x:c r="A540" s="16" t="n">
        <x:v>539</x:v>
      </x:c>
      <x:c r="B540" s="16" t="str">
        <x:v>EXPERIMENT</x:v>
      </x:c>
      <x:c r="C540" s="16" t="str">
        <x:f>Coder_A!C540</x:f>
        <x:v>PILOT_01_E07</x:v>
      </x:c>
      <x:c r="D540" s="16" t="str">
        <x:v>dataset_version</x:v>
      </x:c>
      <x:c r="E540" s="16" t="str">
        <x:f>Coder_A!E540</x:f>
        <x:v>2009-2010 Skill Builder</x:v>
      </x:c>
      <x:c r="F540" s="16" t="n">
        <x:f>Coder_B!E540</x:f>
        <x:v>0</x:v>
      </x:c>
      <x:c r="G540" s="16" t="str">
        <x:f>IF(F540="","PENDING",IF(E540=F540,"AGREE","DISAGREE"))</x:f>
        <x:v>PENDING</x:v>
      </x:c>
      <x:c r="H540" s="16" t="str">
        <x:v>N</x:v>
      </x:c>
      <x:c r="I540" s="16" t="str">
        <x:f>Coder_A!F540</x:f>
        <x:v>Sec. 3 Datasets; Appendix A; Table 2; Table 1; Appendix B</x:v>
      </x:c>
      <x:c r="J540" s="16" t="n">
        <x:f>Coder_B!F540</x:f>
        <x:v>0</x:v>
      </x:c>
    </x:row>
    <x:row r="541">
      <x:c r="A541" s="16" t="n">
        <x:v>540</x:v>
      </x:c>
      <x:c r="B541" s="16" t="str">
        <x:v>EXPERIMENT</x:v>
      </x:c>
      <x:c r="C541" s="16" t="str">
        <x:f>Coder_A!C541</x:f>
        <x:v>PILOT_01_E07</x:v>
      </x:c>
      <x:c r="D541" s="16" t="str">
        <x:v>n_learners_reported</x:v>
      </x:c>
      <x:c r="E541" s="16" t="n">
        <x:f>Coder_A!E541</x:f>
        <x:v>1000</x:v>
      </x:c>
      <x:c r="F541" s="16" t="n">
        <x:f>Coder_B!E541</x:f>
        <x:v>0</x:v>
      </x:c>
      <x:c r="G541" s="16" t="str">
        <x:f>IF(F541="","PENDING",IF(E541=F541,"AGREE","DISAGREE"))</x:f>
        <x:v>PENDING</x:v>
      </x:c>
      <x:c r="H541" s="16" t="str">
        <x:v>N</x:v>
      </x:c>
      <x:c r="I541" s="16" t="str">
        <x:f>Coder_A!F541</x:f>
        <x:v>Sec. 3 Datasets; Appendix A; Table 2; Table 1; Appendix B</x:v>
      </x:c>
      <x:c r="J541" s="16" t="n">
        <x:f>Coder_B!F541</x:f>
        <x:v>0</x:v>
      </x:c>
    </x:row>
    <x:row r="542">
      <x:c r="A542" s="16" t="n">
        <x:v>541</x:v>
      </x:c>
      <x:c r="B542" s="16" t="str">
        <x:v>EXPERIMENT</x:v>
      </x:c>
      <x:c r="C542" s="16" t="str">
        <x:f>Coder_A!C542</x:f>
        <x:v>PILOT_01_E07</x:v>
      </x:c>
      <x:c r="D542" s="16" t="str">
        <x:v>n_items_reported</x:v>
      </x:c>
      <x:c r="E542" s="16" t="str">
        <x:f>Coder_A!E542</x:f>
        <x:v>NR</x:v>
      </x:c>
      <x:c r="F542" s="16" t="n">
        <x:f>Coder_B!E542</x:f>
        <x:v>0</x:v>
      </x:c>
      <x:c r="G542" s="16" t="str">
        <x:f>IF(F542="","PENDING",IF(E542=F542,"AGREE","DISAGREE"))</x:f>
        <x:v>PENDING</x:v>
      </x:c>
      <x:c r="H542" s="16" t="str">
        <x:v>N</x:v>
      </x:c>
      <x:c r="I542" s="16" t="str">
        <x:f>Coder_A!F542</x:f>
        <x:v>Sec. 3 Datasets; Appendix A; Table 2; Table 1; Appendix B</x:v>
      </x:c>
      <x:c r="J542" s="16" t="n">
        <x:f>Coder_B!F542</x:f>
        <x:v>0</x:v>
      </x:c>
    </x:row>
    <x:row r="543">
      <x:c r="A543" s="16" t="n">
        <x:v>542</x:v>
      </x:c>
      <x:c r="B543" s="16" t="str">
        <x:v>EXPERIMENT</x:v>
      </x:c>
      <x:c r="C543" s="16" t="str">
        <x:f>Coder_A!C543</x:f>
        <x:v>PILOT_01_E07</x:v>
      </x:c>
      <x:c r="D543" s="16" t="str">
        <x:v>n_kcs_reported</x:v>
      </x:c>
      <x:c r="E543" s="16" t="n">
        <x:f>Coder_A!E543</x:f>
        <x:v>101</x:v>
      </x:c>
      <x:c r="F543" s="16" t="n">
        <x:f>Coder_B!E543</x:f>
        <x:v>0</x:v>
      </x:c>
      <x:c r="G543" s="16" t="str">
        <x:f>IF(F543="","PENDING",IF(E543=F543,"AGREE","DISAGREE"))</x:f>
        <x:v>PENDING</x:v>
      </x:c>
      <x:c r="H543" s="16" t="str">
        <x:v>N</x:v>
      </x:c>
      <x:c r="I543" s="16" t="str">
        <x:f>Coder_A!F543</x:f>
        <x:v>Sec. 3 Datasets; Appendix A; Table 2; Table 1; Appendix B</x:v>
      </x:c>
      <x:c r="J543" s="16" t="n">
        <x:f>Coder_B!F543</x:f>
        <x:v>0</x:v>
      </x:c>
    </x:row>
    <x:row r="544">
      <x:c r="A544" s="16" t="n">
        <x:v>543</x:v>
      </x:c>
      <x:c r="B544" s="16" t="str">
        <x:v>EXPERIMENT</x:v>
      </x:c>
      <x:c r="C544" s="16" t="str">
        <x:f>Coder_A!C544</x:f>
        <x:v>PILOT_01_E07</x:v>
      </x:c>
      <x:c r="D544" s="16" t="str">
        <x:v>n_interactions_reported</x:v>
      </x:c>
      <x:c r="E544" s="16" t="n">
        <x:f>Coder_A!E544</x:f>
        <x:v>62955</x:v>
      </x:c>
      <x:c r="F544" s="16" t="n">
        <x:f>Coder_B!E544</x:f>
        <x:v>0</x:v>
      </x:c>
      <x:c r="G544" s="16" t="str">
        <x:f>IF(F544="","PENDING",IF(E544=F544,"AGREE","DISAGREE"))</x:f>
        <x:v>PENDING</x:v>
      </x:c>
      <x:c r="H544" s="16" t="str">
        <x:v>N</x:v>
      </x:c>
      <x:c r="I544" s="16" t="str">
        <x:f>Coder_A!F544</x:f>
        <x:v>Sec. 3 Datasets; Appendix A; Table 2; Table 1; Appendix B</x:v>
      </x:c>
      <x:c r="J544" s="16" t="n">
        <x:f>Coder_B!F544</x:f>
        <x:v>0</x:v>
      </x:c>
    </x:row>
    <x:row r="545">
      <x:c r="A545" s="16" t="n">
        <x:v>544</x:v>
      </x:c>
      <x:c r="B545" s="16" t="str">
        <x:v>EXPERIMENT</x:v>
      </x:c>
      <x:c r="C545" s="16" t="str">
        <x:f>Coder_A!C545</x:f>
        <x:v>PILOT_01_E07</x:v>
      </x:c>
      <x:c r="D545" s="16" t="str">
        <x:v>multi_skill_present</x:v>
      </x:c>
      <x:c r="E545" s="16" t="str">
        <x:f>Coder_A!E545</x:f>
        <x:v>UNCLEAR</x:v>
      </x:c>
      <x:c r="F545" s="16" t="n">
        <x:f>Coder_B!E545</x:f>
        <x:v>0</x:v>
      </x:c>
      <x:c r="G545" s="16" t="str">
        <x:f>IF(F545="","PENDING",IF(E545=F545,"AGREE","DISAGREE"))</x:f>
        <x:v>PENDING</x:v>
      </x:c>
      <x:c r="H545" s="16" t="str">
        <x:v>Y</x:v>
      </x:c>
      <x:c r="I545" s="16" t="str">
        <x:f>Coder_A!F545</x:f>
        <x:v>Sec. 3 Datasets; Appendix A; Table 2; Table 1; Appendix B</x:v>
      </x:c>
      <x:c r="J545" s="16" t="n">
        <x:f>Coder_B!F545</x:f>
        <x:v>0</x:v>
      </x:c>
    </x:row>
    <x:row r="546">
      <x:c r="A546" s="16" t="n">
        <x:v>545</x:v>
      </x:c>
      <x:c r="B546" s="16" t="str">
        <x:v>EXPERIMENT</x:v>
      </x:c>
      <x:c r="C546" s="16" t="str">
        <x:f>Coder_A!C546</x:f>
        <x:v>PILOT_01_E07</x:v>
      </x:c>
      <x:c r="D546" s="16" t="str">
        <x:v>multi_skill_handling</x:v>
      </x:c>
      <x:c r="E546" s="16" t="str">
        <x:f>Coder_A!E546</x:f>
        <x:v>Combine simultaneous answer logs into one; extract named skill tags</x:v>
      </x:c>
      <x:c r="F546" s="16" t="n">
        <x:f>Coder_B!E546</x:f>
        <x:v>0</x:v>
      </x:c>
      <x:c r="G546" s="16" t="str">
        <x:f>IF(F546="","PENDING",IF(E546=F546,"AGREE","DISAGREE"))</x:f>
        <x:v>PENDING</x:v>
      </x:c>
      <x:c r="H546" s="16" t="str">
        <x:v>N</x:v>
      </x:c>
      <x:c r="I546" s="16" t="str">
        <x:f>Coder_A!F546</x:f>
        <x:v>Sec. 3 Datasets; Appendix A; Table 2; Table 1; Appendix B</x:v>
      </x:c>
      <x:c r="J546" s="16" t="n">
        <x:f>Coder_B!F546</x:f>
        <x:v>0</x:v>
      </x:c>
    </x:row>
    <x:row r="547">
      <x:c r="A547" s="16" t="n">
        <x:v>546</x:v>
      </x:c>
      <x:c r="B547" s="16" t="str">
        <x:v>EXPERIMENT</x:v>
      </x:c>
      <x:c r="C547" s="16" t="str">
        <x:f>Coder_A!C547</x:f>
        <x:v>PILOT_01_E07</x:v>
      </x:c>
      <x:c r="D547" s="16" t="str">
        <x:v>sequence_truncation</x:v>
      </x:c>
      <x:c r="E547" s="16" t="str">
        <x:f>Coder_A!E547</x:f>
        <x:v>NR</x:v>
      </x:c>
      <x:c r="F547" s="16" t="n">
        <x:f>Coder_B!E547</x:f>
        <x:v>0</x:v>
      </x:c>
      <x:c r="G547" s="16" t="str">
        <x:f>IF(F547="","PENDING",IF(E547=F547,"AGREE","DISAGREE"))</x:f>
        <x:v>PENDING</x:v>
      </x:c>
      <x:c r="H547" s="16" t="str">
        <x:v>N</x:v>
      </x:c>
      <x:c r="I547" s="16" t="str">
        <x:f>Coder_A!F547</x:f>
        <x:v>Sec. 3 Datasets; Appendix A; Table 2; Table 1; Appendix B</x:v>
      </x:c>
      <x:c r="J547" s="16" t="n">
        <x:f>Coder_B!F547</x:f>
        <x:v>0</x:v>
      </x:c>
    </x:row>
    <x:row r="548">
      <x:c r="A548" s="16" t="n">
        <x:v>547</x:v>
      </x:c>
      <x:c r="B548" s="16" t="str">
        <x:v>EXPERIMENT</x:v>
      </x:c>
      <x:c r="C548" s="16" t="str">
        <x:f>Coder_A!C548</x:f>
        <x:v>PILOT_01_E07</x:v>
      </x:c>
      <x:c r="D548" s="16" t="str">
        <x:v>min_sequence_filter</x:v>
      </x:c>
      <x:c r="E548" s="16" t="str">
        <x:f>Coder_A!E548</x:f>
        <x:v>NR</x:v>
      </x:c>
      <x:c r="F548" s="16" t="n">
        <x:f>Coder_B!E548</x:f>
        <x:v>0</x:v>
      </x:c>
      <x:c r="G548" s="16" t="str">
        <x:f>IF(F548="","PENDING",IF(E548=F548,"AGREE","DISAGREE"))</x:f>
        <x:v>PENDING</x:v>
      </x:c>
      <x:c r="H548" s="16" t="str">
        <x:v>N</x:v>
      </x:c>
      <x:c r="I548" s="16" t="str">
        <x:f>Coder_A!F548</x:f>
        <x:v>Sec. 3 Datasets; Appendix A; Table 2; Table 1; Appendix B</x:v>
      </x:c>
      <x:c r="J548" s="16" t="n">
        <x:f>Coder_B!F548</x:f>
        <x:v>0</x:v>
      </x:c>
    </x:row>
    <x:row r="549">
      <x:c r="A549" s="16" t="n">
        <x:v>548</x:v>
      </x:c>
      <x:c r="B549" s="16" t="str">
        <x:v>EXPERIMENT</x:v>
      </x:c>
      <x:c r="C549" s="16" t="str">
        <x:f>Coder_A!C549</x:f>
        <x:v>PILOT_01_E07</x:v>
      </x:c>
      <x:c r="D549" s="16" t="str">
        <x:v>timestamp_used</x:v>
      </x:c>
      <x:c r="E549" s="16" t="str">
        <x:f>Coder_A!E549</x:f>
        <x:v>UNCLEAR</x:v>
      </x:c>
      <x:c r="F549" s="16" t="n">
        <x:f>Coder_B!E549</x:f>
        <x:v>0</x:v>
      </x:c>
      <x:c r="G549" s="16" t="str">
        <x:f>IF(F549="","PENDING",IF(E549=F549,"AGREE","DISAGREE"))</x:f>
        <x:v>PENDING</x:v>
      </x:c>
      <x:c r="H549" s="16" t="str">
        <x:v>Y</x:v>
      </x:c>
      <x:c r="I549" s="16" t="str">
        <x:f>Coder_A!F549</x:f>
        <x:v>Sec. 3 Datasets; Appendix A; Table 2; Table 1; Appendix B</x:v>
      </x:c>
      <x:c r="J549" s="16" t="n">
        <x:f>Coder_B!F549</x:f>
        <x:v>0</x:v>
      </x:c>
    </x:row>
    <x:row r="550">
      <x:c r="A550" s="16" t="n">
        <x:v>549</x:v>
      </x:c>
      <x:c r="B550" s="16" t="str">
        <x:v>EXPERIMENT</x:v>
      </x:c>
      <x:c r="C550" s="16" t="str">
        <x:f>Coder_A!C550</x:f>
        <x:v>PILOT_01_E07</x:v>
      </x:c>
      <x:c r="D550" s="16" t="str">
        <x:v>preprocessing_code_available</x:v>
      </x:c>
      <x:c r="E550" s="16" t="str">
        <x:f>Coder_A!E550</x:f>
        <x:v>NR</x:v>
      </x:c>
      <x:c r="F550" s="16" t="n">
        <x:f>Coder_B!E550</x:f>
        <x:v>0</x:v>
      </x:c>
      <x:c r="G550" s="16" t="str">
        <x:f>IF(F550="","PENDING",IF(E550=F550,"AGREE","DISAGREE"))</x:f>
        <x:v>PENDING</x:v>
      </x:c>
      <x:c r="H550" s="16" t="str">
        <x:v>Y</x:v>
      </x:c>
      <x:c r="I550" s="16" t="str">
        <x:f>Coder_A!F550</x:f>
        <x:v>Sec. 3 Datasets; Appendix A; Table 2; Table 1; Appendix B</x:v>
      </x:c>
      <x:c r="J550" s="16" t="n">
        <x:f>Coder_B!F550</x:f>
        <x:v>0</x:v>
      </x:c>
    </x:row>
    <x:row r="551">
      <x:c r="A551" s="16" t="n">
        <x:v>550</x:v>
      </x:c>
      <x:c r="B551" s="16" t="str">
        <x:v>EXPERIMENT</x:v>
      </x:c>
      <x:c r="C551" s="16" t="str">
        <x:f>Coder_A!C551</x:f>
        <x:v>PILOT_01_E07</x:v>
      </x:c>
      <x:c r="D551" s="16" t="str">
        <x:v>split_type</x:v>
      </x:c>
      <x:c r="E551" s="16" t="str">
        <x:f>Coder_A!E551</x:f>
        <x:v>LEARNER_BASED</x:v>
      </x:c>
      <x:c r="F551" s="16" t="n">
        <x:f>Coder_B!E551</x:f>
        <x:v>0</x:v>
      </x:c>
      <x:c r="G551" s="16" t="str">
        <x:f>IF(F551="","PENDING",IF(E551=F551,"AGREE","DISAGREE"))</x:f>
        <x:v>PENDING</x:v>
      </x:c>
      <x:c r="H551" s="16" t="str">
        <x:v>Y</x:v>
      </x:c>
      <x:c r="I551" s="16" t="str">
        <x:f>Coder_A!F551</x:f>
        <x:v>Sec. 3 Datasets; Appendix A; Table 2; Table 1; Appendix B</x:v>
      </x:c>
      <x:c r="J551" s="16" t="n">
        <x:f>Coder_B!F551</x:f>
        <x:v>0</x:v>
      </x:c>
    </x:row>
    <x:row r="552">
      <x:c r="A552" s="16" t="n">
        <x:v>551</x:v>
      </x:c>
      <x:c r="B552" s="16" t="str">
        <x:v>EXPERIMENT</x:v>
      </x:c>
      <x:c r="C552" s="16" t="str">
        <x:f>Coder_A!C552</x:f>
        <x:v>PILOT_01_E07</x:v>
      </x:c>
      <x:c r="D552" s="16" t="str">
        <x:v>split_unit_original</x:v>
      </x:c>
      <x:c r="E552" s="16" t="str">
        <x:f>Coder_A!E552</x:f>
        <x:v>students</x:v>
      </x:c>
      <x:c r="F552" s="16" t="n">
        <x:f>Coder_B!E552</x:f>
        <x:v>0</x:v>
      </x:c>
      <x:c r="G552" s="16" t="str">
        <x:f>IF(F552="","PENDING",IF(E552=F552,"AGREE","DISAGREE"))</x:f>
        <x:v>PENDING</x:v>
      </x:c>
      <x:c r="H552" s="16" t="str">
        <x:v>N</x:v>
      </x:c>
      <x:c r="I552" s="16" t="str">
        <x:f>Coder_A!F552</x:f>
        <x:v>Sec. 3 Datasets; Appendix A; Table 2; Table 1; Appendix B</x:v>
      </x:c>
      <x:c r="J552" s="16" t="n">
        <x:f>Coder_B!F552</x:f>
        <x:v>0</x:v>
      </x:c>
    </x:row>
    <x:row r="553">
      <x:c r="A553" s="16" t="n">
        <x:v>552</x:v>
      </x:c>
      <x:c r="B553" s="16" t="str">
        <x:v>EXPERIMENT</x:v>
      </x:c>
      <x:c r="C553" s="16" t="str">
        <x:f>Coder_A!C553</x:f>
        <x:v>PILOT_01_E07</x:v>
      </x:c>
      <x:c r="D553" s="16" t="str">
        <x:v>train_fraction</x:v>
      </x:c>
      <x:c r="E553" s="16" t="n">
        <x:f>Coder_A!E553</x:f>
        <x:v>0.8</x:v>
      </x:c>
      <x:c r="F553" s="16" t="n">
        <x:f>Coder_B!E553</x:f>
        <x:v>0</x:v>
      </x:c>
      <x:c r="G553" s="16" t="str">
        <x:f>IF(F553="","PENDING",IF(E553=F553,"AGREE","DISAGREE"))</x:f>
        <x:v>PENDING</x:v>
      </x:c>
      <x:c r="H553" s="16" t="str">
        <x:v>N</x:v>
      </x:c>
      <x:c r="I553" s="16" t="str">
        <x:f>Coder_A!F553</x:f>
        <x:v>Sec. 3 Datasets; Appendix A; Table 2; Table 1; Appendix B</x:v>
      </x:c>
      <x:c r="J553" s="16" t="n">
        <x:f>Coder_B!F553</x:f>
        <x:v>0</x:v>
      </x:c>
    </x:row>
    <x:row r="554">
      <x:c r="A554" s="16" t="n">
        <x:v>553</x:v>
      </x:c>
      <x:c r="B554" s="16" t="str">
        <x:v>EXPERIMENT</x:v>
      </x:c>
      <x:c r="C554" s="16" t="str">
        <x:f>Coder_A!C554</x:f>
        <x:v>PILOT_01_E07</x:v>
      </x:c>
      <x:c r="D554" s="16" t="str">
        <x:v>validation_fraction</x:v>
      </x:c>
      <x:c r="E554" s="16" t="n">
        <x:f>Coder_A!E554</x:f>
        <x:v>0.1</x:v>
      </x:c>
      <x:c r="F554" s="16" t="n">
        <x:f>Coder_B!E554</x:f>
        <x:v>0</x:v>
      </x:c>
      <x:c r="G554" s="16" t="str">
        <x:f>IF(F554="","PENDING",IF(E554=F554,"AGREE","DISAGREE"))</x:f>
        <x:v>PENDING</x:v>
      </x:c>
      <x:c r="H554" s="16" t="str">
        <x:v>N</x:v>
      </x:c>
      <x:c r="I554" s="16" t="str">
        <x:f>Coder_A!F554</x:f>
        <x:v>Sec. 3 Datasets; Appendix A; Table 2; Table 1; Appendix B</x:v>
      </x:c>
      <x:c r="J554" s="16" t="n">
        <x:f>Coder_B!F554</x:f>
        <x:v>0</x:v>
      </x:c>
    </x:row>
    <x:row r="555">
      <x:c r="A555" s="16" t="n">
        <x:v>554</x:v>
      </x:c>
      <x:c r="B555" s="16" t="str">
        <x:v>EXPERIMENT</x:v>
      </x:c>
      <x:c r="C555" s="16" t="str">
        <x:f>Coder_A!C555</x:f>
        <x:v>PILOT_01_E07</x:v>
      </x:c>
      <x:c r="D555" s="16" t="str">
        <x:v>test_fraction</x:v>
      </x:c>
      <x:c r="E555" s="16" t="n">
        <x:f>Coder_A!E555</x:f>
        <x:v>0.1</x:v>
      </x:c>
      <x:c r="F555" s="16" t="n">
        <x:f>Coder_B!E555</x:f>
        <x:v>0</x:v>
      </x:c>
      <x:c r="G555" s="16" t="str">
        <x:f>IF(F555="","PENDING",IF(E555=F555,"AGREE","DISAGREE"))</x:f>
        <x:v>PENDING</x:v>
      </x:c>
      <x:c r="H555" s="16" t="str">
        <x:v>N</x:v>
      </x:c>
      <x:c r="I555" s="16" t="str">
        <x:f>Coder_A!F555</x:f>
        <x:v>Sec. 3 Datasets; Appendix A; Table 2; Table 1; Appendix B</x:v>
      </x:c>
      <x:c r="J555" s="16" t="n">
        <x:f>Coder_B!F555</x:f>
        <x:v>0</x:v>
      </x:c>
    </x:row>
    <x:row r="556">
      <x:c r="A556" s="16" t="n">
        <x:v>555</x:v>
      </x:c>
      <x:c r="B556" s="16" t="str">
        <x:v>EXPERIMENT</x:v>
      </x:c>
      <x:c r="C556" s="16" t="str">
        <x:f>Coder_A!C556</x:f>
        <x:v>PILOT_01_E07</x:v>
      </x:c>
      <x:c r="D556" s="16" t="str">
        <x:v>validation_set_separate</x:v>
      </x:c>
      <x:c r="E556" s="16" t="str">
        <x:f>Coder_A!E556</x:f>
        <x:v>Y</x:v>
      </x:c>
      <x:c r="F556" s="16" t="n">
        <x:f>Coder_B!E556</x:f>
        <x:v>0</x:v>
      </x:c>
      <x:c r="G556" s="16" t="str">
        <x:f>IF(F556="","PENDING",IF(E556=F556,"AGREE","DISAGREE"))</x:f>
        <x:v>PENDING</x:v>
      </x:c>
      <x:c r="H556" s="16" t="str">
        <x:v>Y</x:v>
      </x:c>
      <x:c r="I556" s="16" t="str">
        <x:f>Coder_A!F556</x:f>
        <x:v>Sec. 3 Datasets; Appendix A; Table 2; Table 1; Appendix B</x:v>
      </x:c>
      <x:c r="J556" s="16" t="n">
        <x:f>Coder_B!F556</x:f>
        <x:v>0</x:v>
      </x:c>
    </x:row>
    <x:row r="557">
      <x:c r="A557" s="16" t="n">
        <x:v>556</x:v>
      </x:c>
      <x:c r="B557" s="16" t="str">
        <x:v>EXPERIMENT</x:v>
      </x:c>
      <x:c r="C557" s="16" t="str">
        <x:f>Coder_A!C557</x:f>
        <x:v>PILOT_01_E07</x:v>
      </x:c>
      <x:c r="D557" s="16" t="str">
        <x:v>early_stopping_validation_only</x:v>
      </x:c>
      <x:c r="E557" s="16" t="str">
        <x:f>Coder_A!E557</x:f>
        <x:v>UNCLEAR</x:v>
      </x:c>
      <x:c r="F557" s="16" t="n">
        <x:f>Coder_B!E557</x:f>
        <x:v>0</x:v>
      </x:c>
      <x:c r="G557" s="16" t="str">
        <x:f>IF(F557="","PENDING",IF(E557=F557,"AGREE","DISAGREE"))</x:f>
        <x:v>PENDING</x:v>
      </x:c>
      <x:c r="H557" s="16" t="str">
        <x:v>Y</x:v>
      </x:c>
      <x:c r="I557" s="16" t="str">
        <x:f>Coder_A!F557</x:f>
        <x:v>Sec. 3 Datasets; Appendix A; Table 2; Table 1; Appendix B</x:v>
      </x:c>
      <x:c r="J557" s="16" t="n">
        <x:f>Coder_B!F557</x:f>
        <x:v>0</x:v>
      </x:c>
    </x:row>
    <x:row r="558">
      <x:c r="A558" s="16" t="n">
        <x:v>557</x:v>
      </x:c>
      <x:c r="B558" s="16" t="str">
        <x:v>EXPERIMENT</x:v>
      </x:c>
      <x:c r="C558" s="16" t="str">
        <x:f>Coder_A!C558</x:f>
        <x:v>PILOT_01_E07</x:v>
      </x:c>
      <x:c r="D558" s="16" t="str">
        <x:v>graph_train_only</x:v>
      </x:c>
      <x:c r="E558" s="16" t="str">
        <x:f>Coder_A!E558</x:f>
        <x:v>Y</x:v>
      </x:c>
      <x:c r="F558" s="16" t="n">
        <x:f>Coder_B!E558</x:f>
        <x:v>0</x:v>
      </x:c>
      <x:c r="G558" s="16" t="str">
        <x:f>IF(F558="","PENDING",IF(E558=F558,"AGREE","DISAGREE"))</x:f>
        <x:v>PENDING</x:v>
      </x:c>
      <x:c r="H558" s="16" t="str">
        <x:v>Y</x:v>
      </x:c>
      <x:c r="I558" s="16" t="str">
        <x:f>Coder_A!F558</x:f>
        <x:v>Sec. 3 Datasets; Appendix A; Table 2; Table 1; Appendix B</x:v>
      </x:c>
      <x:c r="J558" s="16" t="n">
        <x:f>Coder_B!F558</x:f>
        <x:v>0</x:v>
      </x:c>
    </x:row>
    <x:row r="559">
      <x:c r="A559" s="16" t="n">
        <x:v>558</x:v>
      </x:c>
      <x:c r="B559" s="16" t="str">
        <x:v>EXPERIMENT</x:v>
      </x:c>
      <x:c r="C559" s="16" t="str">
        <x:f>Coder_A!C559</x:f>
        <x:v>PILOT_01_E07</x:v>
      </x:c>
      <x:c r="D559" s="16" t="str">
        <x:v>normalization_train_only</x:v>
      </x:c>
      <x:c r="E559" s="16" t="str">
        <x:f>Coder_A!E559</x:f>
        <x:v>NR</x:v>
      </x:c>
      <x:c r="F559" s="16" t="n">
        <x:f>Coder_B!E559</x:f>
        <x:v>0</x:v>
      </x:c>
      <x:c r="G559" s="16" t="str">
        <x:f>IF(F559="","PENDING",IF(E559=F559,"AGREE","DISAGREE"))</x:f>
        <x:v>PENDING</x:v>
      </x:c>
      <x:c r="H559" s="16" t="str">
        <x:v>Y</x:v>
      </x:c>
      <x:c r="I559" s="16" t="str">
        <x:f>Coder_A!F559</x:f>
        <x:v>Sec. 3 Datasets; Appendix A; Table 2; Table 1; Appendix B</x:v>
      </x:c>
      <x:c r="J559" s="16" t="n">
        <x:f>Coder_B!F559</x:f>
        <x:v>0</x:v>
      </x:c>
    </x:row>
    <x:row r="560">
      <x:c r="A560" s="16" t="n">
        <x:v>559</x:v>
      </x:c>
      <x:c r="B560" s="16" t="str">
        <x:v>EXPERIMENT</x:v>
      </x:c>
      <x:c r="C560" s="16" t="str">
        <x:f>Coder_A!C560</x:f>
        <x:v>PILOT_01_E07</x:v>
      </x:c>
      <x:c r="D560" s="16" t="str">
        <x:v>sparse_strata_train_only</x:v>
      </x:c>
      <x:c r="E560" s="16" t="str">
        <x:f>Coder_A!E560</x:f>
        <x:v>NA</x:v>
      </x:c>
      <x:c r="F560" s="16" t="n">
        <x:f>Coder_B!E560</x:f>
        <x:v>0</x:v>
      </x:c>
      <x:c r="G560" s="16" t="str">
        <x:f>IF(F560="","PENDING",IF(E560=F560,"AGREE","DISAGREE"))</x:f>
        <x:v>PENDING</x:v>
      </x:c>
      <x:c r="H560" s="16" t="str">
        <x:v>Y</x:v>
      </x:c>
      <x:c r="I560" s="16" t="str">
        <x:f>Coder_A!F560</x:f>
        <x:v>Sec. 3 Datasets; Appendix A; Table 2; Table 1; Appendix B</x:v>
      </x:c>
      <x:c r="J560" s="16" t="n">
        <x:f>Coder_B!F560</x:f>
        <x:v>0</x:v>
      </x:c>
    </x:row>
    <x:row r="561">
      <x:c r="A561" s="16" t="n">
        <x:v>560</x:v>
      </x:c>
      <x:c r="B561" s="16" t="str">
        <x:v>EXPERIMENT</x:v>
      </x:c>
      <x:c r="C561" s="16" t="str">
        <x:f>Coder_A!C561</x:f>
        <x:v>PILOT_01_E07</x:v>
      </x:c>
      <x:c r="D561" s="16" t="str">
        <x:v>temporal_alignment_audited</x:v>
      </x:c>
      <x:c r="E561" s="16" t="str">
        <x:f>Coder_A!E561</x:f>
        <x:v>NR</x:v>
      </x:c>
      <x:c r="F561" s="16" t="n">
        <x:f>Coder_B!E561</x:f>
        <x:v>0</x:v>
      </x:c>
      <x:c r="G561" s="16" t="str">
        <x:f>IF(F561="","PENDING",IF(E561=F561,"AGREE","DISAGREE"))</x:f>
        <x:v>PENDING</x:v>
      </x:c>
      <x:c r="H561" s="16" t="str">
        <x:v>Y</x:v>
      </x:c>
      <x:c r="I561" s="16" t="str">
        <x:f>Coder_A!F561</x:f>
        <x:v>Sec. 3 Datasets; Appendix A; Table 2; Table 1; Appendix B</x:v>
      </x:c>
      <x:c r="J561" s="16" t="n">
        <x:f>Coder_B!F561</x:f>
        <x:v>0</x:v>
      </x:c>
    </x:row>
    <x:row r="562">
      <x:c r="A562" s="16" t="n">
        <x:v>561</x:v>
      </x:c>
      <x:c r="B562" s="16" t="str">
        <x:v>EXPERIMENT</x:v>
      </x:c>
      <x:c r="C562" s="16" t="str">
        <x:f>Coder_A!C562</x:f>
        <x:v>PILOT_01_E07</x:v>
      </x:c>
      <x:c r="D562" s="16" t="str">
        <x:v>duplicate_entity_leakage_checked</x:v>
      </x:c>
      <x:c r="E562" s="16" t="str">
        <x:f>Coder_A!E562</x:f>
        <x:v>NR</x:v>
      </x:c>
      <x:c r="F562" s="16" t="n">
        <x:f>Coder_B!E562</x:f>
        <x:v>0</x:v>
      </x:c>
      <x:c r="G562" s="16" t="str">
        <x:f>IF(F562="","PENDING",IF(E562=F562,"AGREE","DISAGREE"))</x:f>
        <x:v>PENDING</x:v>
      </x:c>
      <x:c r="H562" s="16" t="str">
        <x:v>Y</x:v>
      </x:c>
      <x:c r="I562" s="16" t="str">
        <x:f>Coder_A!F562</x:f>
        <x:v>Sec. 3 Datasets; Appendix A; Table 2; Table 1; Appendix B</x:v>
      </x:c>
      <x:c r="J562" s="16" t="n">
        <x:f>Coder_B!F562</x:f>
        <x:v>0</x:v>
      </x:c>
    </x:row>
    <x:row r="563">
      <x:c r="A563" s="16" t="n">
        <x:v>562</x:v>
      </x:c>
      <x:c r="B563" s="16" t="str">
        <x:v>EXPERIMENT</x:v>
      </x:c>
      <x:c r="C563" s="16" t="str">
        <x:f>Coder_A!C563</x:f>
        <x:v>PILOT_01_E07</x:v>
      </x:c>
      <x:c r="D563" s="16" t="str">
        <x:v>sparsity_construct</x:v>
      </x:c>
      <x:c r="E563" s="16" t="str">
        <x:f>Coder_A!E563</x:f>
        <x:v>NO_EXPLICIT_FOCUS</x:v>
      </x:c>
      <x:c r="F563" s="16" t="n">
        <x:f>Coder_B!E563</x:f>
        <x:v>0</x:v>
      </x:c>
      <x:c r="G563" s="16" t="str">
        <x:f>IF(F563="","PENDING",IF(E563=F563,"AGREE","DISAGREE"))</x:f>
        <x:v>PENDING</x:v>
      </x:c>
      <x:c r="H563" s="16" t="str">
        <x:v>Y</x:v>
      </x:c>
      <x:c r="I563" s="16" t="str">
        <x:f>Coder_A!F563</x:f>
        <x:v>Sec. 3 Datasets; Appendix A; Table 2; Table 1; Appendix B</x:v>
      </x:c>
      <x:c r="J563" s="16" t="n">
        <x:f>Coder_B!F563</x:f>
        <x:v>0</x:v>
      </x:c>
    </x:row>
    <x:row r="564">
      <x:c r="A564" s="16" t="n">
        <x:v>563</x:v>
      </x:c>
      <x:c r="B564" s="16" t="str">
        <x:v>EXPERIMENT</x:v>
      </x:c>
      <x:c r="C564" s="16" t="str">
        <x:f>Coder_A!C564</x:f>
        <x:v>PILOT_01_E07</x:v>
      </x:c>
      <x:c r="D564" s="16" t="str">
        <x:v>sparse_definition_original</x:v>
      </x:c>
      <x:c r="E564" s="16" t="str">
        <x:f>Coder_A!E564</x:f>
        <x:v>NA</x:v>
      </x:c>
      <x:c r="F564" s="16" t="n">
        <x:f>Coder_B!E564</x:f>
        <x:v>0</x:v>
      </x:c>
      <x:c r="G564" s="16" t="str">
        <x:f>IF(F564="","PENDING",IF(E564=F564,"AGREE","DISAGREE"))</x:f>
        <x:v>PENDING</x:v>
      </x:c>
      <x:c r="H564" s="16" t="str">
        <x:v>N</x:v>
      </x:c>
      <x:c r="I564" s="16" t="str">
        <x:f>Coder_A!F564</x:f>
        <x:v>Sec. 3 Datasets; Appendix A; Table 2; Table 1; Appendix B</x:v>
      </x:c>
      <x:c r="J564" s="16" t="n">
        <x:f>Coder_B!F564</x:f>
        <x:v>0</x:v>
      </x:c>
    </x:row>
    <x:row r="565">
      <x:c r="A565" s="16" t="n">
        <x:v>564</x:v>
      </x:c>
      <x:c r="B565" s="16" t="str">
        <x:v>EXPERIMENT</x:v>
      </x:c>
      <x:c r="C565" s="16" t="str">
        <x:f>Coder_A!C565</x:f>
        <x:v>PILOT_01_E07</x:v>
      </x:c>
      <x:c r="D565" s="16" t="str">
        <x:v>sparse_threshold_original</x:v>
      </x:c>
      <x:c r="E565" s="16" t="str">
        <x:f>Coder_A!E565</x:f>
        <x:v>NA</x:v>
      </x:c>
      <x:c r="F565" s="16" t="n">
        <x:f>Coder_B!E565</x:f>
        <x:v>0</x:v>
      </x:c>
      <x:c r="G565" s="16" t="str">
        <x:f>IF(F565="","PENDING",IF(E565=F565,"AGREE","DISAGREE"))</x:f>
        <x:v>PENDING</x:v>
      </x:c>
      <x:c r="H565" s="16" t="str">
        <x:v>N</x:v>
      </x:c>
      <x:c r="I565" s="16" t="str">
        <x:f>Coder_A!F565</x:f>
        <x:v>Sec. 3 Datasets; Appendix A; Table 2; Table 1; Appendix B</x:v>
      </x:c>
      <x:c r="J565" s="16" t="n">
        <x:f>Coder_B!F565</x:f>
        <x:v>0</x:v>
      </x:c>
    </x:row>
    <x:row r="566">
      <x:c r="A566" s="16" t="n">
        <x:v>565</x:v>
      </x:c>
      <x:c r="B566" s="16" t="str">
        <x:v>EXPERIMENT</x:v>
      </x:c>
      <x:c r="C566" s="16" t="str">
        <x:f>Coder_A!C566</x:f>
        <x:v>PILOT_01_E07</x:v>
      </x:c>
      <x:c r="D566" s="16" t="str">
        <x:v>threshold_source</x:v>
      </x:c>
      <x:c r="E566" s="16" t="str">
        <x:f>Coder_A!E566</x:f>
        <x:v>NA</x:v>
      </x:c>
      <x:c r="F566" s="16" t="n">
        <x:f>Coder_B!E566</x:f>
        <x:v>0</x:v>
      </x:c>
      <x:c r="G566" s="16" t="str">
        <x:f>IF(F566="","PENDING",IF(E566=F566,"AGREE","DISAGREE"))</x:f>
        <x:v>PENDING</x:v>
      </x:c>
      <x:c r="H566" s="16" t="str">
        <x:v>Y</x:v>
      </x:c>
      <x:c r="I566" s="16" t="str">
        <x:f>Coder_A!F566</x:f>
        <x:v>Sec. 3 Datasets; Appendix A; Table 2; Table 1; Appendix B</x:v>
      </x:c>
      <x:c r="J566" s="16" t="n">
        <x:f>Coder_B!F566</x:f>
        <x:v>0</x:v>
      </x:c>
    </x:row>
    <x:row r="567">
      <x:c r="A567" s="16" t="n">
        <x:v>566</x:v>
      </x:c>
      <x:c r="B567" s="16" t="str">
        <x:v>EXPERIMENT</x:v>
      </x:c>
      <x:c r="C567" s="16" t="str">
        <x:f>Coder_A!C567</x:f>
        <x:v>PILOT_01_E07</x:v>
      </x:c>
      <x:c r="D567" s="16" t="str">
        <x:v>frequency_computed_on</x:v>
      </x:c>
      <x:c r="E567" s="16" t="str">
        <x:f>Coder_A!E567</x:f>
        <x:v>NA</x:v>
      </x:c>
      <x:c r="F567" s="16" t="n">
        <x:f>Coder_B!E567</x:f>
        <x:v>0</x:v>
      </x:c>
      <x:c r="G567" s="16" t="str">
        <x:f>IF(F567="","PENDING",IF(E567=F567,"AGREE","DISAGREE"))</x:f>
        <x:v>PENDING</x:v>
      </x:c>
      <x:c r="H567" s="16" t="str">
        <x:v>Y</x:v>
      </x:c>
      <x:c r="I567" s="16" t="str">
        <x:f>Coder_A!F567</x:f>
        <x:v>Sec. 3 Datasets; Appendix A; Table 2; Table 1; Appendix B</x:v>
      </x:c>
      <x:c r="J567" s="16" t="n">
        <x:f>Coder_B!F567</x:f>
        <x:v>0</x:v>
      </x:c>
    </x:row>
    <x:row r="568">
      <x:c r="A568" s="16" t="n">
        <x:v>567</x:v>
      </x:c>
      <x:c r="B568" s="16" t="str">
        <x:v>EXPERIMENT</x:v>
      </x:c>
      <x:c r="C568" s="16" t="str">
        <x:f>Coder_A!C568</x:f>
        <x:v>PILOT_01_E07</x:v>
      </x:c>
      <x:c r="D568" s="16" t="str">
        <x:v>strict_zero_train_verified</x:v>
      </x:c>
      <x:c r="E568" s="16" t="str">
        <x:f>Coder_A!E568</x:f>
        <x:v>NA</x:v>
      </x:c>
      <x:c r="F568" s="16" t="n">
        <x:f>Coder_B!E568</x:f>
        <x:v>0</x:v>
      </x:c>
      <x:c r="G568" s="16" t="str">
        <x:f>IF(F568="","PENDING",IF(E568=F568,"AGREE","DISAGREE"))</x:f>
        <x:v>PENDING</x:v>
      </x:c>
      <x:c r="H568" s="16" t="str">
        <x:v>Y</x:v>
      </x:c>
      <x:c r="I568" s="16" t="str">
        <x:f>Coder_A!F568</x:f>
        <x:v>Sec. 3 Datasets; Appendix A; Table 2; Table 1; Appendix B</x:v>
      </x:c>
      <x:c r="J568" s="16" t="n">
        <x:f>Coder_B!F568</x:f>
        <x:v>0</x:v>
      </x:c>
    </x:row>
    <x:row r="569">
      <x:c r="A569" s="16" t="n">
        <x:v>568</x:v>
      </x:c>
      <x:c r="B569" s="16" t="str">
        <x:v>EXPERIMENT</x:v>
      </x:c>
      <x:c r="C569" s="16" t="str">
        <x:f>Coder_A!C569</x:f>
        <x:v>PILOT_01_E07</x:v>
      </x:c>
      <x:c r="D569" s="16" t="str">
        <x:v>external_info_for_unseen_kc</x:v>
      </x:c>
      <x:c r="E569" s="16" t="str">
        <x:f>Coder_A!E569</x:f>
        <x:v>NA</x:v>
      </x:c>
      <x:c r="F569" s="16" t="n">
        <x:f>Coder_B!E569</x:f>
        <x:v>0</x:v>
      </x:c>
      <x:c r="G569" s="16" t="str">
        <x:f>IF(F569="","PENDING",IF(E569=F569,"AGREE","DISAGREE"))</x:f>
        <x:v>PENDING</x:v>
      </x:c>
      <x:c r="H569" s="16" t="str">
        <x:v>Y</x:v>
      </x:c>
      <x:c r="I569" s="16" t="str">
        <x:f>Coder_A!F569</x:f>
        <x:v>Sec. 3 Datasets; Appendix A; Table 2; Table 1; Appendix B</x:v>
      </x:c>
      <x:c r="J569" s="16" t="n">
        <x:f>Coder_B!F569</x:f>
        <x:v>0</x:v>
      </x:c>
    </x:row>
    <x:row r="570">
      <x:c r="A570" s="16" t="n">
        <x:v>569</x:v>
      </x:c>
      <x:c r="B570" s="16" t="str">
        <x:v>EXPERIMENT</x:v>
      </x:c>
      <x:c r="C570" s="16" t="str">
        <x:f>Coder_A!C570</x:f>
        <x:v>PILOT_01_E07</x:v>
      </x:c>
      <x:c r="D570" s="16" t="str">
        <x:v>support_kcs</x:v>
      </x:c>
      <x:c r="E570" s="16" t="str">
        <x:f>Coder_A!E570</x:f>
        <x:v>NA</x:v>
      </x:c>
      <x:c r="F570" s="16" t="n">
        <x:f>Coder_B!E570</x:f>
        <x:v>0</x:v>
      </x:c>
      <x:c r="G570" s="16" t="str">
        <x:f>IF(F570="","PENDING",IF(E570=F570,"AGREE","DISAGREE"))</x:f>
        <x:v>PENDING</x:v>
      </x:c>
      <x:c r="H570" s="16" t="str">
        <x:v>N</x:v>
      </x:c>
      <x:c r="I570" s="16" t="str">
        <x:f>Coder_A!F570</x:f>
        <x:v>Sec. 3 Datasets; Appendix A; Table 2; Table 1; Appendix B</x:v>
      </x:c>
      <x:c r="J570" s="16" t="n">
        <x:f>Coder_B!F570</x:f>
        <x:v>0</x:v>
      </x:c>
    </x:row>
    <x:row r="571">
      <x:c r="A571" s="16" t="n">
        <x:v>570</x:v>
      </x:c>
      <x:c r="B571" s="16" t="str">
        <x:v>EXPERIMENT</x:v>
      </x:c>
      <x:c r="C571" s="16" t="str">
        <x:f>Coder_A!C571</x:f>
        <x:v>PILOT_01_E07</x:v>
      </x:c>
      <x:c r="D571" s="16" t="str">
        <x:v>support_learners</x:v>
      </x:c>
      <x:c r="E571" s="16" t="str">
        <x:f>Coder_A!E571</x:f>
        <x:v>NA</x:v>
      </x:c>
      <x:c r="F571" s="16" t="n">
        <x:f>Coder_B!E571</x:f>
        <x:v>0</x:v>
      </x:c>
      <x:c r="G571" s="16" t="str">
        <x:f>IF(F571="","PENDING",IF(E571=F571,"AGREE","DISAGREE"))</x:f>
        <x:v>PENDING</x:v>
      </x:c>
      <x:c r="H571" s="16" t="str">
        <x:v>N</x:v>
      </x:c>
      <x:c r="I571" s="16" t="str">
        <x:f>Coder_A!F571</x:f>
        <x:v>Sec. 3 Datasets; Appendix A; Table 2; Table 1; Appendix B</x:v>
      </x:c>
      <x:c r="J571" s="16" t="n">
        <x:f>Coder_B!F571</x:f>
        <x:v>0</x:v>
      </x:c>
    </x:row>
    <x:row r="572">
      <x:c r="A572" s="16" t="n">
        <x:v>571</x:v>
      </x:c>
      <x:c r="B572" s="16" t="str">
        <x:v>EXPERIMENT</x:v>
      </x:c>
      <x:c r="C572" s="16" t="str">
        <x:f>Coder_A!C572</x:f>
        <x:v>PILOT_01_E07</x:v>
      </x:c>
      <x:c r="D572" s="16" t="str">
        <x:v>support_items</x:v>
      </x:c>
      <x:c r="E572" s="16" t="str">
        <x:f>Coder_A!E572</x:f>
        <x:v>NA</x:v>
      </x:c>
      <x:c r="F572" s="16" t="n">
        <x:f>Coder_B!E572</x:f>
        <x:v>0</x:v>
      </x:c>
      <x:c r="G572" s="16" t="str">
        <x:f>IF(F572="","PENDING",IF(E572=F572,"AGREE","DISAGREE"))</x:f>
        <x:v>PENDING</x:v>
      </x:c>
      <x:c r="H572" s="16" t="str">
        <x:v>N</x:v>
      </x:c>
      <x:c r="I572" s="16" t="str">
        <x:f>Coder_A!F572</x:f>
        <x:v>Sec. 3 Datasets; Appendix A; Table 2; Table 1; Appendix B</x:v>
      </x:c>
      <x:c r="J572" s="16" t="n">
        <x:f>Coder_B!F572</x:f>
        <x:v>0</x:v>
      </x:c>
    </x:row>
    <x:row r="573">
      <x:c r="A573" s="16" t="n">
        <x:v>572</x:v>
      </x:c>
      <x:c r="B573" s="16" t="str">
        <x:v>EXPERIMENT</x:v>
      </x:c>
      <x:c r="C573" s="16" t="str">
        <x:f>Coder_A!C573</x:f>
        <x:v>PILOT_01_E07</x:v>
      </x:c>
      <x:c r="D573" s="16" t="str">
        <x:v>support_test_interactions</x:v>
      </x:c>
      <x:c r="E573" s="16" t="str">
        <x:f>Coder_A!E573</x:f>
        <x:v>NA</x:v>
      </x:c>
      <x:c r="F573" s="16" t="n">
        <x:f>Coder_B!E573</x:f>
        <x:v>0</x:v>
      </x:c>
      <x:c r="G573" s="16" t="str">
        <x:f>IF(F573="","PENDING",IF(E573=F573,"AGREE","DISAGREE"))</x:f>
        <x:v>PENDING</x:v>
      </x:c>
      <x:c r="H573" s="16" t="str">
        <x:v>N</x:v>
      </x:c>
      <x:c r="I573" s="16" t="str">
        <x:f>Coder_A!F573</x:f>
        <x:v>Sec. 3 Datasets; Appendix A; Table 2; Table 1; Appendix B</x:v>
      </x:c>
      <x:c r="J573" s="16" t="n">
        <x:f>Coder_B!F573</x:f>
        <x:v>0</x:v>
      </x:c>
    </x:row>
    <x:row r="574">
      <x:c r="A574" s="16" t="n">
        <x:v>573</x:v>
      </x:c>
      <x:c r="B574" s="16" t="str">
        <x:v>EXPERIMENT</x:v>
      </x:c>
      <x:c r="C574" s="16" t="str">
        <x:f>Coder_A!C574</x:f>
        <x:v>PILOT_01_E07</x:v>
      </x:c>
      <x:c r="D574" s="16" t="str">
        <x:v>positive_count</x:v>
      </x:c>
      <x:c r="E574" s="16" t="str">
        <x:f>Coder_A!E574</x:f>
        <x:v>NA</x:v>
      </x:c>
      <x:c r="F574" s="16" t="n">
        <x:f>Coder_B!E574</x:f>
        <x:v>0</x:v>
      </x:c>
      <x:c r="G574" s="16" t="str">
        <x:f>IF(F574="","PENDING",IF(E574=F574,"AGREE","DISAGREE"))</x:f>
        <x:v>PENDING</x:v>
      </x:c>
      <x:c r="H574" s="16" t="str">
        <x:v>N</x:v>
      </x:c>
      <x:c r="I574" s="16" t="str">
        <x:f>Coder_A!F574</x:f>
        <x:v>Sec. 3 Datasets; Appendix A; Table 2; Table 1; Appendix B</x:v>
      </x:c>
      <x:c r="J574" s="16" t="n">
        <x:f>Coder_B!F574</x:f>
        <x:v>0</x:v>
      </x:c>
    </x:row>
    <x:row r="575">
      <x:c r="A575" s="16" t="n">
        <x:v>574</x:v>
      </x:c>
      <x:c r="B575" s="16" t="str">
        <x:v>EXPERIMENT</x:v>
      </x:c>
      <x:c r="C575" s="16" t="str">
        <x:f>Coder_A!C575</x:f>
        <x:v>PILOT_01_E07</x:v>
      </x:c>
      <x:c r="D575" s="16" t="str">
        <x:v>negative_count</x:v>
      </x:c>
      <x:c r="E575" s="16" t="str">
        <x:f>Coder_A!E575</x:f>
        <x:v>NA</x:v>
      </x:c>
      <x:c r="F575" s="16" t="n">
        <x:f>Coder_B!E575</x:f>
        <x:v>0</x:v>
      </x:c>
      <x:c r="G575" s="16" t="str">
        <x:f>IF(F575="","PENDING",IF(E575=F575,"AGREE","DISAGREE"))</x:f>
        <x:v>PENDING</x:v>
      </x:c>
      <x:c r="H575" s="16" t="str">
        <x:v>N</x:v>
      </x:c>
      <x:c r="I575" s="16" t="str">
        <x:f>Coder_A!F575</x:f>
        <x:v>Sec. 3 Datasets; Appendix A; Table 2; Table 1; Appendix B</x:v>
      </x:c>
      <x:c r="J575" s="16" t="n">
        <x:f>Coder_B!F575</x:f>
        <x:v>0</x:v>
      </x:c>
    </x:row>
    <x:row r="576">
      <x:c r="A576" s="16" t="n">
        <x:v>575</x:v>
      </x:c>
      <x:c r="B576" s="16" t="str">
        <x:v>EXPERIMENT</x:v>
      </x:c>
      <x:c r="C576" s="16" t="str">
        <x:f>Coder_A!C576</x:f>
        <x:v>PILOT_01_E07</x:v>
      </x:c>
      <x:c r="D576" s="16" t="str">
        <x:v>metric_name_original</x:v>
      </x:c>
      <x:c r="E576" s="16" t="str">
        <x:f>Coder_A!E576</x:f>
        <x:v>AUC</x:v>
      </x:c>
      <x:c r="F576" s="16" t="n">
        <x:f>Coder_B!E576</x:f>
        <x:v>0</x:v>
      </x:c>
      <x:c r="G576" s="16" t="str">
        <x:f>IF(F576="","PENDING",IF(E576=F576,"AGREE","DISAGREE"))</x:f>
        <x:v>PENDING</x:v>
      </x:c>
      <x:c r="H576" s="16" t="str">
        <x:v>N</x:v>
      </x:c>
      <x:c r="I576" s="16" t="str">
        <x:f>Coder_A!F576</x:f>
        <x:v>Sec. 3 Datasets; Appendix A; Table 2; Table 1; Appendix B</x:v>
      </x:c>
      <x:c r="J576" s="16" t="n">
        <x:f>Coder_B!F576</x:f>
        <x:v>0</x:v>
      </x:c>
    </x:row>
    <x:row r="577">
      <x:c r="A577" s="16" t="n">
        <x:v>576</x:v>
      </x:c>
      <x:c r="B577" s="16" t="str">
        <x:v>EXPERIMENT</x:v>
      </x:c>
      <x:c r="C577" s="16" t="str">
        <x:f>Coder_A!C577</x:f>
        <x:v>PILOT_01_E07</x:v>
      </x:c>
      <x:c r="D577" s="16" t="str">
        <x:v>metric_value_original</x:v>
      </x:c>
      <x:c r="E577" s="16" t="n">
        <x:f>Coder_A!E577</x:f>
        <x:v>0.719</x:v>
      </x:c>
      <x:c r="F577" s="16" t="n">
        <x:f>Coder_B!E577</x:f>
        <x:v>0</x:v>
      </x:c>
      <x:c r="G577" s="16" t="str">
        <x:f>IF(F577="","PENDING",IF(E577=F577,"AGREE","DISAGREE"))</x:f>
        <x:v>PENDING</x:v>
      </x:c>
      <x:c r="H577" s="16" t="str">
        <x:v>N</x:v>
      </x:c>
      <x:c r="I577" s="16" t="str">
        <x:f>Coder_A!F577</x:f>
        <x:v>Sec. 3 Datasets; Appendix A; Table 2; Table 1; Appendix B</x:v>
      </x:c>
      <x:c r="J577" s="16" t="n">
        <x:f>Coder_B!F577</x:f>
        <x:v>0</x:v>
      </x:c>
    </x:row>
    <x:row r="578">
      <x:c r="A578" s="16" t="n">
        <x:v>577</x:v>
      </x:c>
      <x:c r="B578" s="16" t="str">
        <x:v>EXPERIMENT</x:v>
      </x:c>
      <x:c r="C578" s="16" t="str">
        <x:f>Coder_A!C578</x:f>
        <x:v>PILOT_01_E07</x:v>
      </x:c>
      <x:c r="D578" s="16" t="str">
        <x:v>metric_scope</x:v>
      </x:c>
      <x:c r="E578" s="16" t="str">
        <x:f>Coder_A!E578</x:f>
        <x:v>OVERALL</x:v>
      </x:c>
      <x:c r="F578" s="16" t="n">
        <x:f>Coder_B!E578</x:f>
        <x:v>0</x:v>
      </x:c>
      <x:c r="G578" s="16" t="str">
        <x:f>IF(F578="","PENDING",IF(E578=F578,"AGREE","DISAGREE"))</x:f>
        <x:v>PENDING</x:v>
      </x:c>
      <x:c r="H578" s="16" t="str">
        <x:v>Y</x:v>
      </x:c>
      <x:c r="I578" s="16" t="str">
        <x:f>Coder_A!F578</x:f>
        <x:v>Sec. 3 Datasets; Appendix A; Table 2; Table 1; Appendix B</x:v>
      </x:c>
      <x:c r="J578" s="16" t="n">
        <x:f>Coder_B!F578</x:f>
        <x:v>0</x:v>
      </x:c>
    </x:row>
    <x:row r="579">
      <x:c r="A579" s="16" t="n">
        <x:v>578</x:v>
      </x:c>
      <x:c r="B579" s="16" t="str">
        <x:v>EXPERIMENT</x:v>
      </x:c>
      <x:c r="C579" s="16" t="str">
        <x:f>Coder_A!C579</x:f>
        <x:v>PILOT_01_E07</x:v>
      </x:c>
      <x:c r="D579" s="16" t="str">
        <x:v>n_seeds</x:v>
      </x:c>
      <x:c r="E579" s="16" t="str">
        <x:f>Coder_A!E579</x:f>
        <x:v>NR</x:v>
      </x:c>
      <x:c r="F579" s="16" t="n">
        <x:f>Coder_B!E579</x:f>
        <x:v>0</x:v>
      </x:c>
      <x:c r="G579" s="16" t="str">
        <x:f>IF(F579="","PENDING",IF(E579=F579,"AGREE","DISAGREE"))</x:f>
        <x:v>PENDING</x:v>
      </x:c>
      <x:c r="H579" s="16" t="str">
        <x:v>N</x:v>
      </x:c>
      <x:c r="I579" s="16" t="str">
        <x:f>Coder_A!F579</x:f>
        <x:v>Sec. 3 Datasets; Appendix A; Table 2; Table 1; Appendix B</x:v>
      </x:c>
      <x:c r="J579" s="16" t="n">
        <x:f>Coder_B!F579</x:f>
        <x:v>0</x:v>
      </x:c>
    </x:row>
    <x:row r="580">
      <x:c r="A580" s="16" t="n">
        <x:v>579</x:v>
      </x:c>
      <x:c r="B580" s="16" t="str">
        <x:v>EXPERIMENT</x:v>
      </x:c>
      <x:c r="C580" s="16" t="str">
        <x:f>Coder_A!C580</x:f>
        <x:v>PILOT_01_E07</x:v>
      </x:c>
      <x:c r="D580" s="16" t="str">
        <x:v>seed_values_reported</x:v>
      </x:c>
      <x:c r="E580" s="16" t="str">
        <x:f>Coder_A!E580</x:f>
        <x:v>NR</x:v>
      </x:c>
      <x:c r="F580" s="16" t="n">
        <x:f>Coder_B!E580</x:f>
        <x:v>0</x:v>
      </x:c>
      <x:c r="G580" s="16" t="str">
        <x:f>IF(F580="","PENDING",IF(E580=F580,"AGREE","DISAGREE"))</x:f>
        <x:v>PENDING</x:v>
      </x:c>
      <x:c r="H580" s="16" t="str">
        <x:v>N</x:v>
      </x:c>
      <x:c r="I580" s="16" t="str">
        <x:f>Coder_A!F580</x:f>
        <x:v>Sec. 3 Datasets; Appendix A; Table 2; Table 1; Appendix B</x:v>
      </x:c>
      <x:c r="J580" s="16" t="n">
        <x:f>Coder_B!F580</x:f>
        <x:v>0</x:v>
      </x:c>
    </x:row>
    <x:row r="581">
      <x:c r="A581" s="16" t="n">
        <x:v>580</x:v>
      </x:c>
      <x:c r="B581" s="16" t="str">
        <x:v>EXPERIMENT</x:v>
      </x:c>
      <x:c r="C581" s="16" t="str">
        <x:f>Coder_A!C581</x:f>
        <x:v>PILOT_01_E07</x:v>
      </x:c>
      <x:c r="D581" s="16" t="str">
        <x:v>mean_std_reported</x:v>
      </x:c>
      <x:c r="E581" s="16" t="str">
        <x:f>Coder_A!E581</x:f>
        <x:v>N</x:v>
      </x:c>
      <x:c r="F581" s="16" t="n">
        <x:f>Coder_B!E581</x:f>
        <x:v>0</x:v>
      </x:c>
      <x:c r="G581" s="16" t="str">
        <x:f>IF(F581="","PENDING",IF(E581=F581,"AGREE","DISAGREE"))</x:f>
        <x:v>PENDING</x:v>
      </x:c>
      <x:c r="H581" s="16" t="str">
        <x:v>Y</x:v>
      </x:c>
      <x:c r="I581" s="16" t="str">
        <x:f>Coder_A!F581</x:f>
        <x:v>Sec. 3 Datasets; Appendix A; Table 2; Table 1; Appendix B</x:v>
      </x:c>
      <x:c r="J581" s="16" t="n">
        <x:f>Coder_B!F581</x:f>
        <x:v>0</x:v>
      </x:c>
    </x:row>
    <x:row r="582">
      <x:c r="A582" s="16" t="n">
        <x:v>581</x:v>
      </x:c>
      <x:c r="B582" s="16" t="str">
        <x:v>EXPERIMENT</x:v>
      </x:c>
      <x:c r="C582" s="16" t="str">
        <x:f>Coder_A!C582</x:f>
        <x:v>PILOT_01_E07</x:v>
      </x:c>
      <x:c r="D582" s="16" t="str">
        <x:v>confidence_interval</x:v>
      </x:c>
      <x:c r="E582" s="16" t="str">
        <x:f>Coder_A!E582</x:f>
        <x:v>NR</x:v>
      </x:c>
      <x:c r="F582" s="16" t="n">
        <x:f>Coder_B!E582</x:f>
        <x:v>0</x:v>
      </x:c>
      <x:c r="G582" s="16" t="str">
        <x:f>IF(F582="","PENDING",IF(E582=F582,"AGREE","DISAGREE"))</x:f>
        <x:v>PENDING</x:v>
      </x:c>
      <x:c r="H582" s="16" t="str">
        <x:v>N</x:v>
      </x:c>
      <x:c r="I582" s="16" t="str">
        <x:f>Coder_A!F582</x:f>
        <x:v>Sec. 3 Datasets; Appendix A; Table 2; Table 1; Appendix B</x:v>
      </x:c>
      <x:c r="J582" s="16" t="n">
        <x:f>Coder_B!F582</x:f>
        <x:v>0</x:v>
      </x:c>
    </x:row>
    <x:row r="583">
      <x:c r="A583" s="16" t="n">
        <x:v>582</x:v>
      </x:c>
      <x:c r="B583" s="16" t="str">
        <x:v>EXPERIMENT</x:v>
      </x:c>
      <x:c r="C583" s="16" t="str">
        <x:f>Coder_A!C583</x:f>
        <x:v>PILOT_01_E07</x:v>
      </x:c>
      <x:c r="D583" s="16" t="str">
        <x:v>bootstrap_unit</x:v>
      </x:c>
      <x:c r="E583" s="16" t="str">
        <x:f>Coder_A!E583</x:f>
        <x:v>NA</x:v>
      </x:c>
      <x:c r="F583" s="16" t="n">
        <x:f>Coder_B!E583</x:f>
        <x:v>0</x:v>
      </x:c>
      <x:c r="G583" s="16" t="str">
        <x:f>IF(F583="","PENDING",IF(E583=F583,"AGREE","DISAGREE"))</x:f>
        <x:v>PENDING</x:v>
      </x:c>
      <x:c r="H583" s="16" t="str">
        <x:v>Y</x:v>
      </x:c>
      <x:c r="I583" s="16" t="str">
        <x:f>Coder_A!F583</x:f>
        <x:v>Sec. 3 Datasets; Appendix A; Table 2; Table 1; Appendix B</x:v>
      </x:c>
      <x:c r="J583" s="16" t="n">
        <x:f>Coder_B!F583</x:f>
        <x:v>0</x:v>
      </x:c>
    </x:row>
    <x:row r="584">
      <x:c r="A584" s="16" t="n">
        <x:v>583</x:v>
      </x:c>
      <x:c r="B584" s="16" t="str">
        <x:v>EXPERIMENT</x:v>
      </x:c>
      <x:c r="C584" s="16" t="str">
        <x:f>Coder_A!C584</x:f>
        <x:v>PILOT_01_E07</x:v>
      </x:c>
      <x:c r="D584" s="16" t="str">
        <x:v>statistical_test</x:v>
      </x:c>
      <x:c r="E584" s="16" t="str">
        <x:f>Coder_A!E584</x:f>
        <x:v>NR</x:v>
      </x:c>
      <x:c r="F584" s="16" t="n">
        <x:f>Coder_B!E584</x:f>
        <x:v>0</x:v>
      </x:c>
      <x:c r="G584" s="16" t="str">
        <x:f>IF(F584="","PENDING",IF(E584=F584,"AGREE","DISAGREE"))</x:f>
        <x:v>PENDING</x:v>
      </x:c>
      <x:c r="H584" s="16" t="str">
        <x:v>N</x:v>
      </x:c>
      <x:c r="I584" s="16" t="str">
        <x:f>Coder_A!F584</x:f>
        <x:v>Sec. 3 Datasets; Appendix A; Table 2; Table 1; Appendix B</x:v>
      </x:c>
      <x:c r="J584" s="16" t="n">
        <x:f>Coder_B!F584</x:f>
        <x:v>0</x:v>
      </x:c>
    </x:row>
    <x:row r="585">
      <x:c r="A585" s="16" t="n">
        <x:v>584</x:v>
      </x:c>
      <x:c r="B585" s="16" t="str">
        <x:v>EXPERIMENT</x:v>
      </x:c>
      <x:c r="C585" s="16" t="str">
        <x:f>Coder_A!C585</x:f>
        <x:v>PILOT_01_E07</x:v>
      </x:c>
      <x:c r="D585" s="16" t="str">
        <x:v>multiple_comparison_correction</x:v>
      </x:c>
      <x:c r="E585" s="16" t="str">
        <x:f>Coder_A!E585</x:f>
        <x:v>NR</x:v>
      </x:c>
      <x:c r="F585" s="16" t="n">
        <x:f>Coder_B!E585</x:f>
        <x:v>0</x:v>
      </x:c>
      <x:c r="G585" s="16" t="str">
        <x:f>IF(F585="","PENDING",IF(E585=F585,"AGREE","DISAGREE"))</x:f>
        <x:v>PENDING</x:v>
      </x:c>
      <x:c r="H585" s="16" t="str">
        <x:v>N</x:v>
      </x:c>
      <x:c r="I585" s="16" t="str">
        <x:f>Coder_A!F585</x:f>
        <x:v>Sec. 3 Datasets; Appendix A; Table 2; Table 1; Appendix B</x:v>
      </x:c>
      <x:c r="J585" s="16" t="n">
        <x:f>Coder_B!F585</x:f>
        <x:v>0</x:v>
      </x:c>
    </x:row>
    <x:row r="586">
      <x:c r="A586" s="16" t="n">
        <x:v>585</x:v>
      </x:c>
      <x:c r="B586" s="16" t="str">
        <x:v>EXPERIMENT</x:v>
      </x:c>
      <x:c r="C586" s="16" t="str">
        <x:f>Coder_A!C586</x:f>
        <x:v>PILOT_01_E07</x:v>
      </x:c>
      <x:c r="D586" s="16" t="str">
        <x:v>effect_size</x:v>
      </x:c>
      <x:c r="E586" s="16" t="str">
        <x:f>Coder_A!E586</x:f>
        <x:v>NR</x:v>
      </x:c>
      <x:c r="F586" s="16" t="n">
        <x:f>Coder_B!E586</x:f>
        <x:v>0</x:v>
      </x:c>
      <x:c r="G586" s="16" t="str">
        <x:f>IF(F586="","PENDING",IF(E586=F586,"AGREE","DISAGREE"))</x:f>
        <x:v>PENDING</x:v>
      </x:c>
      <x:c r="H586" s="16" t="str">
        <x:v>N</x:v>
      </x:c>
      <x:c r="I586" s="16" t="str">
        <x:f>Coder_A!F586</x:f>
        <x:v>Sec. 3 Datasets; Appendix A; Table 2; Table 1; Appendix B</x:v>
      </x:c>
      <x:c r="J586" s="16" t="n">
        <x:f>Coder_B!F586</x:f>
        <x:v>0</x:v>
      </x:c>
    </x:row>
    <x:row r="587">
      <x:c r="A587" s="16" t="n">
        <x:v>586</x:v>
      </x:c>
      <x:c r="B587" s="16" t="str">
        <x:v>EXPERIMENT</x:v>
      </x:c>
      <x:c r="C587" s="16" t="str">
        <x:f>Coder_A!C587</x:f>
        <x:v>PILOT_01_E07</x:v>
      </x:c>
      <x:c r="D587" s="16" t="str">
        <x:v>paired_design</x:v>
      </x:c>
      <x:c r="E587" s="16" t="str">
        <x:f>Coder_A!E587</x:f>
        <x:v>NR</x:v>
      </x:c>
      <x:c r="F587" s="16" t="n">
        <x:f>Coder_B!E587</x:f>
        <x:v>0</x:v>
      </x:c>
      <x:c r="G587" s="16" t="str">
        <x:f>IF(F587="","PENDING",IF(E587=F587,"AGREE","DISAGREE"))</x:f>
        <x:v>PENDING</x:v>
      </x:c>
      <x:c r="H587" s="16" t="str">
        <x:v>Y</x:v>
      </x:c>
      <x:c r="I587" s="16" t="str">
        <x:f>Coder_A!F587</x:f>
        <x:v>Sec. 3 Datasets; Appendix A; Table 2; Table 1; Appendix B</x:v>
      </x:c>
      <x:c r="J587" s="16" t="n">
        <x:f>Coder_B!F587</x:f>
        <x:v>0</x:v>
      </x:c>
    </x:row>
    <x:row r="588">
      <x:c r="A588" s="16" t="n">
        <x:v>587</x:v>
      </x:c>
      <x:c r="B588" s="16" t="str">
        <x:v>EXPERIMENT</x:v>
      </x:c>
      <x:c r="C588" s="16" t="str">
        <x:f>Coder_A!C588</x:f>
        <x:v>PILOT_01_E07</x:v>
      </x:c>
      <x:c r="D588" s="16" t="str">
        <x:v>significance_threshold</x:v>
      </x:c>
      <x:c r="E588" s="16" t="str">
        <x:f>Coder_A!E588</x:f>
        <x:v>NR</x:v>
      </x:c>
      <x:c r="F588" s="16" t="n">
        <x:f>Coder_B!E588</x:f>
        <x:v>0</x:v>
      </x:c>
      <x:c r="G588" s="16" t="str">
        <x:f>IF(F588="","PENDING",IF(E588=F588,"AGREE","DISAGREE"))</x:f>
        <x:v>PENDING</x:v>
      </x:c>
      <x:c r="H588" s="16" t="str">
        <x:v>N</x:v>
      </x:c>
      <x:c r="I588" s="16" t="str">
        <x:f>Coder_A!F588</x:f>
        <x:v>Sec. 3 Datasets; Appendix A; Table 2; Table 1; Appendix B</x:v>
      </x:c>
      <x:c r="J588" s="16" t="n">
        <x:f>Coder_B!F588</x:f>
        <x:v>0</x:v>
      </x:c>
    </x:row>
    <x:row r="589">
      <x:c r="A589" s="16" t="n">
        <x:v>588</x:v>
      </x:c>
      <x:c r="B589" s="16" t="str">
        <x:v>EXPERIMENT</x:v>
      </x:c>
      <x:c r="C589" s="16" t="str">
        <x:f>Coder_A!C589</x:f>
        <x:v>PILOT_01_E07</x:v>
      </x:c>
      <x:c r="D589" s="16" t="str">
        <x:v>parameter_count</x:v>
      </x:c>
      <x:c r="E589" s="16" t="str">
        <x:f>Coder_A!E589</x:f>
        <x:v>NR</x:v>
      </x:c>
      <x:c r="F589" s="16" t="n">
        <x:f>Coder_B!E589</x:f>
        <x:v>0</x:v>
      </x:c>
      <x:c r="G589" s="16" t="str">
        <x:f>IF(F589="","PENDING",IF(E589=F589,"AGREE","DISAGREE"))</x:f>
        <x:v>PENDING</x:v>
      </x:c>
      <x:c r="H589" s="16" t="str">
        <x:v>N</x:v>
      </x:c>
      <x:c r="I589" s="16" t="str">
        <x:f>Coder_A!F589</x:f>
        <x:v>Sec. 3 Datasets; Appendix A; Table 2; Table 1; Appendix B</x:v>
      </x:c>
      <x:c r="J589" s="16" t="n">
        <x:f>Coder_B!F589</x:f>
        <x:v>0</x:v>
      </x:c>
    </x:row>
    <x:row r="590">
      <x:c r="A590" s="16" t="n">
        <x:v>589</x:v>
      </x:c>
      <x:c r="B590" s="16" t="str">
        <x:v>EXPERIMENT</x:v>
      </x:c>
      <x:c r="C590" s="16" t="str">
        <x:f>Coder_A!C590</x:f>
        <x:v>PILOT_01_E07</x:v>
      </x:c>
      <x:c r="D590" s="16" t="str">
        <x:v>train_time</x:v>
      </x:c>
      <x:c r="E590" s="16" t="str">
        <x:f>Coder_A!E590</x:f>
        <x:v>NR</x:v>
      </x:c>
      <x:c r="F590" s="16" t="n">
        <x:f>Coder_B!E590</x:f>
        <x:v>0</x:v>
      </x:c>
      <x:c r="G590" s="16" t="str">
        <x:f>IF(F590="","PENDING",IF(E590=F590,"AGREE","DISAGREE"))</x:f>
        <x:v>PENDING</x:v>
      </x:c>
      <x:c r="H590" s="16" t="str">
        <x:v>N</x:v>
      </x:c>
      <x:c r="I590" s="16" t="str">
        <x:f>Coder_A!F590</x:f>
        <x:v>Sec. 3 Datasets; Appendix A; Table 2; Table 1; Appendix B</x:v>
      </x:c>
      <x:c r="J590" s="16" t="n">
        <x:f>Coder_B!F590</x:f>
        <x:v>0</x:v>
      </x:c>
    </x:row>
    <x:row r="591">
      <x:c r="A591" s="16" t="n">
        <x:v>590</x:v>
      </x:c>
      <x:c r="B591" s="16" t="str">
        <x:v>EXPERIMENT</x:v>
      </x:c>
      <x:c r="C591" s="16" t="str">
        <x:f>Coder_A!C591</x:f>
        <x:v>PILOT_01_E07</x:v>
      </x:c>
      <x:c r="D591" s="16" t="str">
        <x:v>time_per_epoch</x:v>
      </x:c>
      <x:c r="E591" s="16" t="str">
        <x:f>Coder_A!E591</x:f>
        <x:v>NR</x:v>
      </x:c>
      <x:c r="F591" s="16" t="n">
        <x:f>Coder_B!E591</x:f>
        <x:v>0</x:v>
      </x:c>
      <x:c r="G591" s="16" t="str">
        <x:f>IF(F591="","PENDING",IF(E591=F591,"AGREE","DISAGREE"))</x:f>
        <x:v>PENDING</x:v>
      </x:c>
      <x:c r="H591" s="16" t="str">
        <x:v>N</x:v>
      </x:c>
      <x:c r="I591" s="16" t="str">
        <x:f>Coder_A!F591</x:f>
        <x:v>Sec. 3 Datasets; Appendix A; Table 2; Table 1; Appendix B</x:v>
      </x:c>
      <x:c r="J591" s="16" t="n">
        <x:f>Coder_B!F591</x:f>
        <x:v>0</x:v>
      </x:c>
    </x:row>
    <x:row r="592">
      <x:c r="A592" s="16" t="n">
        <x:v>591</x:v>
      </x:c>
      <x:c r="B592" s="16" t="str">
        <x:v>EXPERIMENT</x:v>
      </x:c>
      <x:c r="C592" s="16" t="str">
        <x:f>Coder_A!C592</x:f>
        <x:v>PILOT_01_E07</x:v>
      </x:c>
      <x:c r="D592" s="16" t="str">
        <x:v>inference_latency</x:v>
      </x:c>
      <x:c r="E592" s="16" t="str">
        <x:f>Coder_A!E592</x:f>
        <x:v>NR</x:v>
      </x:c>
      <x:c r="F592" s="16" t="n">
        <x:f>Coder_B!E592</x:f>
        <x:v>0</x:v>
      </x:c>
      <x:c r="G592" s="16" t="str">
        <x:f>IF(F592="","PENDING",IF(E592=F592,"AGREE","DISAGREE"))</x:f>
        <x:v>PENDING</x:v>
      </x:c>
      <x:c r="H592" s="16" t="str">
        <x:v>N</x:v>
      </x:c>
      <x:c r="I592" s="16" t="str">
        <x:f>Coder_A!F592</x:f>
        <x:v>Sec. 3 Datasets; Appendix A; Table 2; Table 1; Appendix B</x:v>
      </x:c>
      <x:c r="J592" s="16" t="n">
        <x:f>Coder_B!F592</x:f>
        <x:v>0</x:v>
      </x:c>
    </x:row>
    <x:row r="593">
      <x:c r="A593" s="16" t="n">
        <x:v>592</x:v>
      </x:c>
      <x:c r="B593" s="16" t="str">
        <x:v>EXPERIMENT</x:v>
      </x:c>
      <x:c r="C593" s="16" t="str">
        <x:f>Coder_A!C593</x:f>
        <x:v>PILOT_01_E07</x:v>
      </x:c>
      <x:c r="D593" s="16" t="str">
        <x:v>throughput</x:v>
      </x:c>
      <x:c r="E593" s="16" t="str">
        <x:f>Coder_A!E593</x:f>
        <x:v>NR</x:v>
      </x:c>
      <x:c r="F593" s="16" t="n">
        <x:f>Coder_B!E593</x:f>
        <x:v>0</x:v>
      </x:c>
      <x:c r="G593" s="16" t="str">
        <x:f>IF(F593="","PENDING",IF(E593=F593,"AGREE","DISAGREE"))</x:f>
        <x:v>PENDING</x:v>
      </x:c>
      <x:c r="H593" s="16" t="str">
        <x:v>N</x:v>
      </x:c>
      <x:c r="I593" s="16" t="str">
        <x:f>Coder_A!F593</x:f>
        <x:v>Sec. 3 Datasets; Appendix A; Table 2; Table 1; Appendix B</x:v>
      </x:c>
      <x:c r="J593" s="16" t="n">
        <x:f>Coder_B!F593</x:f>
        <x:v>0</x:v>
      </x:c>
    </x:row>
    <x:row r="594">
      <x:c r="A594" s="16" t="n">
        <x:v>593</x:v>
      </x:c>
      <x:c r="B594" s="16" t="str">
        <x:v>EXPERIMENT</x:v>
      </x:c>
      <x:c r="C594" s="16" t="str">
        <x:f>Coder_A!C594</x:f>
        <x:v>PILOT_01_E07</x:v>
      </x:c>
      <x:c r="D594" s="16" t="str">
        <x:v>cpu_ram</x:v>
      </x:c>
      <x:c r="E594" s="16" t="str">
        <x:f>Coder_A!E594</x:f>
        <x:v>NR</x:v>
      </x:c>
      <x:c r="F594" s="16" t="n">
        <x:f>Coder_B!E594</x:f>
        <x:v>0</x:v>
      </x:c>
      <x:c r="G594" s="16" t="str">
        <x:f>IF(F594="","PENDING",IF(E594=F594,"AGREE","DISAGREE"))</x:f>
        <x:v>PENDING</x:v>
      </x:c>
      <x:c r="H594" s="16" t="str">
        <x:v>N</x:v>
      </x:c>
      <x:c r="I594" s="16" t="str">
        <x:f>Coder_A!F594</x:f>
        <x:v>Sec. 3 Datasets; Appendix A; Table 2; Table 1; Appendix B</x:v>
      </x:c>
      <x:c r="J594" s="16" t="n">
        <x:f>Coder_B!F594</x:f>
        <x:v>0</x:v>
      </x:c>
    </x:row>
    <x:row r="595">
      <x:c r="A595" s="16" t="n">
        <x:v>594</x:v>
      </x:c>
      <x:c r="B595" s="16" t="str">
        <x:v>EXPERIMENT</x:v>
      </x:c>
      <x:c r="C595" s="16" t="str">
        <x:f>Coder_A!C595</x:f>
        <x:v>PILOT_01_E07</x:v>
      </x:c>
      <x:c r="D595" s="16" t="str">
        <x:v>gpu_vram</x:v>
      </x:c>
      <x:c r="E595" s="16" t="str">
        <x:f>Coder_A!E595</x:f>
        <x:v>NR</x:v>
      </x:c>
      <x:c r="F595" s="16" t="n">
        <x:f>Coder_B!E595</x:f>
        <x:v>0</x:v>
      </x:c>
      <x:c r="G595" s="16" t="str">
        <x:f>IF(F595="","PENDING",IF(E595=F595,"AGREE","DISAGREE"))</x:f>
        <x:v>PENDING</x:v>
      </x:c>
      <x:c r="H595" s="16" t="str">
        <x:v>N</x:v>
      </x:c>
      <x:c r="I595" s="16" t="str">
        <x:f>Coder_A!F595</x:f>
        <x:v>Sec. 3 Datasets; Appendix A; Table 2; Table 1; Appendix B</x:v>
      </x:c>
      <x:c r="J595" s="16" t="n">
        <x:f>Coder_B!F595</x:f>
        <x:v>0</x:v>
      </x:c>
    </x:row>
    <x:row r="596">
      <x:c r="A596" s="16" t="n">
        <x:v>595</x:v>
      </x:c>
      <x:c r="B596" s="16" t="str">
        <x:v>EXPERIMENT</x:v>
      </x:c>
      <x:c r="C596" s="16" t="str">
        <x:f>Coder_A!C596</x:f>
        <x:v>PILOT_01_E07</x:v>
      </x:c>
      <x:c r="D596" s="16" t="str">
        <x:v>hardware</x:v>
      </x:c>
      <x:c r="E596" s="16" t="str">
        <x:f>Coder_A!E596</x:f>
        <x:v>NR</x:v>
      </x:c>
      <x:c r="F596" s="16" t="n">
        <x:f>Coder_B!E596</x:f>
        <x:v>0</x:v>
      </x:c>
      <x:c r="G596" s="16" t="str">
        <x:f>IF(F596="","PENDING",IF(E596=F596,"AGREE","DISAGREE"))</x:f>
        <x:v>PENDING</x:v>
      </x:c>
      <x:c r="H596" s="16" t="str">
        <x:v>N</x:v>
      </x:c>
      <x:c r="I596" s="16" t="str">
        <x:f>Coder_A!F596</x:f>
        <x:v>Sec. 3 Datasets; Appendix A; Table 2; Table 1; Appendix B</x:v>
      </x:c>
      <x:c r="J596" s="16" t="n">
        <x:f>Coder_B!F596</x:f>
        <x:v>0</x:v>
      </x:c>
    </x:row>
    <x:row r="597">
      <x:c r="A597" s="16" t="n">
        <x:v>596</x:v>
      </x:c>
      <x:c r="B597" s="16" t="str">
        <x:v>EXPERIMENT</x:v>
      </x:c>
      <x:c r="C597" s="16" t="str">
        <x:f>Coder_A!C597</x:f>
        <x:v>PILOT_01_E07</x:v>
      </x:c>
      <x:c r="D597" s="16" t="str">
        <x:v>graph_construction_time</x:v>
      </x:c>
      <x:c r="E597" s="16" t="str">
        <x:f>Coder_A!E597</x:f>
        <x:v>NR</x:v>
      </x:c>
      <x:c r="F597" s="16" t="n">
        <x:f>Coder_B!E597</x:f>
        <x:v>0</x:v>
      </x:c>
      <x:c r="G597" s="16" t="str">
        <x:f>IF(F597="","PENDING",IF(E597=F597,"AGREE","DISAGREE"))</x:f>
        <x:v>PENDING</x:v>
      </x:c>
      <x:c r="H597" s="16" t="str">
        <x:v>N</x:v>
      </x:c>
      <x:c r="I597" s="16" t="str">
        <x:f>Coder_A!F597</x:f>
        <x:v>Sec. 3 Datasets; Appendix A; Table 2; Table 1; Appendix B</x:v>
      </x:c>
      <x:c r="J597" s="16" t="n">
        <x:f>Coder_B!F597</x:f>
        <x:v>0</x:v>
      </x:c>
    </x:row>
    <x:row r="598">
      <x:c r="A598" s="16" t="n">
        <x:v>597</x:v>
      </x:c>
      <x:c r="B598" s="16" t="str">
        <x:v>EXPERIMENT</x:v>
      </x:c>
      <x:c r="C598" s="16" t="str">
        <x:f>Coder_A!C598</x:f>
        <x:v>PILOT_01_E07</x:v>
      </x:c>
      <x:c r="D598" s="16" t="str">
        <x:v>complexity_formula</x:v>
      </x:c>
      <x:c r="E598" s="16" t="str">
        <x:f>Coder_A!E598</x:f>
        <x:v>NR</x:v>
      </x:c>
      <x:c r="F598" s="16" t="n">
        <x:f>Coder_B!E598</x:f>
        <x:v>0</x:v>
      </x:c>
      <x:c r="G598" s="16" t="str">
        <x:f>IF(F598="","PENDING",IF(E598=F598,"AGREE","DISAGREE"))</x:f>
        <x:v>PENDING</x:v>
      </x:c>
      <x:c r="H598" s="16" t="str">
        <x:v>N</x:v>
      </x:c>
      <x:c r="I598" s="16" t="str">
        <x:f>Coder_A!F598</x:f>
        <x:v>Sec. 3 Datasets; Appendix A; Table 2; Table 1; Appendix B</x:v>
      </x:c>
      <x:c r="J598" s="16" t="n">
        <x:f>Coder_B!F598</x:f>
        <x:v>0</x:v>
      </x:c>
    </x:row>
    <x:row r="599">
      <x:c r="A599" s="16" t="n">
        <x:v>598</x:v>
      </x:c>
      <x:c r="B599" s="16" t="str">
        <x:v>EXPERIMENT</x:v>
      </x:c>
      <x:c r="C599" s="16" t="str">
        <x:f>Coder_A!C599</x:f>
        <x:v>PILOT_01_E07</x:v>
      </x:c>
      <x:c r="D599" s="16" t="str">
        <x:v>scale_up_experiment</x:v>
      </x:c>
      <x:c r="E599" s="16" t="str">
        <x:f>Coder_A!E599</x:f>
        <x:v>N</x:v>
      </x:c>
      <x:c r="F599" s="16" t="n">
        <x:f>Coder_B!E599</x:f>
        <x:v>0</x:v>
      </x:c>
      <x:c r="G599" s="16" t="str">
        <x:f>IF(F599="","PENDING",IF(E599=F599,"AGREE","DISAGREE"))</x:f>
        <x:v>PENDING</x:v>
      </x:c>
      <x:c r="H599" s="16" t="str">
        <x:v>Y</x:v>
      </x:c>
      <x:c r="I599" s="16" t="str">
        <x:f>Coder_A!F599</x:f>
        <x:v>Sec. 3 Datasets; Appendix A; Table 2; Table 1; Appendix B</x:v>
      </x:c>
      <x:c r="J599" s="16" t="n">
        <x:f>Coder_B!F599</x:f>
        <x:v>0</x:v>
      </x:c>
    </x:row>
    <x:row r="600">
      <x:c r="A600" s="16" t="n">
        <x:v>599</x:v>
      </x:c>
      <x:c r="B600" s="16" t="str">
        <x:v>EXPERIMENT</x:v>
      </x:c>
      <x:c r="C600" s="16" t="str">
        <x:f>Coder_A!C600</x:f>
        <x:v>PILOT_01_E07</x:v>
      </x:c>
      <x:c r="D600" s="16" t="str">
        <x:v>oom_timeout_reported</x:v>
      </x:c>
      <x:c r="E600" s="16" t="str">
        <x:f>Coder_A!E600</x:f>
        <x:v>NR</x:v>
      </x:c>
      <x:c r="F600" s="16" t="n">
        <x:f>Coder_B!E600</x:f>
        <x:v>0</x:v>
      </x:c>
      <x:c r="G600" s="16" t="str">
        <x:f>IF(F600="","PENDING",IF(E600=F600,"AGREE","DISAGREE"))</x:f>
        <x:v>PENDING</x:v>
      </x:c>
      <x:c r="H600" s="16" t="str">
        <x:v>Y</x:v>
      </x:c>
      <x:c r="I600" s="16" t="str">
        <x:f>Coder_A!F600</x:f>
        <x:v>Sec. 3 Datasets; Appendix A; Table 2; Table 1; Appendix B</x:v>
      </x:c>
      <x:c r="J600" s="16" t="n">
        <x:f>Coder_B!F600</x:f>
        <x:v>0</x:v>
      </x:c>
    </x:row>
    <x:row r="601">
      <x:c r="A601" s="16" t="n">
        <x:v>600</x:v>
      </x:c>
      <x:c r="B601" s="16" t="str">
        <x:v>EXPERIMENT</x:v>
      </x:c>
      <x:c r="C601" s="16" t="str">
        <x:f>Coder_A!C601</x:f>
        <x:v>PILOT_01_E08</x:v>
      </x:c>
      <x:c r="D601" s="16" t="str">
        <x:v>dataset_name</x:v>
      </x:c>
      <x:c r="E601" s="16" t="str">
        <x:f>Coder_A!E601</x:f>
        <x:v>KDDCup</x:v>
      </x:c>
      <x:c r="F601" s="16" t="n">
        <x:f>Coder_B!E601</x:f>
        <x:v>0</x:v>
      </x:c>
      <x:c r="G601" s="16" t="str">
        <x:f>IF(F601="","PENDING",IF(E601=F601,"AGREE","DISAGREE"))</x:f>
        <x:v>PENDING</x:v>
      </x:c>
      <x:c r="H601" s="16" t="str">
        <x:v>N</x:v>
      </x:c>
      <x:c r="I601" s="16" t="str">
        <x:f>Coder_A!F601</x:f>
        <x:v>Sec. 3 Datasets; Appendix A; Table 2; Table 1; Appendix B</x:v>
      </x:c>
      <x:c r="J601" s="16" t="n">
        <x:f>Coder_B!F601</x:f>
        <x:v>0</x:v>
      </x:c>
    </x:row>
    <x:row r="602">
      <x:c r="A602" s="16" t="n">
        <x:v>601</x:v>
      </x:c>
      <x:c r="B602" s="16" t="str">
        <x:v>EXPERIMENT</x:v>
      </x:c>
      <x:c r="C602" s="16" t="str">
        <x:f>Coder_A!C602</x:f>
        <x:v>PILOT_01_E08</x:v>
      </x:c>
      <x:c r="D602" s="16" t="str">
        <x:v>dataset_version</x:v>
      </x:c>
      <x:c r="E602" s="16" t="str">
        <x:f>Coder_A!E602</x:f>
        <x:v>Bridge to Algebra 2006-2007</x:v>
      </x:c>
      <x:c r="F602" s="16" t="n">
        <x:f>Coder_B!E602</x:f>
        <x:v>0</x:v>
      </x:c>
      <x:c r="G602" s="16" t="str">
        <x:f>IF(F602="","PENDING",IF(E602=F602,"AGREE","DISAGREE"))</x:f>
        <x:v>PENDING</x:v>
      </x:c>
      <x:c r="H602" s="16" t="str">
        <x:v>N</x:v>
      </x:c>
      <x:c r="I602" s="16" t="str">
        <x:f>Coder_A!F602</x:f>
        <x:v>Sec. 3 Datasets; Appendix A; Table 2; Table 1; Appendix B</x:v>
      </x:c>
      <x:c r="J602" s="16" t="n">
        <x:f>Coder_B!F602</x:f>
        <x:v>0</x:v>
      </x:c>
    </x:row>
    <x:row r="603">
      <x:c r="A603" s="16" t="n">
        <x:v>602</x:v>
      </x:c>
      <x:c r="B603" s="16" t="str">
        <x:v>EXPERIMENT</x:v>
      </x:c>
      <x:c r="C603" s="16" t="str">
        <x:f>Coder_A!C603</x:f>
        <x:v>PILOT_01_E08</x:v>
      </x:c>
      <x:c r="D603" s="16" t="str">
        <x:v>n_learners_reported</x:v>
      </x:c>
      <x:c r="E603" s="16" t="n">
        <x:f>Coder_A!E603</x:f>
        <x:v>1000</x:v>
      </x:c>
      <x:c r="F603" s="16" t="n">
        <x:f>Coder_B!E603</x:f>
        <x:v>0</x:v>
      </x:c>
      <x:c r="G603" s="16" t="str">
        <x:f>IF(F603="","PENDING",IF(E603=F603,"AGREE","DISAGREE"))</x:f>
        <x:v>PENDING</x:v>
      </x:c>
      <x:c r="H603" s="16" t="str">
        <x:v>N</x:v>
      </x:c>
      <x:c r="I603" s="16" t="str">
        <x:f>Coder_A!F603</x:f>
        <x:v>Sec. 3 Datasets; Appendix A; Table 2; Table 1; Appendix B</x:v>
      </x:c>
      <x:c r="J603" s="16" t="n">
        <x:f>Coder_B!F603</x:f>
        <x:v>0</x:v>
      </x:c>
    </x:row>
    <x:row r="604">
      <x:c r="A604" s="16" t="n">
        <x:v>603</x:v>
      </x:c>
      <x:c r="B604" s="16" t="str">
        <x:v>EXPERIMENT</x:v>
      </x:c>
      <x:c r="C604" s="16" t="str">
        <x:f>Coder_A!C604</x:f>
        <x:v>PILOT_01_E08</x:v>
      </x:c>
      <x:c r="D604" s="16" t="str">
        <x:v>n_items_reported</x:v>
      </x:c>
      <x:c r="E604" s="16" t="str">
        <x:f>Coder_A!E604</x:f>
        <x:v>NR</x:v>
      </x:c>
      <x:c r="F604" s="16" t="n">
        <x:f>Coder_B!E604</x:f>
        <x:v>0</x:v>
      </x:c>
      <x:c r="G604" s="16" t="str">
        <x:f>IF(F604="","PENDING",IF(E604=F604,"AGREE","DISAGREE"))</x:f>
        <x:v>PENDING</x:v>
      </x:c>
      <x:c r="H604" s="16" t="str">
        <x:v>N</x:v>
      </x:c>
      <x:c r="I604" s="16" t="str">
        <x:f>Coder_A!F604</x:f>
        <x:v>Sec. 3 Datasets; Appendix A; Table 2; Table 1; Appendix B</x:v>
      </x:c>
      <x:c r="J604" s="16" t="n">
        <x:f>Coder_B!F604</x:f>
        <x:v>0</x:v>
      </x:c>
    </x:row>
    <x:row r="605">
      <x:c r="A605" s="16" t="n">
        <x:v>604</x:v>
      </x:c>
      <x:c r="B605" s="16" t="str">
        <x:v>EXPERIMENT</x:v>
      </x:c>
      <x:c r="C605" s="16" t="str">
        <x:f>Coder_A!C605</x:f>
        <x:v>PILOT_01_E08</x:v>
      </x:c>
      <x:c r="D605" s="16" t="str">
        <x:v>n_kcs_reported</x:v>
      </x:c>
      <x:c r="E605" s="16" t="n">
        <x:f>Coder_A!E605</x:f>
        <x:v>211</x:v>
      </x:c>
      <x:c r="F605" s="16" t="n">
        <x:f>Coder_B!E605</x:f>
        <x:v>0</x:v>
      </x:c>
      <x:c r="G605" s="16" t="str">
        <x:f>IF(F605="","PENDING",IF(E605=F605,"AGREE","DISAGREE"))</x:f>
        <x:v>PENDING</x:v>
      </x:c>
      <x:c r="H605" s="16" t="str">
        <x:v>N</x:v>
      </x:c>
      <x:c r="I605" s="16" t="str">
        <x:f>Coder_A!F605</x:f>
        <x:v>Sec. 3 Datasets; Appendix A; Table 2; Table 1; Appendix B</x:v>
      </x:c>
      <x:c r="J605" s="16" t="n">
        <x:f>Coder_B!F605</x:f>
        <x:v>0</x:v>
      </x:c>
    </x:row>
    <x:row r="606">
      <x:c r="A606" s="16" t="n">
        <x:v>605</x:v>
      </x:c>
      <x:c r="B606" s="16" t="str">
        <x:v>EXPERIMENT</x:v>
      </x:c>
      <x:c r="C606" s="16" t="str">
        <x:f>Coder_A!C606</x:f>
        <x:v>PILOT_01_E08</x:v>
      </x:c>
      <x:c r="D606" s="16" t="str">
        <x:v>n_interactions_reported</x:v>
      </x:c>
      <x:c r="E606" s="16" t="n">
        <x:f>Coder_A!E606</x:f>
        <x:v>98200</x:v>
      </x:c>
      <x:c r="F606" s="16" t="n">
        <x:f>Coder_B!E606</x:f>
        <x:v>0</x:v>
      </x:c>
      <x:c r="G606" s="16" t="str">
        <x:f>IF(F606="","PENDING",IF(E606=F606,"AGREE","DISAGREE"))</x:f>
        <x:v>PENDING</x:v>
      </x:c>
      <x:c r="H606" s="16" t="str">
        <x:v>N</x:v>
      </x:c>
      <x:c r="I606" s="16" t="str">
        <x:f>Coder_A!F606</x:f>
        <x:v>Sec. 3 Datasets; Appendix A; Table 2; Table 1; Appendix B</x:v>
      </x:c>
      <x:c r="J606" s="16" t="n">
        <x:f>Coder_B!F606</x:f>
        <x:v>0</x:v>
      </x:c>
    </x:row>
    <x:row r="607">
      <x:c r="A607" s="16" t="n">
        <x:v>606</x:v>
      </x:c>
      <x:c r="B607" s="16" t="str">
        <x:v>EXPERIMENT</x:v>
      </x:c>
      <x:c r="C607" s="16" t="str">
        <x:f>Coder_A!C607</x:f>
        <x:v>PILOT_01_E08</x:v>
      </x:c>
      <x:c r="D607" s="16" t="str">
        <x:v>multi_skill_present</x:v>
      </x:c>
      <x:c r="E607" s="16" t="str">
        <x:f>Coder_A!E607</x:f>
        <x:v>UNCLEAR</x:v>
      </x:c>
      <x:c r="F607" s="16" t="n">
        <x:f>Coder_B!E607</x:f>
        <x:v>0</x:v>
      </x:c>
      <x:c r="G607" s="16" t="str">
        <x:f>IF(F607="","PENDING",IF(E607=F607,"AGREE","DISAGREE"))</x:f>
        <x:v>PENDING</x:v>
      </x:c>
      <x:c r="H607" s="16" t="str">
        <x:v>Y</x:v>
      </x:c>
      <x:c r="I607" s="16" t="str">
        <x:f>Coder_A!F607</x:f>
        <x:v>Sec. 3 Datasets; Appendix A; Table 2; Table 1; Appendix B</x:v>
      </x:c>
      <x:c r="J607" s="16" t="n">
        <x:f>Coder_B!F607</x:f>
        <x:v>0</x:v>
      </x:c>
    </x:row>
    <x:row r="608">
      <x:c r="A608" s="16" t="n">
        <x:v>607</x:v>
      </x:c>
      <x:c r="B608" s="16" t="str">
        <x:v>EXPERIMENT</x:v>
      </x:c>
      <x:c r="C608" s="16" t="str">
        <x:f>Coder_A!C608</x:f>
        <x:v>PILOT_01_E08</x:v>
      </x:c>
      <x:c r="D608" s="16" t="str">
        <x:v>multi_skill_handling</x:v>
      </x:c>
      <x:c r="E608" s="16" t="str">
        <x:f>Coder_A!E608</x:f>
        <x:v>Combine simultaneous answer logs into one; extract named skill tags</x:v>
      </x:c>
      <x:c r="F608" s="16" t="n">
        <x:f>Coder_B!E608</x:f>
        <x:v>0</x:v>
      </x:c>
      <x:c r="G608" s="16" t="str">
        <x:f>IF(F608="","PENDING",IF(E608=F608,"AGREE","DISAGREE"))</x:f>
        <x:v>PENDING</x:v>
      </x:c>
      <x:c r="H608" s="16" t="str">
        <x:v>N</x:v>
      </x:c>
      <x:c r="I608" s="16" t="str">
        <x:f>Coder_A!F608</x:f>
        <x:v>Sec. 3 Datasets; Appendix A; Table 2; Table 1; Appendix B</x:v>
      </x:c>
      <x:c r="J608" s="16" t="n">
        <x:f>Coder_B!F608</x:f>
        <x:v>0</x:v>
      </x:c>
    </x:row>
    <x:row r="609">
      <x:c r="A609" s="16" t="n">
        <x:v>608</x:v>
      </x:c>
      <x:c r="B609" s="16" t="str">
        <x:v>EXPERIMENT</x:v>
      </x:c>
      <x:c r="C609" s="16" t="str">
        <x:f>Coder_A!C609</x:f>
        <x:v>PILOT_01_E08</x:v>
      </x:c>
      <x:c r="D609" s="16" t="str">
        <x:v>sequence_truncation</x:v>
      </x:c>
      <x:c r="E609" s="16" t="str">
        <x:f>Coder_A!E609</x:f>
        <x:v>NR</x:v>
      </x:c>
      <x:c r="F609" s="16" t="n">
        <x:f>Coder_B!E609</x:f>
        <x:v>0</x:v>
      </x:c>
      <x:c r="G609" s="16" t="str">
        <x:f>IF(F609="","PENDING",IF(E609=F609,"AGREE","DISAGREE"))</x:f>
        <x:v>PENDING</x:v>
      </x:c>
      <x:c r="H609" s="16" t="str">
        <x:v>N</x:v>
      </x:c>
      <x:c r="I609" s="16" t="str">
        <x:f>Coder_A!F609</x:f>
        <x:v>Sec. 3 Datasets; Appendix A; Table 2; Table 1; Appendix B</x:v>
      </x:c>
      <x:c r="J609" s="16" t="n">
        <x:f>Coder_B!F609</x:f>
        <x:v>0</x:v>
      </x:c>
    </x:row>
    <x:row r="610">
      <x:c r="A610" s="16" t="n">
        <x:v>609</x:v>
      </x:c>
      <x:c r="B610" s="16" t="str">
        <x:v>EXPERIMENT</x:v>
      </x:c>
      <x:c r="C610" s="16" t="str">
        <x:f>Coder_A!C610</x:f>
        <x:v>PILOT_01_E08</x:v>
      </x:c>
      <x:c r="D610" s="16" t="str">
        <x:v>min_sequence_filter</x:v>
      </x:c>
      <x:c r="E610" s="16" t="str">
        <x:f>Coder_A!E610</x:f>
        <x:v>NR</x:v>
      </x:c>
      <x:c r="F610" s="16" t="n">
        <x:f>Coder_B!E610</x:f>
        <x:v>0</x:v>
      </x:c>
      <x:c r="G610" s="16" t="str">
        <x:f>IF(F610="","PENDING",IF(E610=F610,"AGREE","DISAGREE"))</x:f>
        <x:v>PENDING</x:v>
      </x:c>
      <x:c r="H610" s="16" t="str">
        <x:v>N</x:v>
      </x:c>
      <x:c r="I610" s="16" t="str">
        <x:f>Coder_A!F610</x:f>
        <x:v>Sec. 3 Datasets; Appendix A; Table 2; Table 1; Appendix B</x:v>
      </x:c>
      <x:c r="J610" s="16" t="n">
        <x:f>Coder_B!F610</x:f>
        <x:v>0</x:v>
      </x:c>
    </x:row>
    <x:row r="611">
      <x:c r="A611" s="16" t="n">
        <x:v>610</x:v>
      </x:c>
      <x:c r="B611" s="16" t="str">
        <x:v>EXPERIMENT</x:v>
      </x:c>
      <x:c r="C611" s="16" t="str">
        <x:f>Coder_A!C611</x:f>
        <x:v>PILOT_01_E08</x:v>
      </x:c>
      <x:c r="D611" s="16" t="str">
        <x:v>timestamp_used</x:v>
      </x:c>
      <x:c r="E611" s="16" t="str">
        <x:f>Coder_A!E611</x:f>
        <x:v>UNCLEAR</x:v>
      </x:c>
      <x:c r="F611" s="16" t="n">
        <x:f>Coder_B!E611</x:f>
        <x:v>0</x:v>
      </x:c>
      <x:c r="G611" s="16" t="str">
        <x:f>IF(F611="","PENDING",IF(E611=F611,"AGREE","DISAGREE"))</x:f>
        <x:v>PENDING</x:v>
      </x:c>
      <x:c r="H611" s="16" t="str">
        <x:v>Y</x:v>
      </x:c>
      <x:c r="I611" s="16" t="str">
        <x:f>Coder_A!F611</x:f>
        <x:v>Sec. 3 Datasets; Appendix A; Table 2; Table 1; Appendix B</x:v>
      </x:c>
      <x:c r="J611" s="16" t="n">
        <x:f>Coder_B!F611</x:f>
        <x:v>0</x:v>
      </x:c>
    </x:row>
    <x:row r="612">
      <x:c r="A612" s="16" t="n">
        <x:v>611</x:v>
      </x:c>
      <x:c r="B612" s="16" t="str">
        <x:v>EXPERIMENT</x:v>
      </x:c>
      <x:c r="C612" s="16" t="str">
        <x:f>Coder_A!C612</x:f>
        <x:v>PILOT_01_E08</x:v>
      </x:c>
      <x:c r="D612" s="16" t="str">
        <x:v>preprocessing_code_available</x:v>
      </x:c>
      <x:c r="E612" s="16" t="str">
        <x:f>Coder_A!E612</x:f>
        <x:v>NR</x:v>
      </x:c>
      <x:c r="F612" s="16" t="n">
        <x:f>Coder_B!E612</x:f>
        <x:v>0</x:v>
      </x:c>
      <x:c r="G612" s="16" t="str">
        <x:f>IF(F612="","PENDING",IF(E612=F612,"AGREE","DISAGREE"))</x:f>
        <x:v>PENDING</x:v>
      </x:c>
      <x:c r="H612" s="16" t="str">
        <x:v>Y</x:v>
      </x:c>
      <x:c r="I612" s="16" t="str">
        <x:f>Coder_A!F612</x:f>
        <x:v>Sec. 3 Datasets; Appendix A; Table 2; Table 1; Appendix B</x:v>
      </x:c>
      <x:c r="J612" s="16" t="n">
        <x:f>Coder_B!F612</x:f>
        <x:v>0</x:v>
      </x:c>
    </x:row>
    <x:row r="613">
      <x:c r="A613" s="16" t="n">
        <x:v>612</x:v>
      </x:c>
      <x:c r="B613" s="16" t="str">
        <x:v>EXPERIMENT</x:v>
      </x:c>
      <x:c r="C613" s="16" t="str">
        <x:f>Coder_A!C613</x:f>
        <x:v>PILOT_01_E08</x:v>
      </x:c>
      <x:c r="D613" s="16" t="str">
        <x:v>split_type</x:v>
      </x:c>
      <x:c r="E613" s="16" t="str">
        <x:f>Coder_A!E613</x:f>
        <x:v>LEARNER_BASED</x:v>
      </x:c>
      <x:c r="F613" s="16" t="n">
        <x:f>Coder_B!E613</x:f>
        <x:v>0</x:v>
      </x:c>
      <x:c r="G613" s="16" t="str">
        <x:f>IF(F613="","PENDING",IF(E613=F613,"AGREE","DISAGREE"))</x:f>
        <x:v>PENDING</x:v>
      </x:c>
      <x:c r="H613" s="16" t="str">
        <x:v>Y</x:v>
      </x:c>
      <x:c r="I613" s="16" t="str">
        <x:f>Coder_A!F613</x:f>
        <x:v>Sec. 3 Datasets; Appendix A; Table 2; Table 1; Appendix B</x:v>
      </x:c>
      <x:c r="J613" s="16" t="n">
        <x:f>Coder_B!F613</x:f>
        <x:v>0</x:v>
      </x:c>
    </x:row>
    <x:row r="614">
      <x:c r="A614" s="16" t="n">
        <x:v>613</x:v>
      </x:c>
      <x:c r="B614" s="16" t="str">
        <x:v>EXPERIMENT</x:v>
      </x:c>
      <x:c r="C614" s="16" t="str">
        <x:f>Coder_A!C614</x:f>
        <x:v>PILOT_01_E08</x:v>
      </x:c>
      <x:c r="D614" s="16" t="str">
        <x:v>split_unit_original</x:v>
      </x:c>
      <x:c r="E614" s="16" t="str">
        <x:f>Coder_A!E614</x:f>
        <x:v>students</x:v>
      </x:c>
      <x:c r="F614" s="16" t="n">
        <x:f>Coder_B!E614</x:f>
        <x:v>0</x:v>
      </x:c>
      <x:c r="G614" s="16" t="str">
        <x:f>IF(F614="","PENDING",IF(E614=F614,"AGREE","DISAGREE"))</x:f>
        <x:v>PENDING</x:v>
      </x:c>
      <x:c r="H614" s="16" t="str">
        <x:v>N</x:v>
      </x:c>
      <x:c r="I614" s="16" t="str">
        <x:f>Coder_A!F614</x:f>
        <x:v>Sec. 3 Datasets; Appendix A; Table 2; Table 1; Appendix B</x:v>
      </x:c>
      <x:c r="J614" s="16" t="n">
        <x:f>Coder_B!F614</x:f>
        <x:v>0</x:v>
      </x:c>
    </x:row>
    <x:row r="615">
      <x:c r="A615" s="16" t="n">
        <x:v>614</x:v>
      </x:c>
      <x:c r="B615" s="16" t="str">
        <x:v>EXPERIMENT</x:v>
      </x:c>
      <x:c r="C615" s="16" t="str">
        <x:f>Coder_A!C615</x:f>
        <x:v>PILOT_01_E08</x:v>
      </x:c>
      <x:c r="D615" s="16" t="str">
        <x:v>train_fraction</x:v>
      </x:c>
      <x:c r="E615" s="16" t="n">
        <x:f>Coder_A!E615</x:f>
        <x:v>0.8</x:v>
      </x:c>
      <x:c r="F615" s="16" t="n">
        <x:f>Coder_B!E615</x:f>
        <x:v>0</x:v>
      </x:c>
      <x:c r="G615" s="16" t="str">
        <x:f>IF(F615="","PENDING",IF(E615=F615,"AGREE","DISAGREE"))</x:f>
        <x:v>PENDING</x:v>
      </x:c>
      <x:c r="H615" s="16" t="str">
        <x:v>N</x:v>
      </x:c>
      <x:c r="I615" s="16" t="str">
        <x:f>Coder_A!F615</x:f>
        <x:v>Sec. 3 Datasets; Appendix A; Table 2; Table 1; Appendix B</x:v>
      </x:c>
      <x:c r="J615" s="16" t="n">
        <x:f>Coder_B!F615</x:f>
        <x:v>0</x:v>
      </x:c>
    </x:row>
    <x:row r="616">
      <x:c r="A616" s="16" t="n">
        <x:v>615</x:v>
      </x:c>
      <x:c r="B616" s="16" t="str">
        <x:v>EXPERIMENT</x:v>
      </x:c>
      <x:c r="C616" s="16" t="str">
        <x:f>Coder_A!C616</x:f>
        <x:v>PILOT_01_E08</x:v>
      </x:c>
      <x:c r="D616" s="16" t="str">
        <x:v>validation_fraction</x:v>
      </x:c>
      <x:c r="E616" s="16" t="n">
        <x:f>Coder_A!E616</x:f>
        <x:v>0.1</x:v>
      </x:c>
      <x:c r="F616" s="16" t="n">
        <x:f>Coder_B!E616</x:f>
        <x:v>0</x:v>
      </x:c>
      <x:c r="G616" s="16" t="str">
        <x:f>IF(F616="","PENDING",IF(E616=F616,"AGREE","DISAGREE"))</x:f>
        <x:v>PENDING</x:v>
      </x:c>
      <x:c r="H616" s="16" t="str">
        <x:v>N</x:v>
      </x:c>
      <x:c r="I616" s="16" t="str">
        <x:f>Coder_A!F616</x:f>
        <x:v>Sec. 3 Datasets; Appendix A; Table 2; Table 1; Appendix B</x:v>
      </x:c>
      <x:c r="J616" s="16" t="n">
        <x:f>Coder_B!F616</x:f>
        <x:v>0</x:v>
      </x:c>
    </x:row>
    <x:row r="617">
      <x:c r="A617" s="16" t="n">
        <x:v>616</x:v>
      </x:c>
      <x:c r="B617" s="16" t="str">
        <x:v>EXPERIMENT</x:v>
      </x:c>
      <x:c r="C617" s="16" t="str">
        <x:f>Coder_A!C617</x:f>
        <x:v>PILOT_01_E08</x:v>
      </x:c>
      <x:c r="D617" s="16" t="str">
        <x:v>test_fraction</x:v>
      </x:c>
      <x:c r="E617" s="16" t="n">
        <x:f>Coder_A!E617</x:f>
        <x:v>0.1</x:v>
      </x:c>
      <x:c r="F617" s="16" t="n">
        <x:f>Coder_B!E617</x:f>
        <x:v>0</x:v>
      </x:c>
      <x:c r="G617" s="16" t="str">
        <x:f>IF(F617="","PENDING",IF(E617=F617,"AGREE","DISAGREE"))</x:f>
        <x:v>PENDING</x:v>
      </x:c>
      <x:c r="H617" s="16" t="str">
        <x:v>N</x:v>
      </x:c>
      <x:c r="I617" s="16" t="str">
        <x:f>Coder_A!F617</x:f>
        <x:v>Sec. 3 Datasets; Appendix A; Table 2; Table 1; Appendix B</x:v>
      </x:c>
      <x:c r="J617" s="16" t="n">
        <x:f>Coder_B!F617</x:f>
        <x:v>0</x:v>
      </x:c>
    </x:row>
    <x:row r="618">
      <x:c r="A618" s="16" t="n">
        <x:v>617</x:v>
      </x:c>
      <x:c r="B618" s="16" t="str">
        <x:v>EXPERIMENT</x:v>
      </x:c>
      <x:c r="C618" s="16" t="str">
        <x:f>Coder_A!C618</x:f>
        <x:v>PILOT_01_E08</x:v>
      </x:c>
      <x:c r="D618" s="16" t="str">
        <x:v>validation_set_separate</x:v>
      </x:c>
      <x:c r="E618" s="16" t="str">
        <x:f>Coder_A!E618</x:f>
        <x:v>Y</x:v>
      </x:c>
      <x:c r="F618" s="16" t="n">
        <x:f>Coder_B!E618</x:f>
        <x:v>0</x:v>
      </x:c>
      <x:c r="G618" s="16" t="str">
        <x:f>IF(F618="","PENDING",IF(E618=F618,"AGREE","DISAGREE"))</x:f>
        <x:v>PENDING</x:v>
      </x:c>
      <x:c r="H618" s="16" t="str">
        <x:v>Y</x:v>
      </x:c>
      <x:c r="I618" s="16" t="str">
        <x:f>Coder_A!F618</x:f>
        <x:v>Sec. 3 Datasets; Appendix A; Table 2; Table 1; Appendix B</x:v>
      </x:c>
      <x:c r="J618" s="16" t="n">
        <x:f>Coder_B!F618</x:f>
        <x:v>0</x:v>
      </x:c>
    </x:row>
    <x:row r="619">
      <x:c r="A619" s="16" t="n">
        <x:v>618</x:v>
      </x:c>
      <x:c r="B619" s="16" t="str">
        <x:v>EXPERIMENT</x:v>
      </x:c>
      <x:c r="C619" s="16" t="str">
        <x:f>Coder_A!C619</x:f>
        <x:v>PILOT_01_E08</x:v>
      </x:c>
      <x:c r="D619" s="16" t="str">
        <x:v>early_stopping_validation_only</x:v>
      </x:c>
      <x:c r="E619" s="16" t="str">
        <x:f>Coder_A!E619</x:f>
        <x:v>UNCLEAR</x:v>
      </x:c>
      <x:c r="F619" s="16" t="n">
        <x:f>Coder_B!E619</x:f>
        <x:v>0</x:v>
      </x:c>
      <x:c r="G619" s="16" t="str">
        <x:f>IF(F619="","PENDING",IF(E619=F619,"AGREE","DISAGREE"))</x:f>
        <x:v>PENDING</x:v>
      </x:c>
      <x:c r="H619" s="16" t="str">
        <x:v>Y</x:v>
      </x:c>
      <x:c r="I619" s="16" t="str">
        <x:f>Coder_A!F619</x:f>
        <x:v>Sec. 3 Datasets; Appendix A; Table 2; Table 1; Appendix B</x:v>
      </x:c>
      <x:c r="J619" s="16" t="n">
        <x:f>Coder_B!F619</x:f>
        <x:v>0</x:v>
      </x:c>
    </x:row>
    <x:row r="620">
      <x:c r="A620" s="16" t="n">
        <x:v>619</x:v>
      </x:c>
      <x:c r="B620" s="16" t="str">
        <x:v>EXPERIMENT</x:v>
      </x:c>
      <x:c r="C620" s="16" t="str">
        <x:f>Coder_A!C620</x:f>
        <x:v>PILOT_01_E08</x:v>
      </x:c>
      <x:c r="D620" s="16" t="str">
        <x:v>graph_train_only</x:v>
      </x:c>
      <x:c r="E620" s="16" t="str">
        <x:f>Coder_A!E620</x:f>
        <x:v>Y</x:v>
      </x:c>
      <x:c r="F620" s="16" t="n">
        <x:f>Coder_B!E620</x:f>
        <x:v>0</x:v>
      </x:c>
      <x:c r="G620" s="16" t="str">
        <x:f>IF(F620="","PENDING",IF(E620=F620,"AGREE","DISAGREE"))</x:f>
        <x:v>PENDING</x:v>
      </x:c>
      <x:c r="H620" s="16" t="str">
        <x:v>Y</x:v>
      </x:c>
      <x:c r="I620" s="16" t="str">
        <x:f>Coder_A!F620</x:f>
        <x:v>Sec. 3 Datasets; Appendix A; Table 2; Table 1; Appendix B</x:v>
      </x:c>
      <x:c r="J620" s="16" t="n">
        <x:f>Coder_B!F620</x:f>
        <x:v>0</x:v>
      </x:c>
    </x:row>
    <x:row r="621">
      <x:c r="A621" s="16" t="n">
        <x:v>620</x:v>
      </x:c>
      <x:c r="B621" s="16" t="str">
        <x:v>EXPERIMENT</x:v>
      </x:c>
      <x:c r="C621" s="16" t="str">
        <x:f>Coder_A!C621</x:f>
        <x:v>PILOT_01_E08</x:v>
      </x:c>
      <x:c r="D621" s="16" t="str">
        <x:v>normalization_train_only</x:v>
      </x:c>
      <x:c r="E621" s="16" t="str">
        <x:f>Coder_A!E621</x:f>
        <x:v>NR</x:v>
      </x:c>
      <x:c r="F621" s="16" t="n">
        <x:f>Coder_B!E621</x:f>
        <x:v>0</x:v>
      </x:c>
      <x:c r="G621" s="16" t="str">
        <x:f>IF(F621="","PENDING",IF(E621=F621,"AGREE","DISAGREE"))</x:f>
        <x:v>PENDING</x:v>
      </x:c>
      <x:c r="H621" s="16" t="str">
        <x:v>Y</x:v>
      </x:c>
      <x:c r="I621" s="16" t="str">
        <x:f>Coder_A!F621</x:f>
        <x:v>Sec. 3 Datasets; Appendix A; Table 2; Table 1; Appendix B</x:v>
      </x:c>
      <x:c r="J621" s="16" t="n">
        <x:f>Coder_B!F621</x:f>
        <x:v>0</x:v>
      </x:c>
    </x:row>
    <x:row r="622">
      <x:c r="A622" s="16" t="n">
        <x:v>621</x:v>
      </x:c>
      <x:c r="B622" s="16" t="str">
        <x:v>EXPERIMENT</x:v>
      </x:c>
      <x:c r="C622" s="16" t="str">
        <x:f>Coder_A!C622</x:f>
        <x:v>PILOT_01_E08</x:v>
      </x:c>
      <x:c r="D622" s="16" t="str">
        <x:v>sparse_strata_train_only</x:v>
      </x:c>
      <x:c r="E622" s="16" t="str">
        <x:f>Coder_A!E622</x:f>
        <x:v>NA</x:v>
      </x:c>
      <x:c r="F622" s="16" t="n">
        <x:f>Coder_B!E622</x:f>
        <x:v>0</x:v>
      </x:c>
      <x:c r="G622" s="16" t="str">
        <x:f>IF(F622="","PENDING",IF(E622=F622,"AGREE","DISAGREE"))</x:f>
        <x:v>PENDING</x:v>
      </x:c>
      <x:c r="H622" s="16" t="str">
        <x:v>Y</x:v>
      </x:c>
      <x:c r="I622" s="16" t="str">
        <x:f>Coder_A!F622</x:f>
        <x:v>Sec. 3 Datasets; Appendix A; Table 2; Table 1; Appendix B</x:v>
      </x:c>
      <x:c r="J622" s="16" t="n">
        <x:f>Coder_B!F622</x:f>
        <x:v>0</x:v>
      </x:c>
    </x:row>
    <x:row r="623">
      <x:c r="A623" s="16" t="n">
        <x:v>622</x:v>
      </x:c>
      <x:c r="B623" s="16" t="str">
        <x:v>EXPERIMENT</x:v>
      </x:c>
      <x:c r="C623" s="16" t="str">
        <x:f>Coder_A!C623</x:f>
        <x:v>PILOT_01_E08</x:v>
      </x:c>
      <x:c r="D623" s="16" t="str">
        <x:v>temporal_alignment_audited</x:v>
      </x:c>
      <x:c r="E623" s="16" t="str">
        <x:f>Coder_A!E623</x:f>
        <x:v>NR</x:v>
      </x:c>
      <x:c r="F623" s="16" t="n">
        <x:f>Coder_B!E623</x:f>
        <x:v>0</x:v>
      </x:c>
      <x:c r="G623" s="16" t="str">
        <x:f>IF(F623="","PENDING",IF(E623=F623,"AGREE","DISAGREE"))</x:f>
        <x:v>PENDING</x:v>
      </x:c>
      <x:c r="H623" s="16" t="str">
        <x:v>Y</x:v>
      </x:c>
      <x:c r="I623" s="16" t="str">
        <x:f>Coder_A!F623</x:f>
        <x:v>Sec. 3 Datasets; Appendix A; Table 2; Table 1; Appendix B</x:v>
      </x:c>
      <x:c r="J623" s="16" t="n">
        <x:f>Coder_B!F623</x:f>
        <x:v>0</x:v>
      </x:c>
    </x:row>
    <x:row r="624">
      <x:c r="A624" s="16" t="n">
        <x:v>623</x:v>
      </x:c>
      <x:c r="B624" s="16" t="str">
        <x:v>EXPERIMENT</x:v>
      </x:c>
      <x:c r="C624" s="16" t="str">
        <x:f>Coder_A!C624</x:f>
        <x:v>PILOT_01_E08</x:v>
      </x:c>
      <x:c r="D624" s="16" t="str">
        <x:v>duplicate_entity_leakage_checked</x:v>
      </x:c>
      <x:c r="E624" s="16" t="str">
        <x:f>Coder_A!E624</x:f>
        <x:v>NR</x:v>
      </x:c>
      <x:c r="F624" s="16" t="n">
        <x:f>Coder_B!E624</x:f>
        <x:v>0</x:v>
      </x:c>
      <x:c r="G624" s="16" t="str">
        <x:f>IF(F624="","PENDING",IF(E624=F624,"AGREE","DISAGREE"))</x:f>
        <x:v>PENDING</x:v>
      </x:c>
      <x:c r="H624" s="16" t="str">
        <x:v>Y</x:v>
      </x:c>
      <x:c r="I624" s="16" t="str">
        <x:f>Coder_A!F624</x:f>
        <x:v>Sec. 3 Datasets; Appendix A; Table 2; Table 1; Appendix B</x:v>
      </x:c>
      <x:c r="J624" s="16" t="n">
        <x:f>Coder_B!F624</x:f>
        <x:v>0</x:v>
      </x:c>
    </x:row>
    <x:row r="625">
      <x:c r="A625" s="16" t="n">
        <x:v>624</x:v>
      </x:c>
      <x:c r="B625" s="16" t="str">
        <x:v>EXPERIMENT</x:v>
      </x:c>
      <x:c r="C625" s="16" t="str">
        <x:f>Coder_A!C625</x:f>
        <x:v>PILOT_01_E08</x:v>
      </x:c>
      <x:c r="D625" s="16" t="str">
        <x:v>sparsity_construct</x:v>
      </x:c>
      <x:c r="E625" s="16" t="str">
        <x:f>Coder_A!E625</x:f>
        <x:v>NO_EXPLICIT_FOCUS</x:v>
      </x:c>
      <x:c r="F625" s="16" t="n">
        <x:f>Coder_B!E625</x:f>
        <x:v>0</x:v>
      </x:c>
      <x:c r="G625" s="16" t="str">
        <x:f>IF(F625="","PENDING",IF(E625=F625,"AGREE","DISAGREE"))</x:f>
        <x:v>PENDING</x:v>
      </x:c>
      <x:c r="H625" s="16" t="str">
        <x:v>Y</x:v>
      </x:c>
      <x:c r="I625" s="16" t="str">
        <x:f>Coder_A!F625</x:f>
        <x:v>Sec. 3 Datasets; Appendix A; Table 2; Table 1; Appendix B</x:v>
      </x:c>
      <x:c r="J625" s="16" t="n">
        <x:f>Coder_B!F625</x:f>
        <x:v>0</x:v>
      </x:c>
    </x:row>
    <x:row r="626">
      <x:c r="A626" s="16" t="n">
        <x:v>625</x:v>
      </x:c>
      <x:c r="B626" s="16" t="str">
        <x:v>EXPERIMENT</x:v>
      </x:c>
      <x:c r="C626" s="16" t="str">
        <x:f>Coder_A!C626</x:f>
        <x:v>PILOT_01_E08</x:v>
      </x:c>
      <x:c r="D626" s="16" t="str">
        <x:v>sparse_definition_original</x:v>
      </x:c>
      <x:c r="E626" s="16" t="str">
        <x:f>Coder_A!E626</x:f>
        <x:v>NA</x:v>
      </x:c>
      <x:c r="F626" s="16" t="n">
        <x:f>Coder_B!E626</x:f>
        <x:v>0</x:v>
      </x:c>
      <x:c r="G626" s="16" t="str">
        <x:f>IF(F626="","PENDING",IF(E626=F626,"AGREE","DISAGREE"))</x:f>
        <x:v>PENDING</x:v>
      </x:c>
      <x:c r="H626" s="16" t="str">
        <x:v>N</x:v>
      </x:c>
      <x:c r="I626" s="16" t="str">
        <x:f>Coder_A!F626</x:f>
        <x:v>Sec. 3 Datasets; Appendix A; Table 2; Table 1; Appendix B</x:v>
      </x:c>
      <x:c r="J626" s="16" t="n">
        <x:f>Coder_B!F626</x:f>
        <x:v>0</x:v>
      </x:c>
    </x:row>
    <x:row r="627">
      <x:c r="A627" s="16" t="n">
        <x:v>626</x:v>
      </x:c>
      <x:c r="B627" s="16" t="str">
        <x:v>EXPERIMENT</x:v>
      </x:c>
      <x:c r="C627" s="16" t="str">
        <x:f>Coder_A!C627</x:f>
        <x:v>PILOT_01_E08</x:v>
      </x:c>
      <x:c r="D627" s="16" t="str">
        <x:v>sparse_threshold_original</x:v>
      </x:c>
      <x:c r="E627" s="16" t="str">
        <x:f>Coder_A!E627</x:f>
        <x:v>NA</x:v>
      </x:c>
      <x:c r="F627" s="16" t="n">
        <x:f>Coder_B!E627</x:f>
        <x:v>0</x:v>
      </x:c>
      <x:c r="G627" s="16" t="str">
        <x:f>IF(F627="","PENDING",IF(E627=F627,"AGREE","DISAGREE"))</x:f>
        <x:v>PENDING</x:v>
      </x:c>
      <x:c r="H627" s="16" t="str">
        <x:v>N</x:v>
      </x:c>
      <x:c r="I627" s="16" t="str">
        <x:f>Coder_A!F627</x:f>
        <x:v>Sec. 3 Datasets; Appendix A; Table 2; Table 1; Appendix B</x:v>
      </x:c>
      <x:c r="J627" s="16" t="n">
        <x:f>Coder_B!F627</x:f>
        <x:v>0</x:v>
      </x:c>
    </x:row>
    <x:row r="628">
      <x:c r="A628" s="16" t="n">
        <x:v>627</x:v>
      </x:c>
      <x:c r="B628" s="16" t="str">
        <x:v>EXPERIMENT</x:v>
      </x:c>
      <x:c r="C628" s="16" t="str">
        <x:f>Coder_A!C628</x:f>
        <x:v>PILOT_01_E08</x:v>
      </x:c>
      <x:c r="D628" s="16" t="str">
        <x:v>threshold_source</x:v>
      </x:c>
      <x:c r="E628" s="16" t="str">
        <x:f>Coder_A!E628</x:f>
        <x:v>NA</x:v>
      </x:c>
      <x:c r="F628" s="16" t="n">
        <x:f>Coder_B!E628</x:f>
        <x:v>0</x:v>
      </x:c>
      <x:c r="G628" s="16" t="str">
        <x:f>IF(F628="","PENDING",IF(E628=F628,"AGREE","DISAGREE"))</x:f>
        <x:v>PENDING</x:v>
      </x:c>
      <x:c r="H628" s="16" t="str">
        <x:v>Y</x:v>
      </x:c>
      <x:c r="I628" s="16" t="str">
        <x:f>Coder_A!F628</x:f>
        <x:v>Sec. 3 Datasets; Appendix A; Table 2; Table 1; Appendix B</x:v>
      </x:c>
      <x:c r="J628" s="16" t="n">
        <x:f>Coder_B!F628</x:f>
        <x:v>0</x:v>
      </x:c>
    </x:row>
    <x:row r="629">
      <x:c r="A629" s="16" t="n">
        <x:v>628</x:v>
      </x:c>
      <x:c r="B629" s="16" t="str">
        <x:v>EXPERIMENT</x:v>
      </x:c>
      <x:c r="C629" s="16" t="str">
        <x:f>Coder_A!C629</x:f>
        <x:v>PILOT_01_E08</x:v>
      </x:c>
      <x:c r="D629" s="16" t="str">
        <x:v>frequency_computed_on</x:v>
      </x:c>
      <x:c r="E629" s="16" t="str">
        <x:f>Coder_A!E629</x:f>
        <x:v>NA</x:v>
      </x:c>
      <x:c r="F629" s="16" t="n">
        <x:f>Coder_B!E629</x:f>
        <x:v>0</x:v>
      </x:c>
      <x:c r="G629" s="16" t="str">
        <x:f>IF(F629="","PENDING",IF(E629=F629,"AGREE","DISAGREE"))</x:f>
        <x:v>PENDING</x:v>
      </x:c>
      <x:c r="H629" s="16" t="str">
        <x:v>Y</x:v>
      </x:c>
      <x:c r="I629" s="16" t="str">
        <x:f>Coder_A!F629</x:f>
        <x:v>Sec. 3 Datasets; Appendix A; Table 2; Table 1; Appendix B</x:v>
      </x:c>
      <x:c r="J629" s="16" t="n">
        <x:f>Coder_B!F629</x:f>
        <x:v>0</x:v>
      </x:c>
    </x:row>
    <x:row r="630">
      <x:c r="A630" s="16" t="n">
        <x:v>629</x:v>
      </x:c>
      <x:c r="B630" s="16" t="str">
        <x:v>EXPERIMENT</x:v>
      </x:c>
      <x:c r="C630" s="16" t="str">
        <x:f>Coder_A!C630</x:f>
        <x:v>PILOT_01_E08</x:v>
      </x:c>
      <x:c r="D630" s="16" t="str">
        <x:v>strict_zero_train_verified</x:v>
      </x:c>
      <x:c r="E630" s="16" t="str">
        <x:f>Coder_A!E630</x:f>
        <x:v>NA</x:v>
      </x:c>
      <x:c r="F630" s="16" t="n">
        <x:f>Coder_B!E630</x:f>
        <x:v>0</x:v>
      </x:c>
      <x:c r="G630" s="16" t="str">
        <x:f>IF(F630="","PENDING",IF(E630=F630,"AGREE","DISAGREE"))</x:f>
        <x:v>PENDING</x:v>
      </x:c>
      <x:c r="H630" s="16" t="str">
        <x:v>Y</x:v>
      </x:c>
      <x:c r="I630" s="16" t="str">
        <x:f>Coder_A!F630</x:f>
        <x:v>Sec. 3 Datasets; Appendix A; Table 2; Table 1; Appendix B</x:v>
      </x:c>
      <x:c r="J630" s="16" t="n">
        <x:f>Coder_B!F630</x:f>
        <x:v>0</x:v>
      </x:c>
    </x:row>
    <x:row r="631">
      <x:c r="A631" s="16" t="n">
        <x:v>630</x:v>
      </x:c>
      <x:c r="B631" s="16" t="str">
        <x:v>EXPERIMENT</x:v>
      </x:c>
      <x:c r="C631" s="16" t="str">
        <x:f>Coder_A!C631</x:f>
        <x:v>PILOT_01_E08</x:v>
      </x:c>
      <x:c r="D631" s="16" t="str">
        <x:v>external_info_for_unseen_kc</x:v>
      </x:c>
      <x:c r="E631" s="16" t="str">
        <x:f>Coder_A!E631</x:f>
        <x:v>NA</x:v>
      </x:c>
      <x:c r="F631" s="16" t="n">
        <x:f>Coder_B!E631</x:f>
        <x:v>0</x:v>
      </x:c>
      <x:c r="G631" s="16" t="str">
        <x:f>IF(F631="","PENDING",IF(E631=F631,"AGREE","DISAGREE"))</x:f>
        <x:v>PENDING</x:v>
      </x:c>
      <x:c r="H631" s="16" t="str">
        <x:v>Y</x:v>
      </x:c>
      <x:c r="I631" s="16" t="str">
        <x:f>Coder_A!F631</x:f>
        <x:v>Sec. 3 Datasets; Appendix A; Table 2; Table 1; Appendix B</x:v>
      </x:c>
      <x:c r="J631" s="16" t="n">
        <x:f>Coder_B!F631</x:f>
        <x:v>0</x:v>
      </x:c>
    </x:row>
    <x:row r="632">
      <x:c r="A632" s="16" t="n">
        <x:v>631</x:v>
      </x:c>
      <x:c r="B632" s="16" t="str">
        <x:v>EXPERIMENT</x:v>
      </x:c>
      <x:c r="C632" s="16" t="str">
        <x:f>Coder_A!C632</x:f>
        <x:v>PILOT_01_E08</x:v>
      </x:c>
      <x:c r="D632" s="16" t="str">
        <x:v>support_kcs</x:v>
      </x:c>
      <x:c r="E632" s="16" t="str">
        <x:f>Coder_A!E632</x:f>
        <x:v>NA</x:v>
      </x:c>
      <x:c r="F632" s="16" t="n">
        <x:f>Coder_B!E632</x:f>
        <x:v>0</x:v>
      </x:c>
      <x:c r="G632" s="16" t="str">
        <x:f>IF(F632="","PENDING",IF(E632=F632,"AGREE","DISAGREE"))</x:f>
        <x:v>PENDING</x:v>
      </x:c>
      <x:c r="H632" s="16" t="str">
        <x:v>N</x:v>
      </x:c>
      <x:c r="I632" s="16" t="str">
        <x:f>Coder_A!F632</x:f>
        <x:v>Sec. 3 Datasets; Appendix A; Table 2; Table 1; Appendix B</x:v>
      </x:c>
      <x:c r="J632" s="16" t="n">
        <x:f>Coder_B!F632</x:f>
        <x:v>0</x:v>
      </x:c>
    </x:row>
    <x:row r="633">
      <x:c r="A633" s="16" t="n">
        <x:v>632</x:v>
      </x:c>
      <x:c r="B633" s="16" t="str">
        <x:v>EXPERIMENT</x:v>
      </x:c>
      <x:c r="C633" s="16" t="str">
        <x:f>Coder_A!C633</x:f>
        <x:v>PILOT_01_E08</x:v>
      </x:c>
      <x:c r="D633" s="16" t="str">
        <x:v>support_learners</x:v>
      </x:c>
      <x:c r="E633" s="16" t="str">
        <x:f>Coder_A!E633</x:f>
        <x:v>NA</x:v>
      </x:c>
      <x:c r="F633" s="16" t="n">
        <x:f>Coder_B!E633</x:f>
        <x:v>0</x:v>
      </x:c>
      <x:c r="G633" s="16" t="str">
        <x:f>IF(F633="","PENDING",IF(E633=F633,"AGREE","DISAGREE"))</x:f>
        <x:v>PENDING</x:v>
      </x:c>
      <x:c r="H633" s="16" t="str">
        <x:v>N</x:v>
      </x:c>
      <x:c r="I633" s="16" t="str">
        <x:f>Coder_A!F633</x:f>
        <x:v>Sec. 3 Datasets; Appendix A; Table 2; Table 1; Appendix B</x:v>
      </x:c>
      <x:c r="J633" s="16" t="n">
        <x:f>Coder_B!F633</x:f>
        <x:v>0</x:v>
      </x:c>
    </x:row>
    <x:row r="634">
      <x:c r="A634" s="16" t="n">
        <x:v>633</x:v>
      </x:c>
      <x:c r="B634" s="16" t="str">
        <x:v>EXPERIMENT</x:v>
      </x:c>
      <x:c r="C634" s="16" t="str">
        <x:f>Coder_A!C634</x:f>
        <x:v>PILOT_01_E08</x:v>
      </x:c>
      <x:c r="D634" s="16" t="str">
        <x:v>support_items</x:v>
      </x:c>
      <x:c r="E634" s="16" t="str">
        <x:f>Coder_A!E634</x:f>
        <x:v>NA</x:v>
      </x:c>
      <x:c r="F634" s="16" t="n">
        <x:f>Coder_B!E634</x:f>
        <x:v>0</x:v>
      </x:c>
      <x:c r="G634" s="16" t="str">
        <x:f>IF(F634="","PENDING",IF(E634=F634,"AGREE","DISAGREE"))</x:f>
        <x:v>PENDING</x:v>
      </x:c>
      <x:c r="H634" s="16" t="str">
        <x:v>N</x:v>
      </x:c>
      <x:c r="I634" s="16" t="str">
        <x:f>Coder_A!F634</x:f>
        <x:v>Sec. 3 Datasets; Appendix A; Table 2; Table 1; Appendix B</x:v>
      </x:c>
      <x:c r="J634" s="16" t="n">
        <x:f>Coder_B!F634</x:f>
        <x:v>0</x:v>
      </x:c>
    </x:row>
    <x:row r="635">
      <x:c r="A635" s="16" t="n">
        <x:v>634</x:v>
      </x:c>
      <x:c r="B635" s="16" t="str">
        <x:v>EXPERIMENT</x:v>
      </x:c>
      <x:c r="C635" s="16" t="str">
        <x:f>Coder_A!C635</x:f>
        <x:v>PILOT_01_E08</x:v>
      </x:c>
      <x:c r="D635" s="16" t="str">
        <x:v>support_test_interactions</x:v>
      </x:c>
      <x:c r="E635" s="16" t="str">
        <x:f>Coder_A!E635</x:f>
        <x:v>NA</x:v>
      </x:c>
      <x:c r="F635" s="16" t="n">
        <x:f>Coder_B!E635</x:f>
        <x:v>0</x:v>
      </x:c>
      <x:c r="G635" s="16" t="str">
        <x:f>IF(F635="","PENDING",IF(E635=F635,"AGREE","DISAGREE"))</x:f>
        <x:v>PENDING</x:v>
      </x:c>
      <x:c r="H635" s="16" t="str">
        <x:v>N</x:v>
      </x:c>
      <x:c r="I635" s="16" t="str">
        <x:f>Coder_A!F635</x:f>
        <x:v>Sec. 3 Datasets; Appendix A; Table 2; Table 1; Appendix B</x:v>
      </x:c>
      <x:c r="J635" s="16" t="n">
        <x:f>Coder_B!F635</x:f>
        <x:v>0</x:v>
      </x:c>
    </x:row>
    <x:row r="636">
      <x:c r="A636" s="16" t="n">
        <x:v>635</x:v>
      </x:c>
      <x:c r="B636" s="16" t="str">
        <x:v>EXPERIMENT</x:v>
      </x:c>
      <x:c r="C636" s="16" t="str">
        <x:f>Coder_A!C636</x:f>
        <x:v>PILOT_01_E08</x:v>
      </x:c>
      <x:c r="D636" s="16" t="str">
        <x:v>positive_count</x:v>
      </x:c>
      <x:c r="E636" s="16" t="str">
        <x:f>Coder_A!E636</x:f>
        <x:v>NA</x:v>
      </x:c>
      <x:c r="F636" s="16" t="n">
        <x:f>Coder_B!E636</x:f>
        <x:v>0</x:v>
      </x:c>
      <x:c r="G636" s="16" t="str">
        <x:f>IF(F636="","PENDING",IF(E636=F636,"AGREE","DISAGREE"))</x:f>
        <x:v>PENDING</x:v>
      </x:c>
      <x:c r="H636" s="16" t="str">
        <x:v>N</x:v>
      </x:c>
      <x:c r="I636" s="16" t="str">
        <x:f>Coder_A!F636</x:f>
        <x:v>Sec. 3 Datasets; Appendix A; Table 2; Table 1; Appendix B</x:v>
      </x:c>
      <x:c r="J636" s="16" t="n">
        <x:f>Coder_B!F636</x:f>
        <x:v>0</x:v>
      </x:c>
    </x:row>
    <x:row r="637">
      <x:c r="A637" s="16" t="n">
        <x:v>636</x:v>
      </x:c>
      <x:c r="B637" s="16" t="str">
        <x:v>EXPERIMENT</x:v>
      </x:c>
      <x:c r="C637" s="16" t="str">
        <x:f>Coder_A!C637</x:f>
        <x:v>PILOT_01_E08</x:v>
      </x:c>
      <x:c r="D637" s="16" t="str">
        <x:v>negative_count</x:v>
      </x:c>
      <x:c r="E637" s="16" t="str">
        <x:f>Coder_A!E637</x:f>
        <x:v>NA</x:v>
      </x:c>
      <x:c r="F637" s="16" t="n">
        <x:f>Coder_B!E637</x:f>
        <x:v>0</x:v>
      </x:c>
      <x:c r="G637" s="16" t="str">
        <x:f>IF(F637="","PENDING",IF(E637=F637,"AGREE","DISAGREE"))</x:f>
        <x:v>PENDING</x:v>
      </x:c>
      <x:c r="H637" s="16" t="str">
        <x:v>N</x:v>
      </x:c>
      <x:c r="I637" s="16" t="str">
        <x:f>Coder_A!F637</x:f>
        <x:v>Sec. 3 Datasets; Appendix A; Table 2; Table 1; Appendix B</x:v>
      </x:c>
      <x:c r="J637" s="16" t="n">
        <x:f>Coder_B!F637</x:f>
        <x:v>0</x:v>
      </x:c>
    </x:row>
    <x:row r="638">
      <x:c r="A638" s="16" t="n">
        <x:v>637</x:v>
      </x:c>
      <x:c r="B638" s="16" t="str">
        <x:v>EXPERIMENT</x:v>
      </x:c>
      <x:c r="C638" s="16" t="str">
        <x:f>Coder_A!C638</x:f>
        <x:v>PILOT_01_E08</x:v>
      </x:c>
      <x:c r="D638" s="16" t="str">
        <x:v>metric_name_original</x:v>
      </x:c>
      <x:c r="E638" s="16" t="str">
        <x:f>Coder_A!E638</x:f>
        <x:v>AUC</x:v>
      </x:c>
      <x:c r="F638" s="16" t="n">
        <x:f>Coder_B!E638</x:f>
        <x:v>0</x:v>
      </x:c>
      <x:c r="G638" s="16" t="str">
        <x:f>IF(F638="","PENDING",IF(E638=F638,"AGREE","DISAGREE"))</x:f>
        <x:v>PENDING</x:v>
      </x:c>
      <x:c r="H638" s="16" t="str">
        <x:v>N</x:v>
      </x:c>
      <x:c r="I638" s="16" t="str">
        <x:f>Coder_A!F638</x:f>
        <x:v>Sec. 3 Datasets; Appendix A; Table 2; Table 1; Appendix B</x:v>
      </x:c>
      <x:c r="J638" s="16" t="n">
        <x:f>Coder_B!F638</x:f>
        <x:v>0</x:v>
      </x:c>
    </x:row>
    <x:row r="639">
      <x:c r="A639" s="16" t="n">
        <x:v>638</x:v>
      </x:c>
      <x:c r="B639" s="16" t="str">
        <x:v>EXPERIMENT</x:v>
      </x:c>
      <x:c r="C639" s="16" t="str">
        <x:f>Coder_A!C639</x:f>
        <x:v>PILOT_01_E08</x:v>
      </x:c>
      <x:c r="D639" s="16" t="str">
        <x:v>metric_value_original</x:v>
      </x:c>
      <x:c r="E639" s="16" t="n">
        <x:f>Coder_A!E639</x:f>
        <x:v>0.762</x:v>
      </x:c>
      <x:c r="F639" s="16" t="n">
        <x:f>Coder_B!E639</x:f>
        <x:v>0</x:v>
      </x:c>
      <x:c r="G639" s="16" t="str">
        <x:f>IF(F639="","PENDING",IF(E639=F639,"AGREE","DISAGREE"))</x:f>
        <x:v>PENDING</x:v>
      </x:c>
      <x:c r="H639" s="16" t="str">
        <x:v>N</x:v>
      </x:c>
      <x:c r="I639" s="16" t="str">
        <x:f>Coder_A!F639</x:f>
        <x:v>Sec. 3 Datasets; Appendix A; Table 2; Table 1; Appendix B</x:v>
      </x:c>
      <x:c r="J639" s="16" t="n">
        <x:f>Coder_B!F639</x:f>
        <x:v>0</x:v>
      </x:c>
    </x:row>
    <x:row r="640">
      <x:c r="A640" s="16" t="n">
        <x:v>639</x:v>
      </x:c>
      <x:c r="B640" s="16" t="str">
        <x:v>EXPERIMENT</x:v>
      </x:c>
      <x:c r="C640" s="16" t="str">
        <x:f>Coder_A!C640</x:f>
        <x:v>PILOT_01_E08</x:v>
      </x:c>
      <x:c r="D640" s="16" t="str">
        <x:v>metric_scope</x:v>
      </x:c>
      <x:c r="E640" s="16" t="str">
        <x:f>Coder_A!E640</x:f>
        <x:v>OVERALL</x:v>
      </x:c>
      <x:c r="F640" s="16" t="n">
        <x:f>Coder_B!E640</x:f>
        <x:v>0</x:v>
      </x:c>
      <x:c r="G640" s="16" t="str">
        <x:f>IF(F640="","PENDING",IF(E640=F640,"AGREE","DISAGREE"))</x:f>
        <x:v>PENDING</x:v>
      </x:c>
      <x:c r="H640" s="16" t="str">
        <x:v>Y</x:v>
      </x:c>
      <x:c r="I640" s="16" t="str">
        <x:f>Coder_A!F640</x:f>
        <x:v>Sec. 3 Datasets; Appendix A; Table 2; Table 1; Appendix B</x:v>
      </x:c>
      <x:c r="J640" s="16" t="n">
        <x:f>Coder_B!F640</x:f>
        <x:v>0</x:v>
      </x:c>
    </x:row>
    <x:row r="641">
      <x:c r="A641" s="16" t="n">
        <x:v>640</x:v>
      </x:c>
      <x:c r="B641" s="16" t="str">
        <x:v>EXPERIMENT</x:v>
      </x:c>
      <x:c r="C641" s="16" t="str">
        <x:f>Coder_A!C641</x:f>
        <x:v>PILOT_01_E08</x:v>
      </x:c>
      <x:c r="D641" s="16" t="str">
        <x:v>n_seeds</x:v>
      </x:c>
      <x:c r="E641" s="16" t="str">
        <x:f>Coder_A!E641</x:f>
        <x:v>NR</x:v>
      </x:c>
      <x:c r="F641" s="16" t="n">
        <x:f>Coder_B!E641</x:f>
        <x:v>0</x:v>
      </x:c>
      <x:c r="G641" s="16" t="str">
        <x:f>IF(F641="","PENDING",IF(E641=F641,"AGREE","DISAGREE"))</x:f>
        <x:v>PENDING</x:v>
      </x:c>
      <x:c r="H641" s="16" t="str">
        <x:v>N</x:v>
      </x:c>
      <x:c r="I641" s="16" t="str">
        <x:f>Coder_A!F641</x:f>
        <x:v>Sec. 3 Datasets; Appendix A; Table 2; Table 1; Appendix B</x:v>
      </x:c>
      <x:c r="J641" s="16" t="n">
        <x:f>Coder_B!F641</x:f>
        <x:v>0</x:v>
      </x:c>
    </x:row>
    <x:row r="642">
      <x:c r="A642" s="16" t="n">
        <x:v>641</x:v>
      </x:c>
      <x:c r="B642" s="16" t="str">
        <x:v>EXPERIMENT</x:v>
      </x:c>
      <x:c r="C642" s="16" t="str">
        <x:f>Coder_A!C642</x:f>
        <x:v>PILOT_01_E08</x:v>
      </x:c>
      <x:c r="D642" s="16" t="str">
        <x:v>seed_values_reported</x:v>
      </x:c>
      <x:c r="E642" s="16" t="str">
        <x:f>Coder_A!E642</x:f>
        <x:v>NR</x:v>
      </x:c>
      <x:c r="F642" s="16" t="n">
        <x:f>Coder_B!E642</x:f>
        <x:v>0</x:v>
      </x:c>
      <x:c r="G642" s="16" t="str">
        <x:f>IF(F642="","PENDING",IF(E642=F642,"AGREE","DISAGREE"))</x:f>
        <x:v>PENDING</x:v>
      </x:c>
      <x:c r="H642" s="16" t="str">
        <x:v>N</x:v>
      </x:c>
      <x:c r="I642" s="16" t="str">
        <x:f>Coder_A!F642</x:f>
        <x:v>Sec. 3 Datasets; Appendix A; Table 2; Table 1; Appendix B</x:v>
      </x:c>
      <x:c r="J642" s="16" t="n">
        <x:f>Coder_B!F642</x:f>
        <x:v>0</x:v>
      </x:c>
    </x:row>
    <x:row r="643">
      <x:c r="A643" s="16" t="n">
        <x:v>642</x:v>
      </x:c>
      <x:c r="B643" s="16" t="str">
        <x:v>EXPERIMENT</x:v>
      </x:c>
      <x:c r="C643" s="16" t="str">
        <x:f>Coder_A!C643</x:f>
        <x:v>PILOT_01_E08</x:v>
      </x:c>
      <x:c r="D643" s="16" t="str">
        <x:v>mean_std_reported</x:v>
      </x:c>
      <x:c r="E643" s="16" t="str">
        <x:f>Coder_A!E643</x:f>
        <x:v>N</x:v>
      </x:c>
      <x:c r="F643" s="16" t="n">
        <x:f>Coder_B!E643</x:f>
        <x:v>0</x:v>
      </x:c>
      <x:c r="G643" s="16" t="str">
        <x:f>IF(F643="","PENDING",IF(E643=F643,"AGREE","DISAGREE"))</x:f>
        <x:v>PENDING</x:v>
      </x:c>
      <x:c r="H643" s="16" t="str">
        <x:v>Y</x:v>
      </x:c>
      <x:c r="I643" s="16" t="str">
        <x:f>Coder_A!F643</x:f>
        <x:v>Sec. 3 Datasets; Appendix A; Table 2; Table 1; Appendix B</x:v>
      </x:c>
      <x:c r="J643" s="16" t="n">
        <x:f>Coder_B!F643</x:f>
        <x:v>0</x:v>
      </x:c>
    </x:row>
    <x:row r="644">
      <x:c r="A644" s="16" t="n">
        <x:v>643</x:v>
      </x:c>
      <x:c r="B644" s="16" t="str">
        <x:v>EXPERIMENT</x:v>
      </x:c>
      <x:c r="C644" s="16" t="str">
        <x:f>Coder_A!C644</x:f>
        <x:v>PILOT_01_E08</x:v>
      </x:c>
      <x:c r="D644" s="16" t="str">
        <x:v>confidence_interval</x:v>
      </x:c>
      <x:c r="E644" s="16" t="str">
        <x:f>Coder_A!E644</x:f>
        <x:v>NR</x:v>
      </x:c>
      <x:c r="F644" s="16" t="n">
        <x:f>Coder_B!E644</x:f>
        <x:v>0</x:v>
      </x:c>
      <x:c r="G644" s="16" t="str">
        <x:f>IF(F644="","PENDING",IF(E644=F644,"AGREE","DISAGREE"))</x:f>
        <x:v>PENDING</x:v>
      </x:c>
      <x:c r="H644" s="16" t="str">
        <x:v>N</x:v>
      </x:c>
      <x:c r="I644" s="16" t="str">
        <x:f>Coder_A!F644</x:f>
        <x:v>Sec. 3 Datasets; Appendix A; Table 2; Table 1; Appendix B</x:v>
      </x:c>
      <x:c r="J644" s="16" t="n">
        <x:f>Coder_B!F644</x:f>
        <x:v>0</x:v>
      </x:c>
    </x:row>
    <x:row r="645">
      <x:c r="A645" s="16" t="n">
        <x:v>644</x:v>
      </x:c>
      <x:c r="B645" s="16" t="str">
        <x:v>EXPERIMENT</x:v>
      </x:c>
      <x:c r="C645" s="16" t="str">
        <x:f>Coder_A!C645</x:f>
        <x:v>PILOT_01_E08</x:v>
      </x:c>
      <x:c r="D645" s="16" t="str">
        <x:v>bootstrap_unit</x:v>
      </x:c>
      <x:c r="E645" s="16" t="str">
        <x:f>Coder_A!E645</x:f>
        <x:v>NA</x:v>
      </x:c>
      <x:c r="F645" s="16" t="n">
        <x:f>Coder_B!E645</x:f>
        <x:v>0</x:v>
      </x:c>
      <x:c r="G645" s="16" t="str">
        <x:f>IF(F645="","PENDING",IF(E645=F645,"AGREE","DISAGREE"))</x:f>
        <x:v>PENDING</x:v>
      </x:c>
      <x:c r="H645" s="16" t="str">
        <x:v>Y</x:v>
      </x:c>
      <x:c r="I645" s="16" t="str">
        <x:f>Coder_A!F645</x:f>
        <x:v>Sec. 3 Datasets; Appendix A; Table 2; Table 1; Appendix B</x:v>
      </x:c>
      <x:c r="J645" s="16" t="n">
        <x:f>Coder_B!F645</x:f>
        <x:v>0</x:v>
      </x:c>
    </x:row>
    <x:row r="646">
      <x:c r="A646" s="16" t="n">
        <x:v>645</x:v>
      </x:c>
      <x:c r="B646" s="16" t="str">
        <x:v>EXPERIMENT</x:v>
      </x:c>
      <x:c r="C646" s="16" t="str">
        <x:f>Coder_A!C646</x:f>
        <x:v>PILOT_01_E08</x:v>
      </x:c>
      <x:c r="D646" s="16" t="str">
        <x:v>statistical_test</x:v>
      </x:c>
      <x:c r="E646" s="16" t="str">
        <x:f>Coder_A!E646</x:f>
        <x:v>NR</x:v>
      </x:c>
      <x:c r="F646" s="16" t="n">
        <x:f>Coder_B!E646</x:f>
        <x:v>0</x:v>
      </x:c>
      <x:c r="G646" s="16" t="str">
        <x:f>IF(F646="","PENDING",IF(E646=F646,"AGREE","DISAGREE"))</x:f>
        <x:v>PENDING</x:v>
      </x:c>
      <x:c r="H646" s="16" t="str">
        <x:v>N</x:v>
      </x:c>
      <x:c r="I646" s="16" t="str">
        <x:f>Coder_A!F646</x:f>
        <x:v>Sec. 3 Datasets; Appendix A; Table 2; Table 1; Appendix B</x:v>
      </x:c>
      <x:c r="J646" s="16" t="n">
        <x:f>Coder_B!F646</x:f>
        <x:v>0</x:v>
      </x:c>
    </x:row>
    <x:row r="647">
      <x:c r="A647" s="16" t="n">
        <x:v>646</x:v>
      </x:c>
      <x:c r="B647" s="16" t="str">
        <x:v>EXPERIMENT</x:v>
      </x:c>
      <x:c r="C647" s="16" t="str">
        <x:f>Coder_A!C647</x:f>
        <x:v>PILOT_01_E08</x:v>
      </x:c>
      <x:c r="D647" s="16" t="str">
        <x:v>multiple_comparison_correction</x:v>
      </x:c>
      <x:c r="E647" s="16" t="str">
        <x:f>Coder_A!E647</x:f>
        <x:v>NR</x:v>
      </x:c>
      <x:c r="F647" s="16" t="n">
        <x:f>Coder_B!E647</x:f>
        <x:v>0</x:v>
      </x:c>
      <x:c r="G647" s="16" t="str">
        <x:f>IF(F647="","PENDING",IF(E647=F647,"AGREE","DISAGREE"))</x:f>
        <x:v>PENDING</x:v>
      </x:c>
      <x:c r="H647" s="16" t="str">
        <x:v>N</x:v>
      </x:c>
      <x:c r="I647" s="16" t="str">
        <x:f>Coder_A!F647</x:f>
        <x:v>Sec. 3 Datasets; Appendix A; Table 2; Table 1; Appendix B</x:v>
      </x:c>
      <x:c r="J647" s="16" t="n">
        <x:f>Coder_B!F647</x:f>
        <x:v>0</x:v>
      </x:c>
    </x:row>
    <x:row r="648">
      <x:c r="A648" s="16" t="n">
        <x:v>647</x:v>
      </x:c>
      <x:c r="B648" s="16" t="str">
        <x:v>EXPERIMENT</x:v>
      </x:c>
      <x:c r="C648" s="16" t="str">
        <x:f>Coder_A!C648</x:f>
        <x:v>PILOT_01_E08</x:v>
      </x:c>
      <x:c r="D648" s="16" t="str">
        <x:v>effect_size</x:v>
      </x:c>
      <x:c r="E648" s="16" t="str">
        <x:f>Coder_A!E648</x:f>
        <x:v>NR</x:v>
      </x:c>
      <x:c r="F648" s="16" t="n">
        <x:f>Coder_B!E648</x:f>
        <x:v>0</x:v>
      </x:c>
      <x:c r="G648" s="16" t="str">
        <x:f>IF(F648="","PENDING",IF(E648=F648,"AGREE","DISAGREE"))</x:f>
        <x:v>PENDING</x:v>
      </x:c>
      <x:c r="H648" s="16" t="str">
        <x:v>N</x:v>
      </x:c>
      <x:c r="I648" s="16" t="str">
        <x:f>Coder_A!F648</x:f>
        <x:v>Sec. 3 Datasets; Appendix A; Table 2; Table 1; Appendix B</x:v>
      </x:c>
      <x:c r="J648" s="16" t="n">
        <x:f>Coder_B!F648</x:f>
        <x:v>0</x:v>
      </x:c>
    </x:row>
    <x:row r="649">
      <x:c r="A649" s="16" t="n">
        <x:v>648</x:v>
      </x:c>
      <x:c r="B649" s="16" t="str">
        <x:v>EXPERIMENT</x:v>
      </x:c>
      <x:c r="C649" s="16" t="str">
        <x:f>Coder_A!C649</x:f>
        <x:v>PILOT_01_E08</x:v>
      </x:c>
      <x:c r="D649" s="16" t="str">
        <x:v>paired_design</x:v>
      </x:c>
      <x:c r="E649" s="16" t="str">
        <x:f>Coder_A!E649</x:f>
        <x:v>NR</x:v>
      </x:c>
      <x:c r="F649" s="16" t="n">
        <x:f>Coder_B!E649</x:f>
        <x:v>0</x:v>
      </x:c>
      <x:c r="G649" s="16" t="str">
        <x:f>IF(F649="","PENDING",IF(E649=F649,"AGREE","DISAGREE"))</x:f>
        <x:v>PENDING</x:v>
      </x:c>
      <x:c r="H649" s="16" t="str">
        <x:v>Y</x:v>
      </x:c>
      <x:c r="I649" s="16" t="str">
        <x:f>Coder_A!F649</x:f>
        <x:v>Sec. 3 Datasets; Appendix A; Table 2; Table 1; Appendix B</x:v>
      </x:c>
      <x:c r="J649" s="16" t="n">
        <x:f>Coder_B!F649</x:f>
        <x:v>0</x:v>
      </x:c>
    </x:row>
    <x:row r="650">
      <x:c r="A650" s="16" t="n">
        <x:v>649</x:v>
      </x:c>
      <x:c r="B650" s="16" t="str">
        <x:v>EXPERIMENT</x:v>
      </x:c>
      <x:c r="C650" s="16" t="str">
        <x:f>Coder_A!C650</x:f>
        <x:v>PILOT_01_E08</x:v>
      </x:c>
      <x:c r="D650" s="16" t="str">
        <x:v>significance_threshold</x:v>
      </x:c>
      <x:c r="E650" s="16" t="str">
        <x:f>Coder_A!E650</x:f>
        <x:v>NR</x:v>
      </x:c>
      <x:c r="F650" s="16" t="n">
        <x:f>Coder_B!E650</x:f>
        <x:v>0</x:v>
      </x:c>
      <x:c r="G650" s="16" t="str">
        <x:f>IF(F650="","PENDING",IF(E650=F650,"AGREE","DISAGREE"))</x:f>
        <x:v>PENDING</x:v>
      </x:c>
      <x:c r="H650" s="16" t="str">
        <x:v>N</x:v>
      </x:c>
      <x:c r="I650" s="16" t="str">
        <x:f>Coder_A!F650</x:f>
        <x:v>Sec. 3 Datasets; Appendix A; Table 2; Table 1; Appendix B</x:v>
      </x:c>
      <x:c r="J650" s="16" t="n">
        <x:f>Coder_B!F650</x:f>
        <x:v>0</x:v>
      </x:c>
    </x:row>
    <x:row r="651">
      <x:c r="A651" s="16" t="n">
        <x:v>650</x:v>
      </x:c>
      <x:c r="B651" s="16" t="str">
        <x:v>EXPERIMENT</x:v>
      </x:c>
      <x:c r="C651" s="16" t="str">
        <x:f>Coder_A!C651</x:f>
        <x:v>PILOT_01_E08</x:v>
      </x:c>
      <x:c r="D651" s="16" t="str">
        <x:v>parameter_count</x:v>
      </x:c>
      <x:c r="E651" s="16" t="str">
        <x:f>Coder_A!E651</x:f>
        <x:v>NR</x:v>
      </x:c>
      <x:c r="F651" s="16" t="n">
        <x:f>Coder_B!E651</x:f>
        <x:v>0</x:v>
      </x:c>
      <x:c r="G651" s="16" t="str">
        <x:f>IF(F651="","PENDING",IF(E651=F651,"AGREE","DISAGREE"))</x:f>
        <x:v>PENDING</x:v>
      </x:c>
      <x:c r="H651" s="16" t="str">
        <x:v>N</x:v>
      </x:c>
      <x:c r="I651" s="16" t="str">
        <x:f>Coder_A!F651</x:f>
        <x:v>Sec. 3 Datasets; Appendix A; Table 2; Table 1; Appendix B</x:v>
      </x:c>
      <x:c r="J651" s="16" t="n">
        <x:f>Coder_B!F651</x:f>
        <x:v>0</x:v>
      </x:c>
    </x:row>
    <x:row r="652">
      <x:c r="A652" s="16" t="n">
        <x:v>651</x:v>
      </x:c>
      <x:c r="B652" s="16" t="str">
        <x:v>EXPERIMENT</x:v>
      </x:c>
      <x:c r="C652" s="16" t="str">
        <x:f>Coder_A!C652</x:f>
        <x:v>PILOT_01_E08</x:v>
      </x:c>
      <x:c r="D652" s="16" t="str">
        <x:v>train_time</x:v>
      </x:c>
      <x:c r="E652" s="16" t="str">
        <x:f>Coder_A!E652</x:f>
        <x:v>NR</x:v>
      </x:c>
      <x:c r="F652" s="16" t="n">
        <x:f>Coder_B!E652</x:f>
        <x:v>0</x:v>
      </x:c>
      <x:c r="G652" s="16" t="str">
        <x:f>IF(F652="","PENDING",IF(E652=F652,"AGREE","DISAGREE"))</x:f>
        <x:v>PENDING</x:v>
      </x:c>
      <x:c r="H652" s="16" t="str">
        <x:v>N</x:v>
      </x:c>
      <x:c r="I652" s="16" t="str">
        <x:f>Coder_A!F652</x:f>
        <x:v>Sec. 3 Datasets; Appendix A; Table 2; Table 1; Appendix B</x:v>
      </x:c>
      <x:c r="J652" s="16" t="n">
        <x:f>Coder_B!F652</x:f>
        <x:v>0</x:v>
      </x:c>
    </x:row>
    <x:row r="653">
      <x:c r="A653" s="16" t="n">
        <x:v>652</x:v>
      </x:c>
      <x:c r="B653" s="16" t="str">
        <x:v>EXPERIMENT</x:v>
      </x:c>
      <x:c r="C653" s="16" t="str">
        <x:f>Coder_A!C653</x:f>
        <x:v>PILOT_01_E08</x:v>
      </x:c>
      <x:c r="D653" s="16" t="str">
        <x:v>time_per_epoch</x:v>
      </x:c>
      <x:c r="E653" s="16" t="str">
        <x:f>Coder_A!E653</x:f>
        <x:v>NR</x:v>
      </x:c>
      <x:c r="F653" s="16" t="n">
        <x:f>Coder_B!E653</x:f>
        <x:v>0</x:v>
      </x:c>
      <x:c r="G653" s="16" t="str">
        <x:f>IF(F653="","PENDING",IF(E653=F653,"AGREE","DISAGREE"))</x:f>
        <x:v>PENDING</x:v>
      </x:c>
      <x:c r="H653" s="16" t="str">
        <x:v>N</x:v>
      </x:c>
      <x:c r="I653" s="16" t="str">
        <x:f>Coder_A!F653</x:f>
        <x:v>Sec. 3 Datasets; Appendix A; Table 2; Table 1; Appendix B</x:v>
      </x:c>
      <x:c r="J653" s="16" t="n">
        <x:f>Coder_B!F653</x:f>
        <x:v>0</x:v>
      </x:c>
    </x:row>
    <x:row r="654">
      <x:c r="A654" s="16" t="n">
        <x:v>653</x:v>
      </x:c>
      <x:c r="B654" s="16" t="str">
        <x:v>EXPERIMENT</x:v>
      </x:c>
      <x:c r="C654" s="16" t="str">
        <x:f>Coder_A!C654</x:f>
        <x:v>PILOT_01_E08</x:v>
      </x:c>
      <x:c r="D654" s="16" t="str">
        <x:v>inference_latency</x:v>
      </x:c>
      <x:c r="E654" s="16" t="str">
        <x:f>Coder_A!E654</x:f>
        <x:v>NR</x:v>
      </x:c>
      <x:c r="F654" s="16" t="n">
        <x:f>Coder_B!E654</x:f>
        <x:v>0</x:v>
      </x:c>
      <x:c r="G654" s="16" t="str">
        <x:f>IF(F654="","PENDING",IF(E654=F654,"AGREE","DISAGREE"))</x:f>
        <x:v>PENDING</x:v>
      </x:c>
      <x:c r="H654" s="16" t="str">
        <x:v>N</x:v>
      </x:c>
      <x:c r="I654" s="16" t="str">
        <x:f>Coder_A!F654</x:f>
        <x:v>Sec. 3 Datasets; Appendix A; Table 2; Table 1; Appendix B</x:v>
      </x:c>
      <x:c r="J654" s="16" t="n">
        <x:f>Coder_B!F654</x:f>
        <x:v>0</x:v>
      </x:c>
    </x:row>
    <x:row r="655">
      <x:c r="A655" s="16" t="n">
        <x:v>654</x:v>
      </x:c>
      <x:c r="B655" s="16" t="str">
        <x:v>EXPERIMENT</x:v>
      </x:c>
      <x:c r="C655" s="16" t="str">
        <x:f>Coder_A!C655</x:f>
        <x:v>PILOT_01_E08</x:v>
      </x:c>
      <x:c r="D655" s="16" t="str">
        <x:v>throughput</x:v>
      </x:c>
      <x:c r="E655" s="16" t="str">
        <x:f>Coder_A!E655</x:f>
        <x:v>NR</x:v>
      </x:c>
      <x:c r="F655" s="16" t="n">
        <x:f>Coder_B!E655</x:f>
        <x:v>0</x:v>
      </x:c>
      <x:c r="G655" s="16" t="str">
        <x:f>IF(F655="","PENDING",IF(E655=F655,"AGREE","DISAGREE"))</x:f>
        <x:v>PENDING</x:v>
      </x:c>
      <x:c r="H655" s="16" t="str">
        <x:v>N</x:v>
      </x:c>
      <x:c r="I655" s="16" t="str">
        <x:f>Coder_A!F655</x:f>
        <x:v>Sec. 3 Datasets; Appendix A; Table 2; Table 1; Appendix B</x:v>
      </x:c>
      <x:c r="J655" s="16" t="n">
        <x:f>Coder_B!F655</x:f>
        <x:v>0</x:v>
      </x:c>
    </x:row>
    <x:row r="656">
      <x:c r="A656" s="16" t="n">
        <x:v>655</x:v>
      </x:c>
      <x:c r="B656" s="16" t="str">
        <x:v>EXPERIMENT</x:v>
      </x:c>
      <x:c r="C656" s="16" t="str">
        <x:f>Coder_A!C656</x:f>
        <x:v>PILOT_01_E08</x:v>
      </x:c>
      <x:c r="D656" s="16" t="str">
        <x:v>cpu_ram</x:v>
      </x:c>
      <x:c r="E656" s="16" t="str">
        <x:f>Coder_A!E656</x:f>
        <x:v>NR</x:v>
      </x:c>
      <x:c r="F656" s="16" t="n">
        <x:f>Coder_B!E656</x:f>
        <x:v>0</x:v>
      </x:c>
      <x:c r="G656" s="16" t="str">
        <x:f>IF(F656="","PENDING",IF(E656=F656,"AGREE","DISAGREE"))</x:f>
        <x:v>PENDING</x:v>
      </x:c>
      <x:c r="H656" s="16" t="str">
        <x:v>N</x:v>
      </x:c>
      <x:c r="I656" s="16" t="str">
        <x:f>Coder_A!F656</x:f>
        <x:v>Sec. 3 Datasets; Appendix A; Table 2; Table 1; Appendix B</x:v>
      </x:c>
      <x:c r="J656" s="16" t="n">
        <x:f>Coder_B!F656</x:f>
        <x:v>0</x:v>
      </x:c>
    </x:row>
    <x:row r="657">
      <x:c r="A657" s="16" t="n">
        <x:v>656</x:v>
      </x:c>
      <x:c r="B657" s="16" t="str">
        <x:v>EXPERIMENT</x:v>
      </x:c>
      <x:c r="C657" s="16" t="str">
        <x:f>Coder_A!C657</x:f>
        <x:v>PILOT_01_E08</x:v>
      </x:c>
      <x:c r="D657" s="16" t="str">
        <x:v>gpu_vram</x:v>
      </x:c>
      <x:c r="E657" s="16" t="str">
        <x:f>Coder_A!E657</x:f>
        <x:v>NR</x:v>
      </x:c>
      <x:c r="F657" s="16" t="n">
        <x:f>Coder_B!E657</x:f>
        <x:v>0</x:v>
      </x:c>
      <x:c r="G657" s="16" t="str">
        <x:f>IF(F657="","PENDING",IF(E657=F657,"AGREE","DISAGREE"))</x:f>
        <x:v>PENDING</x:v>
      </x:c>
      <x:c r="H657" s="16" t="str">
        <x:v>N</x:v>
      </x:c>
      <x:c r="I657" s="16" t="str">
        <x:f>Coder_A!F657</x:f>
        <x:v>Sec. 3 Datasets; Appendix A; Table 2; Table 1; Appendix B</x:v>
      </x:c>
      <x:c r="J657" s="16" t="n">
        <x:f>Coder_B!F657</x:f>
        <x:v>0</x:v>
      </x:c>
    </x:row>
    <x:row r="658">
      <x:c r="A658" s="16" t="n">
        <x:v>657</x:v>
      </x:c>
      <x:c r="B658" s="16" t="str">
        <x:v>EXPERIMENT</x:v>
      </x:c>
      <x:c r="C658" s="16" t="str">
        <x:f>Coder_A!C658</x:f>
        <x:v>PILOT_01_E08</x:v>
      </x:c>
      <x:c r="D658" s="16" t="str">
        <x:v>hardware</x:v>
      </x:c>
      <x:c r="E658" s="16" t="str">
        <x:f>Coder_A!E658</x:f>
        <x:v>NR</x:v>
      </x:c>
      <x:c r="F658" s="16" t="n">
        <x:f>Coder_B!E658</x:f>
        <x:v>0</x:v>
      </x:c>
      <x:c r="G658" s="16" t="str">
        <x:f>IF(F658="","PENDING",IF(E658=F658,"AGREE","DISAGREE"))</x:f>
        <x:v>PENDING</x:v>
      </x:c>
      <x:c r="H658" s="16" t="str">
        <x:v>N</x:v>
      </x:c>
      <x:c r="I658" s="16" t="str">
        <x:f>Coder_A!F658</x:f>
        <x:v>Sec. 3 Datasets; Appendix A; Table 2; Table 1; Appendix B</x:v>
      </x:c>
      <x:c r="J658" s="16" t="n">
        <x:f>Coder_B!F658</x:f>
        <x:v>0</x:v>
      </x:c>
    </x:row>
    <x:row r="659">
      <x:c r="A659" s="16" t="n">
        <x:v>658</x:v>
      </x:c>
      <x:c r="B659" s="16" t="str">
        <x:v>EXPERIMENT</x:v>
      </x:c>
      <x:c r="C659" s="16" t="str">
        <x:f>Coder_A!C659</x:f>
        <x:v>PILOT_01_E08</x:v>
      </x:c>
      <x:c r="D659" s="16" t="str">
        <x:v>graph_construction_time</x:v>
      </x:c>
      <x:c r="E659" s="16" t="str">
        <x:f>Coder_A!E659</x:f>
        <x:v>NR</x:v>
      </x:c>
      <x:c r="F659" s="16" t="n">
        <x:f>Coder_B!E659</x:f>
        <x:v>0</x:v>
      </x:c>
      <x:c r="G659" s="16" t="str">
        <x:f>IF(F659="","PENDING",IF(E659=F659,"AGREE","DISAGREE"))</x:f>
        <x:v>PENDING</x:v>
      </x:c>
      <x:c r="H659" s="16" t="str">
        <x:v>N</x:v>
      </x:c>
      <x:c r="I659" s="16" t="str">
        <x:f>Coder_A!F659</x:f>
        <x:v>Sec. 3 Datasets; Appendix A; Table 2; Table 1; Appendix B</x:v>
      </x:c>
      <x:c r="J659" s="16" t="n">
        <x:f>Coder_B!F659</x:f>
        <x:v>0</x:v>
      </x:c>
    </x:row>
    <x:row r="660">
      <x:c r="A660" s="16" t="n">
        <x:v>659</x:v>
      </x:c>
      <x:c r="B660" s="16" t="str">
        <x:v>EXPERIMENT</x:v>
      </x:c>
      <x:c r="C660" s="16" t="str">
        <x:f>Coder_A!C660</x:f>
        <x:v>PILOT_01_E08</x:v>
      </x:c>
      <x:c r="D660" s="16" t="str">
        <x:v>complexity_formula</x:v>
      </x:c>
      <x:c r="E660" s="16" t="str">
        <x:f>Coder_A!E660</x:f>
        <x:v>NR</x:v>
      </x:c>
      <x:c r="F660" s="16" t="n">
        <x:f>Coder_B!E660</x:f>
        <x:v>0</x:v>
      </x:c>
      <x:c r="G660" s="16" t="str">
        <x:f>IF(F660="","PENDING",IF(E660=F660,"AGREE","DISAGREE"))</x:f>
        <x:v>PENDING</x:v>
      </x:c>
      <x:c r="H660" s="16" t="str">
        <x:v>N</x:v>
      </x:c>
      <x:c r="I660" s="16" t="str">
        <x:f>Coder_A!F660</x:f>
        <x:v>Sec. 3 Datasets; Appendix A; Table 2; Table 1; Appendix B</x:v>
      </x:c>
      <x:c r="J660" s="16" t="n">
        <x:f>Coder_B!F660</x:f>
        <x:v>0</x:v>
      </x:c>
    </x:row>
    <x:row r="661">
      <x:c r="A661" s="16" t="n">
        <x:v>660</x:v>
      </x:c>
      <x:c r="B661" s="16" t="str">
        <x:v>EXPERIMENT</x:v>
      </x:c>
      <x:c r="C661" s="16" t="str">
        <x:f>Coder_A!C661</x:f>
        <x:v>PILOT_01_E08</x:v>
      </x:c>
      <x:c r="D661" s="16" t="str">
        <x:v>scale_up_experiment</x:v>
      </x:c>
      <x:c r="E661" s="16" t="str">
        <x:f>Coder_A!E661</x:f>
        <x:v>N</x:v>
      </x:c>
      <x:c r="F661" s="16" t="n">
        <x:f>Coder_B!E661</x:f>
        <x:v>0</x:v>
      </x:c>
      <x:c r="G661" s="16" t="str">
        <x:f>IF(F661="","PENDING",IF(E661=F661,"AGREE","DISAGREE"))</x:f>
        <x:v>PENDING</x:v>
      </x:c>
      <x:c r="H661" s="16" t="str">
        <x:v>Y</x:v>
      </x:c>
      <x:c r="I661" s="16" t="str">
        <x:f>Coder_A!F661</x:f>
        <x:v>Sec. 3 Datasets; Appendix A; Table 2; Table 1; Appendix B</x:v>
      </x:c>
      <x:c r="J661" s="16" t="n">
        <x:f>Coder_B!F661</x:f>
        <x:v>0</x:v>
      </x:c>
    </x:row>
    <x:row r="662">
      <x:c r="A662" s="16" t="n">
        <x:v>661</x:v>
      </x:c>
      <x:c r="B662" s="16" t="str">
        <x:v>EXPERIMENT</x:v>
      </x:c>
      <x:c r="C662" s="16" t="str">
        <x:f>Coder_A!C662</x:f>
        <x:v>PILOT_01_E08</x:v>
      </x:c>
      <x:c r="D662" s="16" t="str">
        <x:v>oom_timeout_reported</x:v>
      </x:c>
      <x:c r="E662" s="16" t="str">
        <x:f>Coder_A!E662</x:f>
        <x:v>NR</x:v>
      </x:c>
      <x:c r="F662" s="16" t="n">
        <x:f>Coder_B!E662</x:f>
        <x:v>0</x:v>
      </x:c>
      <x:c r="G662" s="16" t="str">
        <x:f>IF(F662="","PENDING",IF(E662=F662,"AGREE","DISAGREE"))</x:f>
        <x:v>PENDING</x:v>
      </x:c>
      <x:c r="H662" s="16" t="str">
        <x:v>Y</x:v>
      </x:c>
      <x:c r="I662" s="16" t="str">
        <x:f>Coder_A!F662</x:f>
        <x:v>Sec. 3 Datasets; Appendix A; Table 2; Table 1; Appendix B</x:v>
      </x:c>
      <x:c r="J662" s="16" t="n">
        <x:f>Coder_B!F662</x:f>
        <x:v>0</x:v>
      </x:c>
    </x:row>
    <x:row r="663">
      <x:c r="A663" s="16" t="n">
        <x:v>662</x:v>
      </x:c>
      <x:c r="B663" s="16" t="str">
        <x:v>EXPERIMENT</x:v>
      </x:c>
      <x:c r="C663" s="16" t="str">
        <x:f>Coder_A!C663</x:f>
        <x:v>PILOT_01_E09</x:v>
      </x:c>
      <x:c r="D663" s="16" t="str">
        <x:v>dataset_name</x:v>
      </x:c>
      <x:c r="E663" s="16" t="str">
        <x:f>Coder_A!E663</x:f>
        <x:v>ASSISTments</x:v>
      </x:c>
      <x:c r="F663" s="16" t="n">
        <x:f>Coder_B!E663</x:f>
        <x:v>0</x:v>
      </x:c>
      <x:c r="G663" s="16" t="str">
        <x:f>IF(F663="","PENDING",IF(E663=F663,"AGREE","DISAGREE"))</x:f>
        <x:v>PENDING</x:v>
      </x:c>
      <x:c r="H663" s="16" t="str">
        <x:v>N</x:v>
      </x:c>
      <x:c r="I663" s="16" t="str">
        <x:f>Coder_A!F663</x:f>
        <x:v>Sec. 3 Datasets; Appendix A; Table 2; Table 1; Appendix B</x:v>
      </x:c>
      <x:c r="J663" s="16" t="n">
        <x:f>Coder_B!F663</x:f>
        <x:v>0</x:v>
      </x:c>
    </x:row>
    <x:row r="664">
      <x:c r="A664" s="16" t="n">
        <x:v>663</x:v>
      </x:c>
      <x:c r="B664" s="16" t="str">
        <x:v>EXPERIMENT</x:v>
      </x:c>
      <x:c r="C664" s="16" t="str">
        <x:f>Coder_A!C664</x:f>
        <x:v>PILOT_01_E09</x:v>
      </x:c>
      <x:c r="D664" s="16" t="str">
        <x:v>dataset_version</x:v>
      </x:c>
      <x:c r="E664" s="16" t="str">
        <x:f>Coder_A!E664</x:f>
        <x:v>2009-2010 Skill Builder</x:v>
      </x:c>
      <x:c r="F664" s="16" t="n">
        <x:f>Coder_B!E664</x:f>
        <x:v>0</x:v>
      </x:c>
      <x:c r="G664" s="16" t="str">
        <x:f>IF(F664="","PENDING",IF(E664=F664,"AGREE","DISAGREE"))</x:f>
        <x:v>PENDING</x:v>
      </x:c>
      <x:c r="H664" s="16" t="str">
        <x:v>N</x:v>
      </x:c>
      <x:c r="I664" s="16" t="str">
        <x:f>Coder_A!F664</x:f>
        <x:v>Sec. 3 Datasets; Appendix A; Table 2; Table 1; Appendix B</x:v>
      </x:c>
      <x:c r="J664" s="16" t="n">
        <x:f>Coder_B!F664</x:f>
        <x:v>0</x:v>
      </x:c>
    </x:row>
    <x:row r="665">
      <x:c r="A665" s="16" t="n">
        <x:v>664</x:v>
      </x:c>
      <x:c r="B665" s="16" t="str">
        <x:v>EXPERIMENT</x:v>
      </x:c>
      <x:c r="C665" s="16" t="str">
        <x:f>Coder_A!C665</x:f>
        <x:v>PILOT_01_E09</x:v>
      </x:c>
      <x:c r="D665" s="16" t="str">
        <x:v>n_learners_reported</x:v>
      </x:c>
      <x:c r="E665" s="16" t="n">
        <x:f>Coder_A!E665</x:f>
        <x:v>1000</x:v>
      </x:c>
      <x:c r="F665" s="16" t="n">
        <x:f>Coder_B!E665</x:f>
        <x:v>0</x:v>
      </x:c>
      <x:c r="G665" s="16" t="str">
        <x:f>IF(F665="","PENDING",IF(E665=F665,"AGREE","DISAGREE"))</x:f>
        <x:v>PENDING</x:v>
      </x:c>
      <x:c r="H665" s="16" t="str">
        <x:v>N</x:v>
      </x:c>
      <x:c r="I665" s="16" t="str">
        <x:f>Coder_A!F665</x:f>
        <x:v>Sec. 3 Datasets; Appendix A; Table 2; Table 1; Appendix B</x:v>
      </x:c>
      <x:c r="J665" s="16" t="n">
        <x:f>Coder_B!F665</x:f>
        <x:v>0</x:v>
      </x:c>
    </x:row>
    <x:row r="666">
      <x:c r="A666" s="16" t="n">
        <x:v>665</x:v>
      </x:c>
      <x:c r="B666" s="16" t="str">
        <x:v>EXPERIMENT</x:v>
      </x:c>
      <x:c r="C666" s="16" t="str">
        <x:f>Coder_A!C666</x:f>
        <x:v>PILOT_01_E09</x:v>
      </x:c>
      <x:c r="D666" s="16" t="str">
        <x:v>n_items_reported</x:v>
      </x:c>
      <x:c r="E666" s="16" t="str">
        <x:f>Coder_A!E666</x:f>
        <x:v>NR</x:v>
      </x:c>
      <x:c r="F666" s="16" t="n">
        <x:f>Coder_B!E666</x:f>
        <x:v>0</x:v>
      </x:c>
      <x:c r="G666" s="16" t="str">
        <x:f>IF(F666="","PENDING",IF(E666=F666,"AGREE","DISAGREE"))</x:f>
        <x:v>PENDING</x:v>
      </x:c>
      <x:c r="H666" s="16" t="str">
        <x:v>N</x:v>
      </x:c>
      <x:c r="I666" s="16" t="str">
        <x:f>Coder_A!F666</x:f>
        <x:v>Sec. 3 Datasets; Appendix A; Table 2; Table 1; Appendix B</x:v>
      </x:c>
      <x:c r="J666" s="16" t="n">
        <x:f>Coder_B!F666</x:f>
        <x:v>0</x:v>
      </x:c>
    </x:row>
    <x:row r="667">
      <x:c r="A667" s="16" t="n">
        <x:v>666</x:v>
      </x:c>
      <x:c r="B667" s="16" t="str">
        <x:v>EXPERIMENT</x:v>
      </x:c>
      <x:c r="C667" s="16" t="str">
        <x:f>Coder_A!C667</x:f>
        <x:v>PILOT_01_E09</x:v>
      </x:c>
      <x:c r="D667" s="16" t="str">
        <x:v>n_kcs_reported</x:v>
      </x:c>
      <x:c r="E667" s="16" t="n">
        <x:f>Coder_A!E667</x:f>
        <x:v>101</x:v>
      </x:c>
      <x:c r="F667" s="16" t="n">
        <x:f>Coder_B!E667</x:f>
        <x:v>0</x:v>
      </x:c>
      <x:c r="G667" s="16" t="str">
        <x:f>IF(F667="","PENDING",IF(E667=F667,"AGREE","DISAGREE"))</x:f>
        <x:v>PENDING</x:v>
      </x:c>
      <x:c r="H667" s="16" t="str">
        <x:v>N</x:v>
      </x:c>
      <x:c r="I667" s="16" t="str">
        <x:f>Coder_A!F667</x:f>
        <x:v>Sec. 3 Datasets; Appendix A; Table 2; Table 1; Appendix B</x:v>
      </x:c>
      <x:c r="J667" s="16" t="n">
        <x:f>Coder_B!F667</x:f>
        <x:v>0</x:v>
      </x:c>
    </x:row>
    <x:row r="668">
      <x:c r="A668" s="16" t="n">
        <x:v>667</x:v>
      </x:c>
      <x:c r="B668" s="16" t="str">
        <x:v>EXPERIMENT</x:v>
      </x:c>
      <x:c r="C668" s="16" t="str">
        <x:f>Coder_A!C668</x:f>
        <x:v>PILOT_01_E09</x:v>
      </x:c>
      <x:c r="D668" s="16" t="str">
        <x:v>n_interactions_reported</x:v>
      </x:c>
      <x:c r="E668" s="16" t="n">
        <x:f>Coder_A!E668</x:f>
        <x:v>62955</x:v>
      </x:c>
      <x:c r="F668" s="16" t="n">
        <x:f>Coder_B!E668</x:f>
        <x:v>0</x:v>
      </x:c>
      <x:c r="G668" s="16" t="str">
        <x:f>IF(F668="","PENDING",IF(E668=F668,"AGREE","DISAGREE"))</x:f>
        <x:v>PENDING</x:v>
      </x:c>
      <x:c r="H668" s="16" t="str">
        <x:v>N</x:v>
      </x:c>
      <x:c r="I668" s="16" t="str">
        <x:f>Coder_A!F668</x:f>
        <x:v>Sec. 3 Datasets; Appendix A; Table 2; Table 1; Appendix B</x:v>
      </x:c>
      <x:c r="J668" s="16" t="n">
        <x:f>Coder_B!F668</x:f>
        <x:v>0</x:v>
      </x:c>
    </x:row>
    <x:row r="669">
      <x:c r="A669" s="16" t="n">
        <x:v>668</x:v>
      </x:c>
      <x:c r="B669" s="16" t="str">
        <x:v>EXPERIMENT</x:v>
      </x:c>
      <x:c r="C669" s="16" t="str">
        <x:f>Coder_A!C669</x:f>
        <x:v>PILOT_01_E09</x:v>
      </x:c>
      <x:c r="D669" s="16" t="str">
        <x:v>multi_skill_present</x:v>
      </x:c>
      <x:c r="E669" s="16" t="str">
        <x:f>Coder_A!E669</x:f>
        <x:v>UNCLEAR</x:v>
      </x:c>
      <x:c r="F669" s="16" t="n">
        <x:f>Coder_B!E669</x:f>
        <x:v>0</x:v>
      </x:c>
      <x:c r="G669" s="16" t="str">
        <x:f>IF(F669="","PENDING",IF(E669=F669,"AGREE","DISAGREE"))</x:f>
        <x:v>PENDING</x:v>
      </x:c>
      <x:c r="H669" s="16" t="str">
        <x:v>Y</x:v>
      </x:c>
      <x:c r="I669" s="16" t="str">
        <x:f>Coder_A!F669</x:f>
        <x:v>Sec. 3 Datasets; Appendix A; Table 2; Table 1; Appendix B</x:v>
      </x:c>
      <x:c r="J669" s="16" t="n">
        <x:f>Coder_B!F669</x:f>
        <x:v>0</x:v>
      </x:c>
    </x:row>
    <x:row r="670">
      <x:c r="A670" s="16" t="n">
        <x:v>669</x:v>
      </x:c>
      <x:c r="B670" s="16" t="str">
        <x:v>EXPERIMENT</x:v>
      </x:c>
      <x:c r="C670" s="16" t="str">
        <x:f>Coder_A!C670</x:f>
        <x:v>PILOT_01_E09</x:v>
      </x:c>
      <x:c r="D670" s="16" t="str">
        <x:v>multi_skill_handling</x:v>
      </x:c>
      <x:c r="E670" s="16" t="str">
        <x:f>Coder_A!E670</x:f>
        <x:v>Combine simultaneous answer logs into one; extract named skill tags</x:v>
      </x:c>
      <x:c r="F670" s="16" t="n">
        <x:f>Coder_B!E670</x:f>
        <x:v>0</x:v>
      </x:c>
      <x:c r="G670" s="16" t="str">
        <x:f>IF(F670="","PENDING",IF(E670=F670,"AGREE","DISAGREE"))</x:f>
        <x:v>PENDING</x:v>
      </x:c>
      <x:c r="H670" s="16" t="str">
        <x:v>N</x:v>
      </x:c>
      <x:c r="I670" s="16" t="str">
        <x:f>Coder_A!F670</x:f>
        <x:v>Sec. 3 Datasets; Appendix A; Table 2; Table 1; Appendix B</x:v>
      </x:c>
      <x:c r="J670" s="16" t="n">
        <x:f>Coder_B!F670</x:f>
        <x:v>0</x:v>
      </x:c>
    </x:row>
    <x:row r="671">
      <x:c r="A671" s="16" t="n">
        <x:v>670</x:v>
      </x:c>
      <x:c r="B671" s="16" t="str">
        <x:v>EXPERIMENT</x:v>
      </x:c>
      <x:c r="C671" s="16" t="str">
        <x:f>Coder_A!C671</x:f>
        <x:v>PILOT_01_E09</x:v>
      </x:c>
      <x:c r="D671" s="16" t="str">
        <x:v>sequence_truncation</x:v>
      </x:c>
      <x:c r="E671" s="16" t="str">
        <x:f>Coder_A!E671</x:f>
        <x:v>NR</x:v>
      </x:c>
      <x:c r="F671" s="16" t="n">
        <x:f>Coder_B!E671</x:f>
        <x:v>0</x:v>
      </x:c>
      <x:c r="G671" s="16" t="str">
        <x:f>IF(F671="","PENDING",IF(E671=F671,"AGREE","DISAGREE"))</x:f>
        <x:v>PENDING</x:v>
      </x:c>
      <x:c r="H671" s="16" t="str">
        <x:v>N</x:v>
      </x:c>
      <x:c r="I671" s="16" t="str">
        <x:f>Coder_A!F671</x:f>
        <x:v>Sec. 3 Datasets; Appendix A; Table 2; Table 1; Appendix B</x:v>
      </x:c>
      <x:c r="J671" s="16" t="n">
        <x:f>Coder_B!F671</x:f>
        <x:v>0</x:v>
      </x:c>
    </x:row>
    <x:row r="672">
      <x:c r="A672" s="16" t="n">
        <x:v>671</x:v>
      </x:c>
      <x:c r="B672" s="16" t="str">
        <x:v>EXPERIMENT</x:v>
      </x:c>
      <x:c r="C672" s="16" t="str">
        <x:f>Coder_A!C672</x:f>
        <x:v>PILOT_01_E09</x:v>
      </x:c>
      <x:c r="D672" s="16" t="str">
        <x:v>min_sequence_filter</x:v>
      </x:c>
      <x:c r="E672" s="16" t="str">
        <x:f>Coder_A!E672</x:f>
        <x:v>NR</x:v>
      </x:c>
      <x:c r="F672" s="16" t="n">
        <x:f>Coder_B!E672</x:f>
        <x:v>0</x:v>
      </x:c>
      <x:c r="G672" s="16" t="str">
        <x:f>IF(F672="","PENDING",IF(E672=F672,"AGREE","DISAGREE"))</x:f>
        <x:v>PENDING</x:v>
      </x:c>
      <x:c r="H672" s="16" t="str">
        <x:v>N</x:v>
      </x:c>
      <x:c r="I672" s="16" t="str">
        <x:f>Coder_A!F672</x:f>
        <x:v>Sec. 3 Datasets; Appendix A; Table 2; Table 1; Appendix B</x:v>
      </x:c>
      <x:c r="J672" s="16" t="n">
        <x:f>Coder_B!F672</x:f>
        <x:v>0</x:v>
      </x:c>
    </x:row>
    <x:row r="673">
      <x:c r="A673" s="16" t="n">
        <x:v>672</x:v>
      </x:c>
      <x:c r="B673" s="16" t="str">
        <x:v>EXPERIMENT</x:v>
      </x:c>
      <x:c r="C673" s="16" t="str">
        <x:f>Coder_A!C673</x:f>
        <x:v>PILOT_01_E09</x:v>
      </x:c>
      <x:c r="D673" s="16" t="str">
        <x:v>timestamp_used</x:v>
      </x:c>
      <x:c r="E673" s="16" t="str">
        <x:f>Coder_A!E673</x:f>
        <x:v>UNCLEAR</x:v>
      </x:c>
      <x:c r="F673" s="16" t="n">
        <x:f>Coder_B!E673</x:f>
        <x:v>0</x:v>
      </x:c>
      <x:c r="G673" s="16" t="str">
        <x:f>IF(F673="","PENDING",IF(E673=F673,"AGREE","DISAGREE"))</x:f>
        <x:v>PENDING</x:v>
      </x:c>
      <x:c r="H673" s="16" t="str">
        <x:v>Y</x:v>
      </x:c>
      <x:c r="I673" s="16" t="str">
        <x:f>Coder_A!F673</x:f>
        <x:v>Sec. 3 Datasets; Appendix A; Table 2; Table 1; Appendix B</x:v>
      </x:c>
      <x:c r="J673" s="16" t="n">
        <x:f>Coder_B!F673</x:f>
        <x:v>0</x:v>
      </x:c>
    </x:row>
    <x:row r="674">
      <x:c r="A674" s="16" t="n">
        <x:v>673</x:v>
      </x:c>
      <x:c r="B674" s="16" t="str">
        <x:v>EXPERIMENT</x:v>
      </x:c>
      <x:c r="C674" s="16" t="str">
        <x:f>Coder_A!C674</x:f>
        <x:v>PILOT_01_E09</x:v>
      </x:c>
      <x:c r="D674" s="16" t="str">
        <x:v>preprocessing_code_available</x:v>
      </x:c>
      <x:c r="E674" s="16" t="str">
        <x:f>Coder_A!E674</x:f>
        <x:v>NR</x:v>
      </x:c>
      <x:c r="F674" s="16" t="n">
        <x:f>Coder_B!E674</x:f>
        <x:v>0</x:v>
      </x:c>
      <x:c r="G674" s="16" t="str">
        <x:f>IF(F674="","PENDING",IF(E674=F674,"AGREE","DISAGREE"))</x:f>
        <x:v>PENDING</x:v>
      </x:c>
      <x:c r="H674" s="16" t="str">
        <x:v>Y</x:v>
      </x:c>
      <x:c r="I674" s="16" t="str">
        <x:f>Coder_A!F674</x:f>
        <x:v>Sec. 3 Datasets; Appendix A; Table 2; Table 1; Appendix B</x:v>
      </x:c>
      <x:c r="J674" s="16" t="n">
        <x:f>Coder_B!F674</x:f>
        <x:v>0</x:v>
      </x:c>
    </x:row>
    <x:row r="675">
      <x:c r="A675" s="16" t="n">
        <x:v>674</x:v>
      </x:c>
      <x:c r="B675" s="16" t="str">
        <x:v>EXPERIMENT</x:v>
      </x:c>
      <x:c r="C675" s="16" t="str">
        <x:f>Coder_A!C675</x:f>
        <x:v>PILOT_01_E09</x:v>
      </x:c>
      <x:c r="D675" s="16" t="str">
        <x:v>split_type</x:v>
      </x:c>
      <x:c r="E675" s="16" t="str">
        <x:f>Coder_A!E675</x:f>
        <x:v>LEARNER_BASED</x:v>
      </x:c>
      <x:c r="F675" s="16" t="n">
        <x:f>Coder_B!E675</x:f>
        <x:v>0</x:v>
      </x:c>
      <x:c r="G675" s="16" t="str">
        <x:f>IF(F675="","PENDING",IF(E675=F675,"AGREE","DISAGREE"))</x:f>
        <x:v>PENDING</x:v>
      </x:c>
      <x:c r="H675" s="16" t="str">
        <x:v>Y</x:v>
      </x:c>
      <x:c r="I675" s="16" t="str">
        <x:f>Coder_A!F675</x:f>
        <x:v>Sec. 3 Datasets; Appendix A; Table 2; Table 1; Appendix B</x:v>
      </x:c>
      <x:c r="J675" s="16" t="n">
        <x:f>Coder_B!F675</x:f>
        <x:v>0</x:v>
      </x:c>
    </x:row>
    <x:row r="676">
      <x:c r="A676" s="16" t="n">
        <x:v>675</x:v>
      </x:c>
      <x:c r="B676" s="16" t="str">
        <x:v>EXPERIMENT</x:v>
      </x:c>
      <x:c r="C676" s="16" t="str">
        <x:f>Coder_A!C676</x:f>
        <x:v>PILOT_01_E09</x:v>
      </x:c>
      <x:c r="D676" s="16" t="str">
        <x:v>split_unit_original</x:v>
      </x:c>
      <x:c r="E676" s="16" t="str">
        <x:f>Coder_A!E676</x:f>
        <x:v>students</x:v>
      </x:c>
      <x:c r="F676" s="16" t="n">
        <x:f>Coder_B!E676</x:f>
        <x:v>0</x:v>
      </x:c>
      <x:c r="G676" s="16" t="str">
        <x:f>IF(F676="","PENDING",IF(E676=F676,"AGREE","DISAGREE"))</x:f>
        <x:v>PENDING</x:v>
      </x:c>
      <x:c r="H676" s="16" t="str">
        <x:v>N</x:v>
      </x:c>
      <x:c r="I676" s="16" t="str">
        <x:f>Coder_A!F676</x:f>
        <x:v>Sec. 3 Datasets; Appendix A; Table 2; Table 1; Appendix B</x:v>
      </x:c>
      <x:c r="J676" s="16" t="n">
        <x:f>Coder_B!F676</x:f>
        <x:v>0</x:v>
      </x:c>
    </x:row>
    <x:row r="677">
      <x:c r="A677" s="16" t="n">
        <x:v>676</x:v>
      </x:c>
      <x:c r="B677" s="16" t="str">
        <x:v>EXPERIMENT</x:v>
      </x:c>
      <x:c r="C677" s="16" t="str">
        <x:f>Coder_A!C677</x:f>
        <x:v>PILOT_01_E09</x:v>
      </x:c>
      <x:c r="D677" s="16" t="str">
        <x:v>train_fraction</x:v>
      </x:c>
      <x:c r="E677" s="16" t="n">
        <x:f>Coder_A!E677</x:f>
        <x:v>0.8</x:v>
      </x:c>
      <x:c r="F677" s="16" t="n">
        <x:f>Coder_B!E677</x:f>
        <x:v>0</x:v>
      </x:c>
      <x:c r="G677" s="16" t="str">
        <x:f>IF(F677="","PENDING",IF(E677=F677,"AGREE","DISAGREE"))</x:f>
        <x:v>PENDING</x:v>
      </x:c>
      <x:c r="H677" s="16" t="str">
        <x:v>N</x:v>
      </x:c>
      <x:c r="I677" s="16" t="str">
        <x:f>Coder_A!F677</x:f>
        <x:v>Sec. 3 Datasets; Appendix A; Table 2; Table 1; Appendix B</x:v>
      </x:c>
      <x:c r="J677" s="16" t="n">
        <x:f>Coder_B!F677</x:f>
        <x:v>0</x:v>
      </x:c>
    </x:row>
    <x:row r="678">
      <x:c r="A678" s="16" t="n">
        <x:v>677</x:v>
      </x:c>
      <x:c r="B678" s="16" t="str">
        <x:v>EXPERIMENT</x:v>
      </x:c>
      <x:c r="C678" s="16" t="str">
        <x:f>Coder_A!C678</x:f>
        <x:v>PILOT_01_E09</x:v>
      </x:c>
      <x:c r="D678" s="16" t="str">
        <x:v>validation_fraction</x:v>
      </x:c>
      <x:c r="E678" s="16" t="n">
        <x:f>Coder_A!E678</x:f>
        <x:v>0.1</x:v>
      </x:c>
      <x:c r="F678" s="16" t="n">
        <x:f>Coder_B!E678</x:f>
        <x:v>0</x:v>
      </x:c>
      <x:c r="G678" s="16" t="str">
        <x:f>IF(F678="","PENDING",IF(E678=F678,"AGREE","DISAGREE"))</x:f>
        <x:v>PENDING</x:v>
      </x:c>
      <x:c r="H678" s="16" t="str">
        <x:v>N</x:v>
      </x:c>
      <x:c r="I678" s="16" t="str">
        <x:f>Coder_A!F678</x:f>
        <x:v>Sec. 3 Datasets; Appendix A; Table 2; Table 1; Appendix B</x:v>
      </x:c>
      <x:c r="J678" s="16" t="n">
        <x:f>Coder_B!F678</x:f>
        <x:v>0</x:v>
      </x:c>
    </x:row>
    <x:row r="679">
      <x:c r="A679" s="16" t="n">
        <x:v>678</x:v>
      </x:c>
      <x:c r="B679" s="16" t="str">
        <x:v>EXPERIMENT</x:v>
      </x:c>
      <x:c r="C679" s="16" t="str">
        <x:f>Coder_A!C679</x:f>
        <x:v>PILOT_01_E09</x:v>
      </x:c>
      <x:c r="D679" s="16" t="str">
        <x:v>test_fraction</x:v>
      </x:c>
      <x:c r="E679" s="16" t="n">
        <x:f>Coder_A!E679</x:f>
        <x:v>0.1</x:v>
      </x:c>
      <x:c r="F679" s="16" t="n">
        <x:f>Coder_B!E679</x:f>
        <x:v>0</x:v>
      </x:c>
      <x:c r="G679" s="16" t="str">
        <x:f>IF(F679="","PENDING",IF(E679=F679,"AGREE","DISAGREE"))</x:f>
        <x:v>PENDING</x:v>
      </x:c>
      <x:c r="H679" s="16" t="str">
        <x:v>N</x:v>
      </x:c>
      <x:c r="I679" s="16" t="str">
        <x:f>Coder_A!F679</x:f>
        <x:v>Sec. 3 Datasets; Appendix A; Table 2; Table 1; Appendix B</x:v>
      </x:c>
      <x:c r="J679" s="16" t="n">
        <x:f>Coder_B!F679</x:f>
        <x:v>0</x:v>
      </x:c>
    </x:row>
    <x:row r="680">
      <x:c r="A680" s="16" t="n">
        <x:v>679</x:v>
      </x:c>
      <x:c r="B680" s="16" t="str">
        <x:v>EXPERIMENT</x:v>
      </x:c>
      <x:c r="C680" s="16" t="str">
        <x:f>Coder_A!C680</x:f>
        <x:v>PILOT_01_E09</x:v>
      </x:c>
      <x:c r="D680" s="16" t="str">
        <x:v>validation_set_separate</x:v>
      </x:c>
      <x:c r="E680" s="16" t="str">
        <x:f>Coder_A!E680</x:f>
        <x:v>Y</x:v>
      </x:c>
      <x:c r="F680" s="16" t="n">
        <x:f>Coder_B!E680</x:f>
        <x:v>0</x:v>
      </x:c>
      <x:c r="G680" s="16" t="str">
        <x:f>IF(F680="","PENDING",IF(E680=F680,"AGREE","DISAGREE"))</x:f>
        <x:v>PENDING</x:v>
      </x:c>
      <x:c r="H680" s="16" t="str">
        <x:v>Y</x:v>
      </x:c>
      <x:c r="I680" s="16" t="str">
        <x:f>Coder_A!F680</x:f>
        <x:v>Sec. 3 Datasets; Appendix A; Table 2; Table 1; Appendix B</x:v>
      </x:c>
      <x:c r="J680" s="16" t="n">
        <x:f>Coder_B!F680</x:f>
        <x:v>0</x:v>
      </x:c>
    </x:row>
    <x:row r="681">
      <x:c r="A681" s="16" t="n">
        <x:v>680</x:v>
      </x:c>
      <x:c r="B681" s="16" t="str">
        <x:v>EXPERIMENT</x:v>
      </x:c>
      <x:c r="C681" s="16" t="str">
        <x:f>Coder_A!C681</x:f>
        <x:v>PILOT_01_E09</x:v>
      </x:c>
      <x:c r="D681" s="16" t="str">
        <x:v>early_stopping_validation_only</x:v>
      </x:c>
      <x:c r="E681" s="16" t="str">
        <x:f>Coder_A!E681</x:f>
        <x:v>UNCLEAR</x:v>
      </x:c>
      <x:c r="F681" s="16" t="n">
        <x:f>Coder_B!E681</x:f>
        <x:v>0</x:v>
      </x:c>
      <x:c r="G681" s="16" t="str">
        <x:f>IF(F681="","PENDING",IF(E681=F681,"AGREE","DISAGREE"))</x:f>
        <x:v>PENDING</x:v>
      </x:c>
      <x:c r="H681" s="16" t="str">
        <x:v>Y</x:v>
      </x:c>
      <x:c r="I681" s="16" t="str">
        <x:f>Coder_A!F681</x:f>
        <x:v>Sec. 3 Datasets; Appendix A; Table 2; Table 1; Appendix B</x:v>
      </x:c>
      <x:c r="J681" s="16" t="n">
        <x:f>Coder_B!F681</x:f>
        <x:v>0</x:v>
      </x:c>
    </x:row>
    <x:row r="682">
      <x:c r="A682" s="16" t="n">
        <x:v>681</x:v>
      </x:c>
      <x:c r="B682" s="16" t="str">
        <x:v>EXPERIMENT</x:v>
      </x:c>
      <x:c r="C682" s="16" t="str">
        <x:f>Coder_A!C682</x:f>
        <x:v>PILOT_01_E09</x:v>
      </x:c>
      <x:c r="D682" s="16" t="str">
        <x:v>graph_train_only</x:v>
      </x:c>
      <x:c r="E682" s="16" t="str">
        <x:f>Coder_A!E682</x:f>
        <x:v>Y</x:v>
      </x:c>
      <x:c r="F682" s="16" t="n">
        <x:f>Coder_B!E682</x:f>
        <x:v>0</x:v>
      </x:c>
      <x:c r="G682" s="16" t="str">
        <x:f>IF(F682="","PENDING",IF(E682=F682,"AGREE","DISAGREE"))</x:f>
        <x:v>PENDING</x:v>
      </x:c>
      <x:c r="H682" s="16" t="str">
        <x:v>Y</x:v>
      </x:c>
      <x:c r="I682" s="16" t="str">
        <x:f>Coder_A!F682</x:f>
        <x:v>Sec. 3 Datasets; Appendix A; Table 2; Table 1; Appendix B</x:v>
      </x:c>
      <x:c r="J682" s="16" t="n">
        <x:f>Coder_B!F682</x:f>
        <x:v>0</x:v>
      </x:c>
    </x:row>
    <x:row r="683">
      <x:c r="A683" s="16" t="n">
        <x:v>682</x:v>
      </x:c>
      <x:c r="B683" s="16" t="str">
        <x:v>EXPERIMENT</x:v>
      </x:c>
      <x:c r="C683" s="16" t="str">
        <x:f>Coder_A!C683</x:f>
        <x:v>PILOT_01_E09</x:v>
      </x:c>
      <x:c r="D683" s="16" t="str">
        <x:v>normalization_train_only</x:v>
      </x:c>
      <x:c r="E683" s="16" t="str">
        <x:f>Coder_A!E683</x:f>
        <x:v>NR</x:v>
      </x:c>
      <x:c r="F683" s="16" t="n">
        <x:f>Coder_B!E683</x:f>
        <x:v>0</x:v>
      </x:c>
      <x:c r="G683" s="16" t="str">
        <x:f>IF(F683="","PENDING",IF(E683=F683,"AGREE","DISAGREE"))</x:f>
        <x:v>PENDING</x:v>
      </x:c>
      <x:c r="H683" s="16" t="str">
        <x:v>Y</x:v>
      </x:c>
      <x:c r="I683" s="16" t="str">
        <x:f>Coder_A!F683</x:f>
        <x:v>Sec. 3 Datasets; Appendix A; Table 2; Table 1; Appendix B</x:v>
      </x:c>
      <x:c r="J683" s="16" t="n">
        <x:f>Coder_B!F683</x:f>
        <x:v>0</x:v>
      </x:c>
    </x:row>
    <x:row r="684">
      <x:c r="A684" s="16" t="n">
        <x:v>683</x:v>
      </x:c>
      <x:c r="B684" s="16" t="str">
        <x:v>EXPERIMENT</x:v>
      </x:c>
      <x:c r="C684" s="16" t="str">
        <x:f>Coder_A!C684</x:f>
        <x:v>PILOT_01_E09</x:v>
      </x:c>
      <x:c r="D684" s="16" t="str">
        <x:v>sparse_strata_train_only</x:v>
      </x:c>
      <x:c r="E684" s="16" t="str">
        <x:f>Coder_A!E684</x:f>
        <x:v>NA</x:v>
      </x:c>
      <x:c r="F684" s="16" t="n">
        <x:f>Coder_B!E684</x:f>
        <x:v>0</x:v>
      </x:c>
      <x:c r="G684" s="16" t="str">
        <x:f>IF(F684="","PENDING",IF(E684=F684,"AGREE","DISAGREE"))</x:f>
        <x:v>PENDING</x:v>
      </x:c>
      <x:c r="H684" s="16" t="str">
        <x:v>Y</x:v>
      </x:c>
      <x:c r="I684" s="16" t="str">
        <x:f>Coder_A!F684</x:f>
        <x:v>Sec. 3 Datasets; Appendix A; Table 2; Table 1; Appendix B</x:v>
      </x:c>
      <x:c r="J684" s="16" t="n">
        <x:f>Coder_B!F684</x:f>
        <x:v>0</x:v>
      </x:c>
    </x:row>
    <x:row r="685">
      <x:c r="A685" s="16" t="n">
        <x:v>684</x:v>
      </x:c>
      <x:c r="B685" s="16" t="str">
        <x:v>EXPERIMENT</x:v>
      </x:c>
      <x:c r="C685" s="16" t="str">
        <x:f>Coder_A!C685</x:f>
        <x:v>PILOT_01_E09</x:v>
      </x:c>
      <x:c r="D685" s="16" t="str">
        <x:v>temporal_alignment_audited</x:v>
      </x:c>
      <x:c r="E685" s="16" t="str">
        <x:f>Coder_A!E685</x:f>
        <x:v>NR</x:v>
      </x:c>
      <x:c r="F685" s="16" t="n">
        <x:f>Coder_B!E685</x:f>
        <x:v>0</x:v>
      </x:c>
      <x:c r="G685" s="16" t="str">
        <x:f>IF(F685="","PENDING",IF(E685=F685,"AGREE","DISAGREE"))</x:f>
        <x:v>PENDING</x:v>
      </x:c>
      <x:c r="H685" s="16" t="str">
        <x:v>Y</x:v>
      </x:c>
      <x:c r="I685" s="16" t="str">
        <x:f>Coder_A!F685</x:f>
        <x:v>Sec. 3 Datasets; Appendix A; Table 2; Table 1; Appendix B</x:v>
      </x:c>
      <x:c r="J685" s="16" t="n">
        <x:f>Coder_B!F685</x:f>
        <x:v>0</x:v>
      </x:c>
    </x:row>
    <x:row r="686">
      <x:c r="A686" s="16" t="n">
        <x:v>685</x:v>
      </x:c>
      <x:c r="B686" s="16" t="str">
        <x:v>EXPERIMENT</x:v>
      </x:c>
      <x:c r="C686" s="16" t="str">
        <x:f>Coder_A!C686</x:f>
        <x:v>PILOT_01_E09</x:v>
      </x:c>
      <x:c r="D686" s="16" t="str">
        <x:v>duplicate_entity_leakage_checked</x:v>
      </x:c>
      <x:c r="E686" s="16" t="str">
        <x:f>Coder_A!E686</x:f>
        <x:v>NR</x:v>
      </x:c>
      <x:c r="F686" s="16" t="n">
        <x:f>Coder_B!E686</x:f>
        <x:v>0</x:v>
      </x:c>
      <x:c r="G686" s="16" t="str">
        <x:f>IF(F686="","PENDING",IF(E686=F686,"AGREE","DISAGREE"))</x:f>
        <x:v>PENDING</x:v>
      </x:c>
      <x:c r="H686" s="16" t="str">
        <x:v>Y</x:v>
      </x:c>
      <x:c r="I686" s="16" t="str">
        <x:f>Coder_A!F686</x:f>
        <x:v>Sec. 3 Datasets; Appendix A; Table 2; Table 1; Appendix B</x:v>
      </x:c>
      <x:c r="J686" s="16" t="n">
        <x:f>Coder_B!F686</x:f>
        <x:v>0</x:v>
      </x:c>
    </x:row>
    <x:row r="687">
      <x:c r="A687" s="16" t="n">
        <x:v>686</x:v>
      </x:c>
      <x:c r="B687" s="16" t="str">
        <x:v>EXPERIMENT</x:v>
      </x:c>
      <x:c r="C687" s="16" t="str">
        <x:f>Coder_A!C687</x:f>
        <x:v>PILOT_01_E09</x:v>
      </x:c>
      <x:c r="D687" s="16" t="str">
        <x:v>sparsity_construct</x:v>
      </x:c>
      <x:c r="E687" s="16" t="str">
        <x:f>Coder_A!E687</x:f>
        <x:v>NO_EXPLICIT_FOCUS</x:v>
      </x:c>
      <x:c r="F687" s="16" t="n">
        <x:f>Coder_B!E687</x:f>
        <x:v>0</x:v>
      </x:c>
      <x:c r="G687" s="16" t="str">
        <x:f>IF(F687="","PENDING",IF(E687=F687,"AGREE","DISAGREE"))</x:f>
        <x:v>PENDING</x:v>
      </x:c>
      <x:c r="H687" s="16" t="str">
        <x:v>Y</x:v>
      </x:c>
      <x:c r="I687" s="16" t="str">
        <x:f>Coder_A!F687</x:f>
        <x:v>Sec. 3 Datasets; Appendix A; Table 2; Table 1; Appendix B</x:v>
      </x:c>
      <x:c r="J687" s="16" t="n">
        <x:f>Coder_B!F687</x:f>
        <x:v>0</x:v>
      </x:c>
    </x:row>
    <x:row r="688">
      <x:c r="A688" s="16" t="n">
        <x:v>687</x:v>
      </x:c>
      <x:c r="B688" s="16" t="str">
        <x:v>EXPERIMENT</x:v>
      </x:c>
      <x:c r="C688" s="16" t="str">
        <x:f>Coder_A!C688</x:f>
        <x:v>PILOT_01_E09</x:v>
      </x:c>
      <x:c r="D688" s="16" t="str">
        <x:v>sparse_definition_original</x:v>
      </x:c>
      <x:c r="E688" s="16" t="str">
        <x:f>Coder_A!E688</x:f>
        <x:v>NA</x:v>
      </x:c>
      <x:c r="F688" s="16" t="n">
        <x:f>Coder_B!E688</x:f>
        <x:v>0</x:v>
      </x:c>
      <x:c r="G688" s="16" t="str">
        <x:f>IF(F688="","PENDING",IF(E688=F688,"AGREE","DISAGREE"))</x:f>
        <x:v>PENDING</x:v>
      </x:c>
      <x:c r="H688" s="16" t="str">
        <x:v>N</x:v>
      </x:c>
      <x:c r="I688" s="16" t="str">
        <x:f>Coder_A!F688</x:f>
        <x:v>Sec. 3 Datasets; Appendix A; Table 2; Table 1; Appendix B</x:v>
      </x:c>
      <x:c r="J688" s="16" t="n">
        <x:f>Coder_B!F688</x:f>
        <x:v>0</x:v>
      </x:c>
    </x:row>
    <x:row r="689">
      <x:c r="A689" s="16" t="n">
        <x:v>688</x:v>
      </x:c>
      <x:c r="B689" s="16" t="str">
        <x:v>EXPERIMENT</x:v>
      </x:c>
      <x:c r="C689" s="16" t="str">
        <x:f>Coder_A!C689</x:f>
        <x:v>PILOT_01_E09</x:v>
      </x:c>
      <x:c r="D689" s="16" t="str">
        <x:v>sparse_threshold_original</x:v>
      </x:c>
      <x:c r="E689" s="16" t="str">
        <x:f>Coder_A!E689</x:f>
        <x:v>NA</x:v>
      </x:c>
      <x:c r="F689" s="16" t="n">
        <x:f>Coder_B!E689</x:f>
        <x:v>0</x:v>
      </x:c>
      <x:c r="G689" s="16" t="str">
        <x:f>IF(F689="","PENDING",IF(E689=F689,"AGREE","DISAGREE"))</x:f>
        <x:v>PENDING</x:v>
      </x:c>
      <x:c r="H689" s="16" t="str">
        <x:v>N</x:v>
      </x:c>
      <x:c r="I689" s="16" t="str">
        <x:f>Coder_A!F689</x:f>
        <x:v>Sec. 3 Datasets; Appendix A; Table 2; Table 1; Appendix B</x:v>
      </x:c>
      <x:c r="J689" s="16" t="n">
        <x:f>Coder_B!F689</x:f>
        <x:v>0</x:v>
      </x:c>
    </x:row>
    <x:row r="690">
      <x:c r="A690" s="16" t="n">
        <x:v>689</x:v>
      </x:c>
      <x:c r="B690" s="16" t="str">
        <x:v>EXPERIMENT</x:v>
      </x:c>
      <x:c r="C690" s="16" t="str">
        <x:f>Coder_A!C690</x:f>
        <x:v>PILOT_01_E09</x:v>
      </x:c>
      <x:c r="D690" s="16" t="str">
        <x:v>threshold_source</x:v>
      </x:c>
      <x:c r="E690" s="16" t="str">
        <x:f>Coder_A!E690</x:f>
        <x:v>NA</x:v>
      </x:c>
      <x:c r="F690" s="16" t="n">
        <x:f>Coder_B!E690</x:f>
        <x:v>0</x:v>
      </x:c>
      <x:c r="G690" s="16" t="str">
        <x:f>IF(F690="","PENDING",IF(E690=F690,"AGREE","DISAGREE"))</x:f>
        <x:v>PENDING</x:v>
      </x:c>
      <x:c r="H690" s="16" t="str">
        <x:v>Y</x:v>
      </x:c>
      <x:c r="I690" s="16" t="str">
        <x:f>Coder_A!F690</x:f>
        <x:v>Sec. 3 Datasets; Appendix A; Table 2; Table 1; Appendix B</x:v>
      </x:c>
      <x:c r="J690" s="16" t="n">
        <x:f>Coder_B!F690</x:f>
        <x:v>0</x:v>
      </x:c>
    </x:row>
    <x:row r="691">
      <x:c r="A691" s="16" t="n">
        <x:v>690</x:v>
      </x:c>
      <x:c r="B691" s="16" t="str">
        <x:v>EXPERIMENT</x:v>
      </x:c>
      <x:c r="C691" s="16" t="str">
        <x:f>Coder_A!C691</x:f>
        <x:v>PILOT_01_E09</x:v>
      </x:c>
      <x:c r="D691" s="16" t="str">
        <x:v>frequency_computed_on</x:v>
      </x:c>
      <x:c r="E691" s="16" t="str">
        <x:f>Coder_A!E691</x:f>
        <x:v>NA</x:v>
      </x:c>
      <x:c r="F691" s="16" t="n">
        <x:f>Coder_B!E691</x:f>
        <x:v>0</x:v>
      </x:c>
      <x:c r="G691" s="16" t="str">
        <x:f>IF(F691="","PENDING",IF(E691=F691,"AGREE","DISAGREE"))</x:f>
        <x:v>PENDING</x:v>
      </x:c>
      <x:c r="H691" s="16" t="str">
        <x:v>Y</x:v>
      </x:c>
      <x:c r="I691" s="16" t="str">
        <x:f>Coder_A!F691</x:f>
        <x:v>Sec. 3 Datasets; Appendix A; Table 2; Table 1; Appendix B</x:v>
      </x:c>
      <x:c r="J691" s="16" t="n">
        <x:f>Coder_B!F691</x:f>
        <x:v>0</x:v>
      </x:c>
    </x:row>
    <x:row r="692">
      <x:c r="A692" s="16" t="n">
        <x:v>691</x:v>
      </x:c>
      <x:c r="B692" s="16" t="str">
        <x:v>EXPERIMENT</x:v>
      </x:c>
      <x:c r="C692" s="16" t="str">
        <x:f>Coder_A!C692</x:f>
        <x:v>PILOT_01_E09</x:v>
      </x:c>
      <x:c r="D692" s="16" t="str">
        <x:v>strict_zero_train_verified</x:v>
      </x:c>
      <x:c r="E692" s="16" t="str">
        <x:f>Coder_A!E692</x:f>
        <x:v>NA</x:v>
      </x:c>
      <x:c r="F692" s="16" t="n">
        <x:f>Coder_B!E692</x:f>
        <x:v>0</x:v>
      </x:c>
      <x:c r="G692" s="16" t="str">
        <x:f>IF(F692="","PENDING",IF(E692=F692,"AGREE","DISAGREE"))</x:f>
        <x:v>PENDING</x:v>
      </x:c>
      <x:c r="H692" s="16" t="str">
        <x:v>Y</x:v>
      </x:c>
      <x:c r="I692" s="16" t="str">
        <x:f>Coder_A!F692</x:f>
        <x:v>Sec. 3 Datasets; Appendix A; Table 2; Table 1; Appendix B</x:v>
      </x:c>
      <x:c r="J692" s="16" t="n">
        <x:f>Coder_B!F692</x:f>
        <x:v>0</x:v>
      </x:c>
    </x:row>
    <x:row r="693">
      <x:c r="A693" s="16" t="n">
        <x:v>692</x:v>
      </x:c>
      <x:c r="B693" s="16" t="str">
        <x:v>EXPERIMENT</x:v>
      </x:c>
      <x:c r="C693" s="16" t="str">
        <x:f>Coder_A!C693</x:f>
        <x:v>PILOT_01_E09</x:v>
      </x:c>
      <x:c r="D693" s="16" t="str">
        <x:v>external_info_for_unseen_kc</x:v>
      </x:c>
      <x:c r="E693" s="16" t="str">
        <x:f>Coder_A!E693</x:f>
        <x:v>NA</x:v>
      </x:c>
      <x:c r="F693" s="16" t="n">
        <x:f>Coder_B!E693</x:f>
        <x:v>0</x:v>
      </x:c>
      <x:c r="G693" s="16" t="str">
        <x:f>IF(F693="","PENDING",IF(E693=F693,"AGREE","DISAGREE"))</x:f>
        <x:v>PENDING</x:v>
      </x:c>
      <x:c r="H693" s="16" t="str">
        <x:v>Y</x:v>
      </x:c>
      <x:c r="I693" s="16" t="str">
        <x:f>Coder_A!F693</x:f>
        <x:v>Sec. 3 Datasets; Appendix A; Table 2; Table 1; Appendix B</x:v>
      </x:c>
      <x:c r="J693" s="16" t="n">
        <x:f>Coder_B!F693</x:f>
        <x:v>0</x:v>
      </x:c>
    </x:row>
    <x:row r="694">
      <x:c r="A694" s="16" t="n">
        <x:v>693</x:v>
      </x:c>
      <x:c r="B694" s="16" t="str">
        <x:v>EXPERIMENT</x:v>
      </x:c>
      <x:c r="C694" s="16" t="str">
        <x:f>Coder_A!C694</x:f>
        <x:v>PILOT_01_E09</x:v>
      </x:c>
      <x:c r="D694" s="16" t="str">
        <x:v>support_kcs</x:v>
      </x:c>
      <x:c r="E694" s="16" t="str">
        <x:f>Coder_A!E694</x:f>
        <x:v>NA</x:v>
      </x:c>
      <x:c r="F694" s="16" t="n">
        <x:f>Coder_B!E694</x:f>
        <x:v>0</x:v>
      </x:c>
      <x:c r="G694" s="16" t="str">
        <x:f>IF(F694="","PENDING",IF(E694=F694,"AGREE","DISAGREE"))</x:f>
        <x:v>PENDING</x:v>
      </x:c>
      <x:c r="H694" s="16" t="str">
        <x:v>N</x:v>
      </x:c>
      <x:c r="I694" s="16" t="str">
        <x:f>Coder_A!F694</x:f>
        <x:v>Sec. 3 Datasets; Appendix A; Table 2; Table 1; Appendix B</x:v>
      </x:c>
      <x:c r="J694" s="16" t="n">
        <x:f>Coder_B!F694</x:f>
        <x:v>0</x:v>
      </x:c>
    </x:row>
    <x:row r="695">
      <x:c r="A695" s="16" t="n">
        <x:v>694</x:v>
      </x:c>
      <x:c r="B695" s="16" t="str">
        <x:v>EXPERIMENT</x:v>
      </x:c>
      <x:c r="C695" s="16" t="str">
        <x:f>Coder_A!C695</x:f>
        <x:v>PILOT_01_E09</x:v>
      </x:c>
      <x:c r="D695" s="16" t="str">
        <x:v>support_learners</x:v>
      </x:c>
      <x:c r="E695" s="16" t="str">
        <x:f>Coder_A!E695</x:f>
        <x:v>NA</x:v>
      </x:c>
      <x:c r="F695" s="16" t="n">
        <x:f>Coder_B!E695</x:f>
        <x:v>0</x:v>
      </x:c>
      <x:c r="G695" s="16" t="str">
        <x:f>IF(F695="","PENDING",IF(E695=F695,"AGREE","DISAGREE"))</x:f>
        <x:v>PENDING</x:v>
      </x:c>
      <x:c r="H695" s="16" t="str">
        <x:v>N</x:v>
      </x:c>
      <x:c r="I695" s="16" t="str">
        <x:f>Coder_A!F695</x:f>
        <x:v>Sec. 3 Datasets; Appendix A; Table 2; Table 1; Appendix B</x:v>
      </x:c>
      <x:c r="J695" s="16" t="n">
        <x:f>Coder_B!F695</x:f>
        <x:v>0</x:v>
      </x:c>
    </x:row>
    <x:row r="696">
      <x:c r="A696" s="16" t="n">
        <x:v>695</x:v>
      </x:c>
      <x:c r="B696" s="16" t="str">
        <x:v>EXPERIMENT</x:v>
      </x:c>
      <x:c r="C696" s="16" t="str">
        <x:f>Coder_A!C696</x:f>
        <x:v>PILOT_01_E09</x:v>
      </x:c>
      <x:c r="D696" s="16" t="str">
        <x:v>support_items</x:v>
      </x:c>
      <x:c r="E696" s="16" t="str">
        <x:f>Coder_A!E696</x:f>
        <x:v>NA</x:v>
      </x:c>
      <x:c r="F696" s="16" t="n">
        <x:f>Coder_B!E696</x:f>
        <x:v>0</x:v>
      </x:c>
      <x:c r="G696" s="16" t="str">
        <x:f>IF(F696="","PENDING",IF(E696=F696,"AGREE","DISAGREE"))</x:f>
        <x:v>PENDING</x:v>
      </x:c>
      <x:c r="H696" s="16" t="str">
        <x:v>N</x:v>
      </x:c>
      <x:c r="I696" s="16" t="str">
        <x:f>Coder_A!F696</x:f>
        <x:v>Sec. 3 Datasets; Appendix A; Table 2; Table 1; Appendix B</x:v>
      </x:c>
      <x:c r="J696" s="16" t="n">
        <x:f>Coder_B!F696</x:f>
        <x:v>0</x:v>
      </x:c>
    </x:row>
    <x:row r="697">
      <x:c r="A697" s="16" t="n">
        <x:v>696</x:v>
      </x:c>
      <x:c r="B697" s="16" t="str">
        <x:v>EXPERIMENT</x:v>
      </x:c>
      <x:c r="C697" s="16" t="str">
        <x:f>Coder_A!C697</x:f>
        <x:v>PILOT_01_E09</x:v>
      </x:c>
      <x:c r="D697" s="16" t="str">
        <x:v>support_test_interactions</x:v>
      </x:c>
      <x:c r="E697" s="16" t="str">
        <x:f>Coder_A!E697</x:f>
        <x:v>NA</x:v>
      </x:c>
      <x:c r="F697" s="16" t="n">
        <x:f>Coder_B!E697</x:f>
        <x:v>0</x:v>
      </x:c>
      <x:c r="G697" s="16" t="str">
        <x:f>IF(F697="","PENDING",IF(E697=F697,"AGREE","DISAGREE"))</x:f>
        <x:v>PENDING</x:v>
      </x:c>
      <x:c r="H697" s="16" t="str">
        <x:v>N</x:v>
      </x:c>
      <x:c r="I697" s="16" t="str">
        <x:f>Coder_A!F697</x:f>
        <x:v>Sec. 3 Datasets; Appendix A; Table 2; Table 1; Appendix B</x:v>
      </x:c>
      <x:c r="J697" s="16" t="n">
        <x:f>Coder_B!F697</x:f>
        <x:v>0</x:v>
      </x:c>
    </x:row>
    <x:row r="698">
      <x:c r="A698" s="16" t="n">
        <x:v>697</x:v>
      </x:c>
      <x:c r="B698" s="16" t="str">
        <x:v>EXPERIMENT</x:v>
      </x:c>
      <x:c r="C698" s="16" t="str">
        <x:f>Coder_A!C698</x:f>
        <x:v>PILOT_01_E09</x:v>
      </x:c>
      <x:c r="D698" s="16" t="str">
        <x:v>positive_count</x:v>
      </x:c>
      <x:c r="E698" s="16" t="str">
        <x:f>Coder_A!E698</x:f>
        <x:v>NA</x:v>
      </x:c>
      <x:c r="F698" s="16" t="n">
        <x:f>Coder_B!E698</x:f>
        <x:v>0</x:v>
      </x:c>
      <x:c r="G698" s="16" t="str">
        <x:f>IF(F698="","PENDING",IF(E698=F698,"AGREE","DISAGREE"))</x:f>
        <x:v>PENDING</x:v>
      </x:c>
      <x:c r="H698" s="16" t="str">
        <x:v>N</x:v>
      </x:c>
      <x:c r="I698" s="16" t="str">
        <x:f>Coder_A!F698</x:f>
        <x:v>Sec. 3 Datasets; Appendix A; Table 2; Table 1; Appendix B</x:v>
      </x:c>
      <x:c r="J698" s="16" t="n">
        <x:f>Coder_B!F698</x:f>
        <x:v>0</x:v>
      </x:c>
    </x:row>
    <x:row r="699">
      <x:c r="A699" s="16" t="n">
        <x:v>698</x:v>
      </x:c>
      <x:c r="B699" s="16" t="str">
        <x:v>EXPERIMENT</x:v>
      </x:c>
      <x:c r="C699" s="16" t="str">
        <x:f>Coder_A!C699</x:f>
        <x:v>PILOT_01_E09</x:v>
      </x:c>
      <x:c r="D699" s="16" t="str">
        <x:v>negative_count</x:v>
      </x:c>
      <x:c r="E699" s="16" t="str">
        <x:f>Coder_A!E699</x:f>
        <x:v>NA</x:v>
      </x:c>
      <x:c r="F699" s="16" t="n">
        <x:f>Coder_B!E699</x:f>
        <x:v>0</x:v>
      </x:c>
      <x:c r="G699" s="16" t="str">
        <x:f>IF(F699="","PENDING",IF(E699=F699,"AGREE","DISAGREE"))</x:f>
        <x:v>PENDING</x:v>
      </x:c>
      <x:c r="H699" s="16" t="str">
        <x:v>N</x:v>
      </x:c>
      <x:c r="I699" s="16" t="str">
        <x:f>Coder_A!F699</x:f>
        <x:v>Sec. 3 Datasets; Appendix A; Table 2; Table 1; Appendix B</x:v>
      </x:c>
      <x:c r="J699" s="16" t="n">
        <x:f>Coder_B!F699</x:f>
        <x:v>0</x:v>
      </x:c>
    </x:row>
    <x:row r="700">
      <x:c r="A700" s="16" t="n">
        <x:v>699</x:v>
      </x:c>
      <x:c r="B700" s="16" t="str">
        <x:v>EXPERIMENT</x:v>
      </x:c>
      <x:c r="C700" s="16" t="str">
        <x:f>Coder_A!C700</x:f>
        <x:v>PILOT_01_E09</x:v>
      </x:c>
      <x:c r="D700" s="16" t="str">
        <x:v>metric_name_original</x:v>
      </x:c>
      <x:c r="E700" s="16" t="str">
        <x:f>Coder_A!E700</x:f>
        <x:v>AUC</x:v>
      </x:c>
      <x:c r="F700" s="16" t="n">
        <x:f>Coder_B!E700</x:f>
        <x:v>0</x:v>
      </x:c>
      <x:c r="G700" s="16" t="str">
        <x:f>IF(F700="","PENDING",IF(E700=F700,"AGREE","DISAGREE"))</x:f>
        <x:v>PENDING</x:v>
      </x:c>
      <x:c r="H700" s="16" t="str">
        <x:v>N</x:v>
      </x:c>
      <x:c r="I700" s="16" t="str">
        <x:f>Coder_A!F700</x:f>
        <x:v>Sec. 3 Datasets; Appendix A; Table 2; Table 1; Appendix B</x:v>
      </x:c>
      <x:c r="J700" s="16" t="n">
        <x:f>Coder_B!F700</x:f>
        <x:v>0</x:v>
      </x:c>
    </x:row>
    <x:row r="701">
      <x:c r="A701" s="16" t="n">
        <x:v>700</x:v>
      </x:c>
      <x:c r="B701" s="16" t="str">
        <x:v>EXPERIMENT</x:v>
      </x:c>
      <x:c r="C701" s="16" t="str">
        <x:f>Coder_A!C701</x:f>
        <x:v>PILOT_01_E09</x:v>
      </x:c>
      <x:c r="D701" s="16" t="str">
        <x:v>metric_value_original</x:v>
      </x:c>
      <x:c r="E701" s="16" t="n">
        <x:f>Coder_A!E701</x:f>
        <x:v>0.723</x:v>
      </x:c>
      <x:c r="F701" s="16" t="n">
        <x:f>Coder_B!E701</x:f>
        <x:v>0</x:v>
      </x:c>
      <x:c r="G701" s="16" t="str">
        <x:f>IF(F701="","PENDING",IF(E701=F701,"AGREE","DISAGREE"))</x:f>
        <x:v>PENDING</x:v>
      </x:c>
      <x:c r="H701" s="16" t="str">
        <x:v>N</x:v>
      </x:c>
      <x:c r="I701" s="16" t="str">
        <x:f>Coder_A!F701</x:f>
        <x:v>Sec. 3 Datasets; Appendix A; Table 2; Table 1; Appendix B</x:v>
      </x:c>
      <x:c r="J701" s="16" t="n">
        <x:f>Coder_B!F701</x:f>
        <x:v>0</x:v>
      </x:c>
    </x:row>
    <x:row r="702">
      <x:c r="A702" s="16" t="n">
        <x:v>701</x:v>
      </x:c>
      <x:c r="B702" s="16" t="str">
        <x:v>EXPERIMENT</x:v>
      </x:c>
      <x:c r="C702" s="16" t="str">
        <x:f>Coder_A!C702</x:f>
        <x:v>PILOT_01_E09</x:v>
      </x:c>
      <x:c r="D702" s="16" t="str">
        <x:v>metric_scope</x:v>
      </x:c>
      <x:c r="E702" s="16" t="str">
        <x:f>Coder_A!E702</x:f>
        <x:v>OVERALL</x:v>
      </x:c>
      <x:c r="F702" s="16" t="n">
        <x:f>Coder_B!E702</x:f>
        <x:v>0</x:v>
      </x:c>
      <x:c r="G702" s="16" t="str">
        <x:f>IF(F702="","PENDING",IF(E702=F702,"AGREE","DISAGREE"))</x:f>
        <x:v>PENDING</x:v>
      </x:c>
      <x:c r="H702" s="16" t="str">
        <x:v>Y</x:v>
      </x:c>
      <x:c r="I702" s="16" t="str">
        <x:f>Coder_A!F702</x:f>
        <x:v>Sec. 3 Datasets; Appendix A; Table 2; Table 1; Appendix B</x:v>
      </x:c>
      <x:c r="J702" s="16" t="n">
        <x:f>Coder_B!F702</x:f>
        <x:v>0</x:v>
      </x:c>
    </x:row>
    <x:row r="703">
      <x:c r="A703" s="16" t="n">
        <x:v>702</x:v>
      </x:c>
      <x:c r="B703" s="16" t="str">
        <x:v>EXPERIMENT</x:v>
      </x:c>
      <x:c r="C703" s="16" t="str">
        <x:f>Coder_A!C703</x:f>
        <x:v>PILOT_01_E09</x:v>
      </x:c>
      <x:c r="D703" s="16" t="str">
        <x:v>n_seeds</x:v>
      </x:c>
      <x:c r="E703" s="16" t="str">
        <x:f>Coder_A!E703</x:f>
        <x:v>NR</x:v>
      </x:c>
      <x:c r="F703" s="16" t="n">
        <x:f>Coder_B!E703</x:f>
        <x:v>0</x:v>
      </x:c>
      <x:c r="G703" s="16" t="str">
        <x:f>IF(F703="","PENDING",IF(E703=F703,"AGREE","DISAGREE"))</x:f>
        <x:v>PENDING</x:v>
      </x:c>
      <x:c r="H703" s="16" t="str">
        <x:v>N</x:v>
      </x:c>
      <x:c r="I703" s="16" t="str">
        <x:f>Coder_A!F703</x:f>
        <x:v>Sec. 3 Datasets; Appendix A; Table 2; Table 1; Appendix B</x:v>
      </x:c>
      <x:c r="J703" s="16" t="n">
        <x:f>Coder_B!F703</x:f>
        <x:v>0</x:v>
      </x:c>
    </x:row>
    <x:row r="704">
      <x:c r="A704" s="16" t="n">
        <x:v>703</x:v>
      </x:c>
      <x:c r="B704" s="16" t="str">
        <x:v>EXPERIMENT</x:v>
      </x:c>
      <x:c r="C704" s="16" t="str">
        <x:f>Coder_A!C704</x:f>
        <x:v>PILOT_01_E09</x:v>
      </x:c>
      <x:c r="D704" s="16" t="str">
        <x:v>seed_values_reported</x:v>
      </x:c>
      <x:c r="E704" s="16" t="str">
        <x:f>Coder_A!E704</x:f>
        <x:v>NR</x:v>
      </x:c>
      <x:c r="F704" s="16" t="n">
        <x:f>Coder_B!E704</x:f>
        <x:v>0</x:v>
      </x:c>
      <x:c r="G704" s="16" t="str">
        <x:f>IF(F704="","PENDING",IF(E704=F704,"AGREE","DISAGREE"))</x:f>
        <x:v>PENDING</x:v>
      </x:c>
      <x:c r="H704" s="16" t="str">
        <x:v>N</x:v>
      </x:c>
      <x:c r="I704" s="16" t="str">
        <x:f>Coder_A!F704</x:f>
        <x:v>Sec. 3 Datasets; Appendix A; Table 2; Table 1; Appendix B</x:v>
      </x:c>
      <x:c r="J704" s="16" t="n">
        <x:f>Coder_B!F704</x:f>
        <x:v>0</x:v>
      </x:c>
    </x:row>
    <x:row r="705">
      <x:c r="A705" s="16" t="n">
        <x:v>704</x:v>
      </x:c>
      <x:c r="B705" s="16" t="str">
        <x:v>EXPERIMENT</x:v>
      </x:c>
      <x:c r="C705" s="16" t="str">
        <x:f>Coder_A!C705</x:f>
        <x:v>PILOT_01_E09</x:v>
      </x:c>
      <x:c r="D705" s="16" t="str">
        <x:v>mean_std_reported</x:v>
      </x:c>
      <x:c r="E705" s="16" t="str">
        <x:f>Coder_A!E705</x:f>
        <x:v>N</x:v>
      </x:c>
      <x:c r="F705" s="16" t="n">
        <x:f>Coder_B!E705</x:f>
        <x:v>0</x:v>
      </x:c>
      <x:c r="G705" s="16" t="str">
        <x:f>IF(F705="","PENDING",IF(E705=F705,"AGREE","DISAGREE"))</x:f>
        <x:v>PENDING</x:v>
      </x:c>
      <x:c r="H705" s="16" t="str">
        <x:v>Y</x:v>
      </x:c>
      <x:c r="I705" s="16" t="str">
        <x:f>Coder_A!F705</x:f>
        <x:v>Sec. 3 Datasets; Appendix A; Table 2; Table 1; Appendix B</x:v>
      </x:c>
      <x:c r="J705" s="16" t="n">
        <x:f>Coder_B!F705</x:f>
        <x:v>0</x:v>
      </x:c>
    </x:row>
    <x:row r="706">
      <x:c r="A706" s="16" t="n">
        <x:v>705</x:v>
      </x:c>
      <x:c r="B706" s="16" t="str">
        <x:v>EXPERIMENT</x:v>
      </x:c>
      <x:c r="C706" s="16" t="str">
        <x:f>Coder_A!C706</x:f>
        <x:v>PILOT_01_E09</x:v>
      </x:c>
      <x:c r="D706" s="16" t="str">
        <x:v>confidence_interval</x:v>
      </x:c>
      <x:c r="E706" s="16" t="str">
        <x:f>Coder_A!E706</x:f>
        <x:v>NR</x:v>
      </x:c>
      <x:c r="F706" s="16" t="n">
        <x:f>Coder_B!E706</x:f>
        <x:v>0</x:v>
      </x:c>
      <x:c r="G706" s="16" t="str">
        <x:f>IF(F706="","PENDING",IF(E706=F706,"AGREE","DISAGREE"))</x:f>
        <x:v>PENDING</x:v>
      </x:c>
      <x:c r="H706" s="16" t="str">
        <x:v>N</x:v>
      </x:c>
      <x:c r="I706" s="16" t="str">
        <x:f>Coder_A!F706</x:f>
        <x:v>Sec. 3 Datasets; Appendix A; Table 2; Table 1; Appendix B</x:v>
      </x:c>
      <x:c r="J706" s="16" t="n">
        <x:f>Coder_B!F706</x:f>
        <x:v>0</x:v>
      </x:c>
    </x:row>
    <x:row r="707">
      <x:c r="A707" s="16" t="n">
        <x:v>706</x:v>
      </x:c>
      <x:c r="B707" s="16" t="str">
        <x:v>EXPERIMENT</x:v>
      </x:c>
      <x:c r="C707" s="16" t="str">
        <x:f>Coder_A!C707</x:f>
        <x:v>PILOT_01_E09</x:v>
      </x:c>
      <x:c r="D707" s="16" t="str">
        <x:v>bootstrap_unit</x:v>
      </x:c>
      <x:c r="E707" s="16" t="str">
        <x:f>Coder_A!E707</x:f>
        <x:v>NA</x:v>
      </x:c>
      <x:c r="F707" s="16" t="n">
        <x:f>Coder_B!E707</x:f>
        <x:v>0</x:v>
      </x:c>
      <x:c r="G707" s="16" t="str">
        <x:f>IF(F707="","PENDING",IF(E707=F707,"AGREE","DISAGREE"))</x:f>
        <x:v>PENDING</x:v>
      </x:c>
      <x:c r="H707" s="16" t="str">
        <x:v>Y</x:v>
      </x:c>
      <x:c r="I707" s="16" t="str">
        <x:f>Coder_A!F707</x:f>
        <x:v>Sec. 3 Datasets; Appendix A; Table 2; Table 1; Appendix B</x:v>
      </x:c>
      <x:c r="J707" s="16" t="n">
        <x:f>Coder_B!F707</x:f>
        <x:v>0</x:v>
      </x:c>
    </x:row>
    <x:row r="708">
      <x:c r="A708" s="16" t="n">
        <x:v>707</x:v>
      </x:c>
      <x:c r="B708" s="16" t="str">
        <x:v>EXPERIMENT</x:v>
      </x:c>
      <x:c r="C708" s="16" t="str">
        <x:f>Coder_A!C708</x:f>
        <x:v>PILOT_01_E09</x:v>
      </x:c>
      <x:c r="D708" s="16" t="str">
        <x:v>statistical_test</x:v>
      </x:c>
      <x:c r="E708" s="16" t="str">
        <x:f>Coder_A!E708</x:f>
        <x:v>NR</x:v>
      </x:c>
      <x:c r="F708" s="16" t="n">
        <x:f>Coder_B!E708</x:f>
        <x:v>0</x:v>
      </x:c>
      <x:c r="G708" s="16" t="str">
        <x:f>IF(F708="","PENDING",IF(E708=F708,"AGREE","DISAGREE"))</x:f>
        <x:v>PENDING</x:v>
      </x:c>
      <x:c r="H708" s="16" t="str">
        <x:v>N</x:v>
      </x:c>
      <x:c r="I708" s="16" t="str">
        <x:f>Coder_A!F708</x:f>
        <x:v>Sec. 3 Datasets; Appendix A; Table 2; Table 1; Appendix B</x:v>
      </x:c>
      <x:c r="J708" s="16" t="n">
        <x:f>Coder_B!F708</x:f>
        <x:v>0</x:v>
      </x:c>
    </x:row>
    <x:row r="709">
      <x:c r="A709" s="16" t="n">
        <x:v>708</x:v>
      </x:c>
      <x:c r="B709" s="16" t="str">
        <x:v>EXPERIMENT</x:v>
      </x:c>
      <x:c r="C709" s="16" t="str">
        <x:f>Coder_A!C709</x:f>
        <x:v>PILOT_01_E09</x:v>
      </x:c>
      <x:c r="D709" s="16" t="str">
        <x:v>multiple_comparison_correction</x:v>
      </x:c>
      <x:c r="E709" s="16" t="str">
        <x:f>Coder_A!E709</x:f>
        <x:v>NR</x:v>
      </x:c>
      <x:c r="F709" s="16" t="n">
        <x:f>Coder_B!E709</x:f>
        <x:v>0</x:v>
      </x:c>
      <x:c r="G709" s="16" t="str">
        <x:f>IF(F709="","PENDING",IF(E709=F709,"AGREE","DISAGREE"))</x:f>
        <x:v>PENDING</x:v>
      </x:c>
      <x:c r="H709" s="16" t="str">
        <x:v>N</x:v>
      </x:c>
      <x:c r="I709" s="16" t="str">
        <x:f>Coder_A!F709</x:f>
        <x:v>Sec. 3 Datasets; Appendix A; Table 2; Table 1; Appendix B</x:v>
      </x:c>
      <x:c r="J709" s="16" t="n">
        <x:f>Coder_B!F709</x:f>
        <x:v>0</x:v>
      </x:c>
    </x:row>
    <x:row r="710">
      <x:c r="A710" s="16" t="n">
        <x:v>709</x:v>
      </x:c>
      <x:c r="B710" s="16" t="str">
        <x:v>EXPERIMENT</x:v>
      </x:c>
      <x:c r="C710" s="16" t="str">
        <x:f>Coder_A!C710</x:f>
        <x:v>PILOT_01_E09</x:v>
      </x:c>
      <x:c r="D710" s="16" t="str">
        <x:v>effect_size</x:v>
      </x:c>
      <x:c r="E710" s="16" t="str">
        <x:f>Coder_A!E710</x:f>
        <x:v>NR</x:v>
      </x:c>
      <x:c r="F710" s="16" t="n">
        <x:f>Coder_B!E710</x:f>
        <x:v>0</x:v>
      </x:c>
      <x:c r="G710" s="16" t="str">
        <x:f>IF(F710="","PENDING",IF(E710=F710,"AGREE","DISAGREE"))</x:f>
        <x:v>PENDING</x:v>
      </x:c>
      <x:c r="H710" s="16" t="str">
        <x:v>N</x:v>
      </x:c>
      <x:c r="I710" s="16" t="str">
        <x:f>Coder_A!F710</x:f>
        <x:v>Sec. 3 Datasets; Appendix A; Table 2; Table 1; Appendix B</x:v>
      </x:c>
      <x:c r="J710" s="16" t="n">
        <x:f>Coder_B!F710</x:f>
        <x:v>0</x:v>
      </x:c>
    </x:row>
    <x:row r="711">
      <x:c r="A711" s="16" t="n">
        <x:v>710</x:v>
      </x:c>
      <x:c r="B711" s="16" t="str">
        <x:v>EXPERIMENT</x:v>
      </x:c>
      <x:c r="C711" s="16" t="str">
        <x:f>Coder_A!C711</x:f>
        <x:v>PILOT_01_E09</x:v>
      </x:c>
      <x:c r="D711" s="16" t="str">
        <x:v>paired_design</x:v>
      </x:c>
      <x:c r="E711" s="16" t="str">
        <x:f>Coder_A!E711</x:f>
        <x:v>NR</x:v>
      </x:c>
      <x:c r="F711" s="16" t="n">
        <x:f>Coder_B!E711</x:f>
        <x:v>0</x:v>
      </x:c>
      <x:c r="G711" s="16" t="str">
        <x:f>IF(F711="","PENDING",IF(E711=F711,"AGREE","DISAGREE"))</x:f>
        <x:v>PENDING</x:v>
      </x:c>
      <x:c r="H711" s="16" t="str">
        <x:v>Y</x:v>
      </x:c>
      <x:c r="I711" s="16" t="str">
        <x:f>Coder_A!F711</x:f>
        <x:v>Sec. 3 Datasets; Appendix A; Table 2; Table 1; Appendix B</x:v>
      </x:c>
      <x:c r="J711" s="16" t="n">
        <x:f>Coder_B!F711</x:f>
        <x:v>0</x:v>
      </x:c>
    </x:row>
    <x:row r="712">
      <x:c r="A712" s="16" t="n">
        <x:v>711</x:v>
      </x:c>
      <x:c r="B712" s="16" t="str">
        <x:v>EXPERIMENT</x:v>
      </x:c>
      <x:c r="C712" s="16" t="str">
        <x:f>Coder_A!C712</x:f>
        <x:v>PILOT_01_E09</x:v>
      </x:c>
      <x:c r="D712" s="16" t="str">
        <x:v>significance_threshold</x:v>
      </x:c>
      <x:c r="E712" s="16" t="str">
        <x:f>Coder_A!E712</x:f>
        <x:v>NR</x:v>
      </x:c>
      <x:c r="F712" s="16" t="n">
        <x:f>Coder_B!E712</x:f>
        <x:v>0</x:v>
      </x:c>
      <x:c r="G712" s="16" t="str">
        <x:f>IF(F712="","PENDING",IF(E712=F712,"AGREE","DISAGREE"))</x:f>
        <x:v>PENDING</x:v>
      </x:c>
      <x:c r="H712" s="16" t="str">
        <x:v>N</x:v>
      </x:c>
      <x:c r="I712" s="16" t="str">
        <x:f>Coder_A!F712</x:f>
        <x:v>Sec. 3 Datasets; Appendix A; Table 2; Table 1; Appendix B</x:v>
      </x:c>
      <x:c r="J712" s="16" t="n">
        <x:f>Coder_B!F712</x:f>
        <x:v>0</x:v>
      </x:c>
    </x:row>
    <x:row r="713">
      <x:c r="A713" s="16" t="n">
        <x:v>712</x:v>
      </x:c>
      <x:c r="B713" s="16" t="str">
        <x:v>EXPERIMENT</x:v>
      </x:c>
      <x:c r="C713" s="16" t="str">
        <x:f>Coder_A!C713</x:f>
        <x:v>PILOT_01_E09</x:v>
      </x:c>
      <x:c r="D713" s="16" t="str">
        <x:v>parameter_count</x:v>
      </x:c>
      <x:c r="E713" s="16" t="str">
        <x:f>Coder_A!E713</x:f>
        <x:v>NR</x:v>
      </x:c>
      <x:c r="F713" s="16" t="n">
        <x:f>Coder_B!E713</x:f>
        <x:v>0</x:v>
      </x:c>
      <x:c r="G713" s="16" t="str">
        <x:f>IF(F713="","PENDING",IF(E713=F713,"AGREE","DISAGREE"))</x:f>
        <x:v>PENDING</x:v>
      </x:c>
      <x:c r="H713" s="16" t="str">
        <x:v>N</x:v>
      </x:c>
      <x:c r="I713" s="16" t="str">
        <x:f>Coder_A!F713</x:f>
        <x:v>Sec. 3 Datasets; Appendix A; Table 2; Table 1; Appendix B</x:v>
      </x:c>
      <x:c r="J713" s="16" t="n">
        <x:f>Coder_B!F713</x:f>
        <x:v>0</x:v>
      </x:c>
    </x:row>
    <x:row r="714">
      <x:c r="A714" s="16" t="n">
        <x:v>713</x:v>
      </x:c>
      <x:c r="B714" s="16" t="str">
        <x:v>EXPERIMENT</x:v>
      </x:c>
      <x:c r="C714" s="16" t="str">
        <x:f>Coder_A!C714</x:f>
        <x:v>PILOT_01_E09</x:v>
      </x:c>
      <x:c r="D714" s="16" t="str">
        <x:v>train_time</x:v>
      </x:c>
      <x:c r="E714" s="16" t="str">
        <x:f>Coder_A!E714</x:f>
        <x:v>NR</x:v>
      </x:c>
      <x:c r="F714" s="16" t="n">
        <x:f>Coder_B!E714</x:f>
        <x:v>0</x:v>
      </x:c>
      <x:c r="G714" s="16" t="str">
        <x:f>IF(F714="","PENDING",IF(E714=F714,"AGREE","DISAGREE"))</x:f>
        <x:v>PENDING</x:v>
      </x:c>
      <x:c r="H714" s="16" t="str">
        <x:v>N</x:v>
      </x:c>
      <x:c r="I714" s="16" t="str">
        <x:f>Coder_A!F714</x:f>
        <x:v>Sec. 3 Datasets; Appendix A; Table 2; Table 1; Appendix B</x:v>
      </x:c>
      <x:c r="J714" s="16" t="n">
        <x:f>Coder_B!F714</x:f>
        <x:v>0</x:v>
      </x:c>
    </x:row>
    <x:row r="715">
      <x:c r="A715" s="16" t="n">
        <x:v>714</x:v>
      </x:c>
      <x:c r="B715" s="16" t="str">
        <x:v>EXPERIMENT</x:v>
      </x:c>
      <x:c r="C715" s="16" t="str">
        <x:f>Coder_A!C715</x:f>
        <x:v>PILOT_01_E09</x:v>
      </x:c>
      <x:c r="D715" s="16" t="str">
        <x:v>time_per_epoch</x:v>
      </x:c>
      <x:c r="E715" s="16" t="str">
        <x:f>Coder_A!E715</x:f>
        <x:v>NR</x:v>
      </x:c>
      <x:c r="F715" s="16" t="n">
        <x:f>Coder_B!E715</x:f>
        <x:v>0</x:v>
      </x:c>
      <x:c r="G715" s="16" t="str">
        <x:f>IF(F715="","PENDING",IF(E715=F715,"AGREE","DISAGREE"))</x:f>
        <x:v>PENDING</x:v>
      </x:c>
      <x:c r="H715" s="16" t="str">
        <x:v>N</x:v>
      </x:c>
      <x:c r="I715" s="16" t="str">
        <x:f>Coder_A!F715</x:f>
        <x:v>Sec. 3 Datasets; Appendix A; Table 2; Table 1; Appendix B</x:v>
      </x:c>
      <x:c r="J715" s="16" t="n">
        <x:f>Coder_B!F715</x:f>
        <x:v>0</x:v>
      </x:c>
    </x:row>
    <x:row r="716">
      <x:c r="A716" s="16" t="n">
        <x:v>715</x:v>
      </x:c>
      <x:c r="B716" s="16" t="str">
        <x:v>EXPERIMENT</x:v>
      </x:c>
      <x:c r="C716" s="16" t="str">
        <x:f>Coder_A!C716</x:f>
        <x:v>PILOT_01_E09</x:v>
      </x:c>
      <x:c r="D716" s="16" t="str">
        <x:v>inference_latency</x:v>
      </x:c>
      <x:c r="E716" s="16" t="str">
        <x:f>Coder_A!E716</x:f>
        <x:v>NR</x:v>
      </x:c>
      <x:c r="F716" s="16" t="n">
        <x:f>Coder_B!E716</x:f>
        <x:v>0</x:v>
      </x:c>
      <x:c r="G716" s="16" t="str">
        <x:f>IF(F716="","PENDING",IF(E716=F716,"AGREE","DISAGREE"))</x:f>
        <x:v>PENDING</x:v>
      </x:c>
      <x:c r="H716" s="16" t="str">
        <x:v>N</x:v>
      </x:c>
      <x:c r="I716" s="16" t="str">
        <x:f>Coder_A!F716</x:f>
        <x:v>Sec. 3 Datasets; Appendix A; Table 2; Table 1; Appendix B</x:v>
      </x:c>
      <x:c r="J716" s="16" t="n">
        <x:f>Coder_B!F716</x:f>
        <x:v>0</x:v>
      </x:c>
    </x:row>
    <x:row r="717">
      <x:c r="A717" s="16" t="n">
        <x:v>716</x:v>
      </x:c>
      <x:c r="B717" s="16" t="str">
        <x:v>EXPERIMENT</x:v>
      </x:c>
      <x:c r="C717" s="16" t="str">
        <x:f>Coder_A!C717</x:f>
        <x:v>PILOT_01_E09</x:v>
      </x:c>
      <x:c r="D717" s="16" t="str">
        <x:v>throughput</x:v>
      </x:c>
      <x:c r="E717" s="16" t="str">
        <x:f>Coder_A!E717</x:f>
        <x:v>NR</x:v>
      </x:c>
      <x:c r="F717" s="16" t="n">
        <x:f>Coder_B!E717</x:f>
        <x:v>0</x:v>
      </x:c>
      <x:c r="G717" s="16" t="str">
        <x:f>IF(F717="","PENDING",IF(E717=F717,"AGREE","DISAGREE"))</x:f>
        <x:v>PENDING</x:v>
      </x:c>
      <x:c r="H717" s="16" t="str">
        <x:v>N</x:v>
      </x:c>
      <x:c r="I717" s="16" t="str">
        <x:f>Coder_A!F717</x:f>
        <x:v>Sec. 3 Datasets; Appendix A; Table 2; Table 1; Appendix B</x:v>
      </x:c>
      <x:c r="J717" s="16" t="n">
        <x:f>Coder_B!F717</x:f>
        <x:v>0</x:v>
      </x:c>
    </x:row>
    <x:row r="718">
      <x:c r="A718" s="16" t="n">
        <x:v>717</x:v>
      </x:c>
      <x:c r="B718" s="16" t="str">
        <x:v>EXPERIMENT</x:v>
      </x:c>
      <x:c r="C718" s="16" t="str">
        <x:f>Coder_A!C718</x:f>
        <x:v>PILOT_01_E09</x:v>
      </x:c>
      <x:c r="D718" s="16" t="str">
        <x:v>cpu_ram</x:v>
      </x:c>
      <x:c r="E718" s="16" t="str">
        <x:f>Coder_A!E718</x:f>
        <x:v>NR</x:v>
      </x:c>
      <x:c r="F718" s="16" t="n">
        <x:f>Coder_B!E718</x:f>
        <x:v>0</x:v>
      </x:c>
      <x:c r="G718" s="16" t="str">
        <x:f>IF(F718="","PENDING",IF(E718=F718,"AGREE","DISAGREE"))</x:f>
        <x:v>PENDING</x:v>
      </x:c>
      <x:c r="H718" s="16" t="str">
        <x:v>N</x:v>
      </x:c>
      <x:c r="I718" s="16" t="str">
        <x:f>Coder_A!F718</x:f>
        <x:v>Sec. 3 Datasets; Appendix A; Table 2; Table 1; Appendix B</x:v>
      </x:c>
      <x:c r="J718" s="16" t="n">
        <x:f>Coder_B!F718</x:f>
        <x:v>0</x:v>
      </x:c>
    </x:row>
    <x:row r="719">
      <x:c r="A719" s="16" t="n">
        <x:v>718</x:v>
      </x:c>
      <x:c r="B719" s="16" t="str">
        <x:v>EXPERIMENT</x:v>
      </x:c>
      <x:c r="C719" s="16" t="str">
        <x:f>Coder_A!C719</x:f>
        <x:v>PILOT_01_E09</x:v>
      </x:c>
      <x:c r="D719" s="16" t="str">
        <x:v>gpu_vram</x:v>
      </x:c>
      <x:c r="E719" s="16" t="str">
        <x:f>Coder_A!E719</x:f>
        <x:v>NR</x:v>
      </x:c>
      <x:c r="F719" s="16" t="n">
        <x:f>Coder_B!E719</x:f>
        <x:v>0</x:v>
      </x:c>
      <x:c r="G719" s="16" t="str">
        <x:f>IF(F719="","PENDING",IF(E719=F719,"AGREE","DISAGREE"))</x:f>
        <x:v>PENDING</x:v>
      </x:c>
      <x:c r="H719" s="16" t="str">
        <x:v>N</x:v>
      </x:c>
      <x:c r="I719" s="16" t="str">
        <x:f>Coder_A!F719</x:f>
        <x:v>Sec. 3 Datasets; Appendix A; Table 2; Table 1; Appendix B</x:v>
      </x:c>
      <x:c r="J719" s="16" t="n">
        <x:f>Coder_B!F719</x:f>
        <x:v>0</x:v>
      </x:c>
    </x:row>
    <x:row r="720">
      <x:c r="A720" s="16" t="n">
        <x:v>719</x:v>
      </x:c>
      <x:c r="B720" s="16" t="str">
        <x:v>EXPERIMENT</x:v>
      </x:c>
      <x:c r="C720" s="16" t="str">
        <x:f>Coder_A!C720</x:f>
        <x:v>PILOT_01_E09</x:v>
      </x:c>
      <x:c r="D720" s="16" t="str">
        <x:v>hardware</x:v>
      </x:c>
      <x:c r="E720" s="16" t="str">
        <x:f>Coder_A!E720</x:f>
        <x:v>NR</x:v>
      </x:c>
      <x:c r="F720" s="16" t="n">
        <x:f>Coder_B!E720</x:f>
        <x:v>0</x:v>
      </x:c>
      <x:c r="G720" s="16" t="str">
        <x:f>IF(F720="","PENDING",IF(E720=F720,"AGREE","DISAGREE"))</x:f>
        <x:v>PENDING</x:v>
      </x:c>
      <x:c r="H720" s="16" t="str">
        <x:v>N</x:v>
      </x:c>
      <x:c r="I720" s="16" t="str">
        <x:f>Coder_A!F720</x:f>
        <x:v>Sec. 3 Datasets; Appendix A; Table 2; Table 1; Appendix B</x:v>
      </x:c>
      <x:c r="J720" s="16" t="n">
        <x:f>Coder_B!F720</x:f>
        <x:v>0</x:v>
      </x:c>
    </x:row>
    <x:row r="721">
      <x:c r="A721" s="16" t="n">
        <x:v>720</x:v>
      </x:c>
      <x:c r="B721" s="16" t="str">
        <x:v>EXPERIMENT</x:v>
      </x:c>
      <x:c r="C721" s="16" t="str">
        <x:f>Coder_A!C721</x:f>
        <x:v>PILOT_01_E09</x:v>
      </x:c>
      <x:c r="D721" s="16" t="str">
        <x:v>graph_construction_time</x:v>
      </x:c>
      <x:c r="E721" s="16" t="str">
        <x:f>Coder_A!E721</x:f>
        <x:v>NR</x:v>
      </x:c>
      <x:c r="F721" s="16" t="n">
        <x:f>Coder_B!E721</x:f>
        <x:v>0</x:v>
      </x:c>
      <x:c r="G721" s="16" t="str">
        <x:f>IF(F721="","PENDING",IF(E721=F721,"AGREE","DISAGREE"))</x:f>
        <x:v>PENDING</x:v>
      </x:c>
      <x:c r="H721" s="16" t="str">
        <x:v>N</x:v>
      </x:c>
      <x:c r="I721" s="16" t="str">
        <x:f>Coder_A!F721</x:f>
        <x:v>Sec. 3 Datasets; Appendix A; Table 2; Table 1; Appendix B</x:v>
      </x:c>
      <x:c r="J721" s="16" t="n">
        <x:f>Coder_B!F721</x:f>
        <x:v>0</x:v>
      </x:c>
    </x:row>
    <x:row r="722">
      <x:c r="A722" s="16" t="n">
        <x:v>721</x:v>
      </x:c>
      <x:c r="B722" s="16" t="str">
        <x:v>EXPERIMENT</x:v>
      </x:c>
      <x:c r="C722" s="16" t="str">
        <x:f>Coder_A!C722</x:f>
        <x:v>PILOT_01_E09</x:v>
      </x:c>
      <x:c r="D722" s="16" t="str">
        <x:v>complexity_formula</x:v>
      </x:c>
      <x:c r="E722" s="16" t="str">
        <x:f>Coder_A!E722</x:f>
        <x:v>NR</x:v>
      </x:c>
      <x:c r="F722" s="16" t="n">
        <x:f>Coder_B!E722</x:f>
        <x:v>0</x:v>
      </x:c>
      <x:c r="G722" s="16" t="str">
        <x:f>IF(F722="","PENDING",IF(E722=F722,"AGREE","DISAGREE"))</x:f>
        <x:v>PENDING</x:v>
      </x:c>
      <x:c r="H722" s="16" t="str">
        <x:v>N</x:v>
      </x:c>
      <x:c r="I722" s="16" t="str">
        <x:f>Coder_A!F722</x:f>
        <x:v>Sec. 3 Datasets; Appendix A; Table 2; Table 1; Appendix B</x:v>
      </x:c>
      <x:c r="J722" s="16" t="n">
        <x:f>Coder_B!F722</x:f>
        <x:v>0</x:v>
      </x:c>
    </x:row>
    <x:row r="723">
      <x:c r="A723" s="16" t="n">
        <x:v>722</x:v>
      </x:c>
      <x:c r="B723" s="16" t="str">
        <x:v>EXPERIMENT</x:v>
      </x:c>
      <x:c r="C723" s="16" t="str">
        <x:f>Coder_A!C723</x:f>
        <x:v>PILOT_01_E09</x:v>
      </x:c>
      <x:c r="D723" s="16" t="str">
        <x:v>scale_up_experiment</x:v>
      </x:c>
      <x:c r="E723" s="16" t="str">
        <x:f>Coder_A!E723</x:f>
        <x:v>N</x:v>
      </x:c>
      <x:c r="F723" s="16" t="n">
        <x:f>Coder_B!E723</x:f>
        <x:v>0</x:v>
      </x:c>
      <x:c r="G723" s="16" t="str">
        <x:f>IF(F723="","PENDING",IF(E723=F723,"AGREE","DISAGREE"))</x:f>
        <x:v>PENDING</x:v>
      </x:c>
      <x:c r="H723" s="16" t="str">
        <x:v>Y</x:v>
      </x:c>
      <x:c r="I723" s="16" t="str">
        <x:f>Coder_A!F723</x:f>
        <x:v>Sec. 3 Datasets; Appendix A; Table 2; Table 1; Appendix B</x:v>
      </x:c>
      <x:c r="J723" s="16" t="n">
        <x:f>Coder_B!F723</x:f>
        <x:v>0</x:v>
      </x:c>
    </x:row>
    <x:row r="724">
      <x:c r="A724" s="16" t="n">
        <x:v>723</x:v>
      </x:c>
      <x:c r="B724" s="16" t="str">
        <x:v>EXPERIMENT</x:v>
      </x:c>
      <x:c r="C724" s="16" t="str">
        <x:f>Coder_A!C724</x:f>
        <x:v>PILOT_01_E09</x:v>
      </x:c>
      <x:c r="D724" s="16" t="str">
        <x:v>oom_timeout_reported</x:v>
      </x:c>
      <x:c r="E724" s="16" t="str">
        <x:f>Coder_A!E724</x:f>
        <x:v>NR</x:v>
      </x:c>
      <x:c r="F724" s="16" t="n">
        <x:f>Coder_B!E724</x:f>
        <x:v>0</x:v>
      </x:c>
      <x:c r="G724" s="16" t="str">
        <x:f>IF(F724="","PENDING",IF(E724=F724,"AGREE","DISAGREE"))</x:f>
        <x:v>PENDING</x:v>
      </x:c>
      <x:c r="H724" s="16" t="str">
        <x:v>Y</x:v>
      </x:c>
      <x:c r="I724" s="16" t="str">
        <x:f>Coder_A!F724</x:f>
        <x:v>Sec. 3 Datasets; Appendix A; Table 2; Table 1; Appendix B</x:v>
      </x:c>
      <x:c r="J724" s="16" t="n">
        <x:f>Coder_B!F724</x:f>
        <x:v>0</x:v>
      </x:c>
    </x:row>
    <x:row r="725">
      <x:c r="A725" s="16" t="n">
        <x:v>724</x:v>
      </x:c>
      <x:c r="B725" s="16" t="str">
        <x:v>EXPERIMENT</x:v>
      </x:c>
      <x:c r="C725" s="16" t="str">
        <x:f>Coder_A!C725</x:f>
        <x:v>PILOT_01_E10</x:v>
      </x:c>
      <x:c r="D725" s="16" t="str">
        <x:v>dataset_name</x:v>
      </x:c>
      <x:c r="E725" s="16" t="str">
        <x:f>Coder_A!E725</x:f>
        <x:v>KDDCup</x:v>
      </x:c>
      <x:c r="F725" s="16" t="n">
        <x:f>Coder_B!E725</x:f>
        <x:v>0</x:v>
      </x:c>
      <x:c r="G725" s="16" t="str">
        <x:f>IF(F725="","PENDING",IF(E725=F725,"AGREE","DISAGREE"))</x:f>
        <x:v>PENDING</x:v>
      </x:c>
      <x:c r="H725" s="16" t="str">
        <x:v>N</x:v>
      </x:c>
      <x:c r="I725" s="16" t="str">
        <x:f>Coder_A!F725</x:f>
        <x:v>Sec. 3 Datasets; Appendix A; Table 2; Table 1; Appendix B</x:v>
      </x:c>
      <x:c r="J725" s="16" t="n">
        <x:f>Coder_B!F725</x:f>
        <x:v>0</x:v>
      </x:c>
    </x:row>
    <x:row r="726">
      <x:c r="A726" s="16" t="n">
        <x:v>725</x:v>
      </x:c>
      <x:c r="B726" s="16" t="str">
        <x:v>EXPERIMENT</x:v>
      </x:c>
      <x:c r="C726" s="16" t="str">
        <x:f>Coder_A!C726</x:f>
        <x:v>PILOT_01_E10</x:v>
      </x:c>
      <x:c r="D726" s="16" t="str">
        <x:v>dataset_version</x:v>
      </x:c>
      <x:c r="E726" s="16" t="str">
        <x:f>Coder_A!E726</x:f>
        <x:v>Bridge to Algebra 2006-2007</x:v>
      </x:c>
      <x:c r="F726" s="16" t="n">
        <x:f>Coder_B!E726</x:f>
        <x:v>0</x:v>
      </x:c>
      <x:c r="G726" s="16" t="str">
        <x:f>IF(F726="","PENDING",IF(E726=F726,"AGREE","DISAGREE"))</x:f>
        <x:v>PENDING</x:v>
      </x:c>
      <x:c r="H726" s="16" t="str">
        <x:v>N</x:v>
      </x:c>
      <x:c r="I726" s="16" t="str">
        <x:f>Coder_A!F726</x:f>
        <x:v>Sec. 3 Datasets; Appendix A; Table 2; Table 1; Appendix B</x:v>
      </x:c>
      <x:c r="J726" s="16" t="n">
        <x:f>Coder_B!F726</x:f>
        <x:v>0</x:v>
      </x:c>
    </x:row>
    <x:row r="727">
      <x:c r="A727" s="16" t="n">
        <x:v>726</x:v>
      </x:c>
      <x:c r="B727" s="16" t="str">
        <x:v>EXPERIMENT</x:v>
      </x:c>
      <x:c r="C727" s="16" t="str">
        <x:f>Coder_A!C727</x:f>
        <x:v>PILOT_01_E10</x:v>
      </x:c>
      <x:c r="D727" s="16" t="str">
        <x:v>n_learners_reported</x:v>
      </x:c>
      <x:c r="E727" s="16" t="n">
        <x:f>Coder_A!E727</x:f>
        <x:v>1000</x:v>
      </x:c>
      <x:c r="F727" s="16" t="n">
        <x:f>Coder_B!E727</x:f>
        <x:v>0</x:v>
      </x:c>
      <x:c r="G727" s="16" t="str">
        <x:f>IF(F727="","PENDING",IF(E727=F727,"AGREE","DISAGREE"))</x:f>
        <x:v>PENDING</x:v>
      </x:c>
      <x:c r="H727" s="16" t="str">
        <x:v>N</x:v>
      </x:c>
      <x:c r="I727" s="16" t="str">
        <x:f>Coder_A!F727</x:f>
        <x:v>Sec. 3 Datasets; Appendix A; Table 2; Table 1; Appendix B</x:v>
      </x:c>
      <x:c r="J727" s="16" t="n">
        <x:f>Coder_B!F727</x:f>
        <x:v>0</x:v>
      </x:c>
    </x:row>
    <x:row r="728">
      <x:c r="A728" s="16" t="n">
        <x:v>727</x:v>
      </x:c>
      <x:c r="B728" s="16" t="str">
        <x:v>EXPERIMENT</x:v>
      </x:c>
      <x:c r="C728" s="16" t="str">
        <x:f>Coder_A!C728</x:f>
        <x:v>PILOT_01_E10</x:v>
      </x:c>
      <x:c r="D728" s="16" t="str">
        <x:v>n_items_reported</x:v>
      </x:c>
      <x:c r="E728" s="16" t="str">
        <x:f>Coder_A!E728</x:f>
        <x:v>NR</x:v>
      </x:c>
      <x:c r="F728" s="16" t="n">
        <x:f>Coder_B!E728</x:f>
        <x:v>0</x:v>
      </x:c>
      <x:c r="G728" s="16" t="str">
        <x:f>IF(F728="","PENDING",IF(E728=F728,"AGREE","DISAGREE"))</x:f>
        <x:v>PENDING</x:v>
      </x:c>
      <x:c r="H728" s="16" t="str">
        <x:v>N</x:v>
      </x:c>
      <x:c r="I728" s="16" t="str">
        <x:f>Coder_A!F728</x:f>
        <x:v>Sec. 3 Datasets; Appendix A; Table 2; Table 1; Appendix B</x:v>
      </x:c>
      <x:c r="J728" s="16" t="n">
        <x:f>Coder_B!F728</x:f>
        <x:v>0</x:v>
      </x:c>
    </x:row>
    <x:row r="729">
      <x:c r="A729" s="16" t="n">
        <x:v>728</x:v>
      </x:c>
      <x:c r="B729" s="16" t="str">
        <x:v>EXPERIMENT</x:v>
      </x:c>
      <x:c r="C729" s="16" t="str">
        <x:f>Coder_A!C729</x:f>
        <x:v>PILOT_01_E10</x:v>
      </x:c>
      <x:c r="D729" s="16" t="str">
        <x:v>n_kcs_reported</x:v>
      </x:c>
      <x:c r="E729" s="16" t="n">
        <x:f>Coder_A!E729</x:f>
        <x:v>211</x:v>
      </x:c>
      <x:c r="F729" s="16" t="n">
        <x:f>Coder_B!E729</x:f>
        <x:v>0</x:v>
      </x:c>
      <x:c r="G729" s="16" t="str">
        <x:f>IF(F729="","PENDING",IF(E729=F729,"AGREE","DISAGREE"))</x:f>
        <x:v>PENDING</x:v>
      </x:c>
      <x:c r="H729" s="16" t="str">
        <x:v>N</x:v>
      </x:c>
      <x:c r="I729" s="16" t="str">
        <x:f>Coder_A!F729</x:f>
        <x:v>Sec. 3 Datasets; Appendix A; Table 2; Table 1; Appendix B</x:v>
      </x:c>
      <x:c r="J729" s="16" t="n">
        <x:f>Coder_B!F729</x:f>
        <x:v>0</x:v>
      </x:c>
    </x:row>
    <x:row r="730">
      <x:c r="A730" s="16" t="n">
        <x:v>729</x:v>
      </x:c>
      <x:c r="B730" s="16" t="str">
        <x:v>EXPERIMENT</x:v>
      </x:c>
      <x:c r="C730" s="16" t="str">
        <x:f>Coder_A!C730</x:f>
        <x:v>PILOT_01_E10</x:v>
      </x:c>
      <x:c r="D730" s="16" t="str">
        <x:v>n_interactions_reported</x:v>
      </x:c>
      <x:c r="E730" s="16" t="n">
        <x:f>Coder_A!E730</x:f>
        <x:v>98200</x:v>
      </x:c>
      <x:c r="F730" s="16" t="n">
        <x:f>Coder_B!E730</x:f>
        <x:v>0</x:v>
      </x:c>
      <x:c r="G730" s="16" t="str">
        <x:f>IF(F730="","PENDING",IF(E730=F730,"AGREE","DISAGREE"))</x:f>
        <x:v>PENDING</x:v>
      </x:c>
      <x:c r="H730" s="16" t="str">
        <x:v>N</x:v>
      </x:c>
      <x:c r="I730" s="16" t="str">
        <x:f>Coder_A!F730</x:f>
        <x:v>Sec. 3 Datasets; Appendix A; Table 2; Table 1; Appendix B</x:v>
      </x:c>
      <x:c r="J730" s="16" t="n">
        <x:f>Coder_B!F730</x:f>
        <x:v>0</x:v>
      </x:c>
    </x:row>
    <x:row r="731">
      <x:c r="A731" s="16" t="n">
        <x:v>730</x:v>
      </x:c>
      <x:c r="B731" s="16" t="str">
        <x:v>EXPERIMENT</x:v>
      </x:c>
      <x:c r="C731" s="16" t="str">
        <x:f>Coder_A!C731</x:f>
        <x:v>PILOT_01_E10</x:v>
      </x:c>
      <x:c r="D731" s="16" t="str">
        <x:v>multi_skill_present</x:v>
      </x:c>
      <x:c r="E731" s="16" t="str">
        <x:f>Coder_A!E731</x:f>
        <x:v>UNCLEAR</x:v>
      </x:c>
      <x:c r="F731" s="16" t="n">
        <x:f>Coder_B!E731</x:f>
        <x:v>0</x:v>
      </x:c>
      <x:c r="G731" s="16" t="str">
        <x:f>IF(F731="","PENDING",IF(E731=F731,"AGREE","DISAGREE"))</x:f>
        <x:v>PENDING</x:v>
      </x:c>
      <x:c r="H731" s="16" t="str">
        <x:v>Y</x:v>
      </x:c>
      <x:c r="I731" s="16" t="str">
        <x:f>Coder_A!F731</x:f>
        <x:v>Sec. 3 Datasets; Appendix A; Table 2; Table 1; Appendix B</x:v>
      </x:c>
      <x:c r="J731" s="16" t="n">
        <x:f>Coder_B!F731</x:f>
        <x:v>0</x:v>
      </x:c>
    </x:row>
    <x:row r="732">
      <x:c r="A732" s="16" t="n">
        <x:v>731</x:v>
      </x:c>
      <x:c r="B732" s="16" t="str">
        <x:v>EXPERIMENT</x:v>
      </x:c>
      <x:c r="C732" s="16" t="str">
        <x:f>Coder_A!C732</x:f>
        <x:v>PILOT_01_E10</x:v>
      </x:c>
      <x:c r="D732" s="16" t="str">
        <x:v>multi_skill_handling</x:v>
      </x:c>
      <x:c r="E732" s="16" t="str">
        <x:f>Coder_A!E732</x:f>
        <x:v>Combine simultaneous answer logs into one; extract named skill tags</x:v>
      </x:c>
      <x:c r="F732" s="16" t="n">
        <x:f>Coder_B!E732</x:f>
        <x:v>0</x:v>
      </x:c>
      <x:c r="G732" s="16" t="str">
        <x:f>IF(F732="","PENDING",IF(E732=F732,"AGREE","DISAGREE"))</x:f>
        <x:v>PENDING</x:v>
      </x:c>
      <x:c r="H732" s="16" t="str">
        <x:v>N</x:v>
      </x:c>
      <x:c r="I732" s="16" t="str">
        <x:f>Coder_A!F732</x:f>
        <x:v>Sec. 3 Datasets; Appendix A; Table 2; Table 1; Appendix B</x:v>
      </x:c>
      <x:c r="J732" s="16" t="n">
        <x:f>Coder_B!F732</x:f>
        <x:v>0</x:v>
      </x:c>
    </x:row>
    <x:row r="733">
      <x:c r="A733" s="16" t="n">
        <x:v>732</x:v>
      </x:c>
      <x:c r="B733" s="16" t="str">
        <x:v>EXPERIMENT</x:v>
      </x:c>
      <x:c r="C733" s="16" t="str">
        <x:f>Coder_A!C733</x:f>
        <x:v>PILOT_01_E10</x:v>
      </x:c>
      <x:c r="D733" s="16" t="str">
        <x:v>sequence_truncation</x:v>
      </x:c>
      <x:c r="E733" s="16" t="str">
        <x:f>Coder_A!E733</x:f>
        <x:v>NR</x:v>
      </x:c>
      <x:c r="F733" s="16" t="n">
        <x:f>Coder_B!E733</x:f>
        <x:v>0</x:v>
      </x:c>
      <x:c r="G733" s="16" t="str">
        <x:f>IF(F733="","PENDING",IF(E733=F733,"AGREE","DISAGREE"))</x:f>
        <x:v>PENDING</x:v>
      </x:c>
      <x:c r="H733" s="16" t="str">
        <x:v>N</x:v>
      </x:c>
      <x:c r="I733" s="16" t="str">
        <x:f>Coder_A!F733</x:f>
        <x:v>Sec. 3 Datasets; Appendix A; Table 2; Table 1; Appendix B</x:v>
      </x:c>
      <x:c r="J733" s="16" t="n">
        <x:f>Coder_B!F733</x:f>
        <x:v>0</x:v>
      </x:c>
    </x:row>
    <x:row r="734">
      <x:c r="A734" s="16" t="n">
        <x:v>733</x:v>
      </x:c>
      <x:c r="B734" s="16" t="str">
        <x:v>EXPERIMENT</x:v>
      </x:c>
      <x:c r="C734" s="16" t="str">
        <x:f>Coder_A!C734</x:f>
        <x:v>PILOT_01_E10</x:v>
      </x:c>
      <x:c r="D734" s="16" t="str">
        <x:v>min_sequence_filter</x:v>
      </x:c>
      <x:c r="E734" s="16" t="str">
        <x:f>Coder_A!E734</x:f>
        <x:v>NR</x:v>
      </x:c>
      <x:c r="F734" s="16" t="n">
        <x:f>Coder_B!E734</x:f>
        <x:v>0</x:v>
      </x:c>
      <x:c r="G734" s="16" t="str">
        <x:f>IF(F734="","PENDING",IF(E734=F734,"AGREE","DISAGREE"))</x:f>
        <x:v>PENDING</x:v>
      </x:c>
      <x:c r="H734" s="16" t="str">
        <x:v>N</x:v>
      </x:c>
      <x:c r="I734" s="16" t="str">
        <x:f>Coder_A!F734</x:f>
        <x:v>Sec. 3 Datasets; Appendix A; Table 2; Table 1; Appendix B</x:v>
      </x:c>
      <x:c r="J734" s="16" t="n">
        <x:f>Coder_B!F734</x:f>
        <x:v>0</x:v>
      </x:c>
    </x:row>
    <x:row r="735">
      <x:c r="A735" s="16" t="n">
        <x:v>734</x:v>
      </x:c>
      <x:c r="B735" s="16" t="str">
        <x:v>EXPERIMENT</x:v>
      </x:c>
      <x:c r="C735" s="16" t="str">
        <x:f>Coder_A!C735</x:f>
        <x:v>PILOT_01_E10</x:v>
      </x:c>
      <x:c r="D735" s="16" t="str">
        <x:v>timestamp_used</x:v>
      </x:c>
      <x:c r="E735" s="16" t="str">
        <x:f>Coder_A!E735</x:f>
        <x:v>UNCLEAR</x:v>
      </x:c>
      <x:c r="F735" s="16" t="n">
        <x:f>Coder_B!E735</x:f>
        <x:v>0</x:v>
      </x:c>
      <x:c r="G735" s="16" t="str">
        <x:f>IF(F735="","PENDING",IF(E735=F735,"AGREE","DISAGREE"))</x:f>
        <x:v>PENDING</x:v>
      </x:c>
      <x:c r="H735" s="16" t="str">
        <x:v>Y</x:v>
      </x:c>
      <x:c r="I735" s="16" t="str">
        <x:f>Coder_A!F735</x:f>
        <x:v>Sec. 3 Datasets; Appendix A; Table 2; Table 1; Appendix B</x:v>
      </x:c>
      <x:c r="J735" s="16" t="n">
        <x:f>Coder_B!F735</x:f>
        <x:v>0</x:v>
      </x:c>
    </x:row>
    <x:row r="736">
      <x:c r="A736" s="16" t="n">
        <x:v>735</x:v>
      </x:c>
      <x:c r="B736" s="16" t="str">
        <x:v>EXPERIMENT</x:v>
      </x:c>
      <x:c r="C736" s="16" t="str">
        <x:f>Coder_A!C736</x:f>
        <x:v>PILOT_01_E10</x:v>
      </x:c>
      <x:c r="D736" s="16" t="str">
        <x:v>preprocessing_code_available</x:v>
      </x:c>
      <x:c r="E736" s="16" t="str">
        <x:f>Coder_A!E736</x:f>
        <x:v>NR</x:v>
      </x:c>
      <x:c r="F736" s="16" t="n">
        <x:f>Coder_B!E736</x:f>
        <x:v>0</x:v>
      </x:c>
      <x:c r="G736" s="16" t="str">
        <x:f>IF(F736="","PENDING",IF(E736=F736,"AGREE","DISAGREE"))</x:f>
        <x:v>PENDING</x:v>
      </x:c>
      <x:c r="H736" s="16" t="str">
        <x:v>Y</x:v>
      </x:c>
      <x:c r="I736" s="16" t="str">
        <x:f>Coder_A!F736</x:f>
        <x:v>Sec. 3 Datasets; Appendix A; Table 2; Table 1; Appendix B</x:v>
      </x:c>
      <x:c r="J736" s="16" t="n">
        <x:f>Coder_B!F736</x:f>
        <x:v>0</x:v>
      </x:c>
    </x:row>
    <x:row r="737">
      <x:c r="A737" s="16" t="n">
        <x:v>736</x:v>
      </x:c>
      <x:c r="B737" s="16" t="str">
        <x:v>EXPERIMENT</x:v>
      </x:c>
      <x:c r="C737" s="16" t="str">
        <x:f>Coder_A!C737</x:f>
        <x:v>PILOT_01_E10</x:v>
      </x:c>
      <x:c r="D737" s="16" t="str">
        <x:v>split_type</x:v>
      </x:c>
      <x:c r="E737" s="16" t="str">
        <x:f>Coder_A!E737</x:f>
        <x:v>LEARNER_BASED</x:v>
      </x:c>
      <x:c r="F737" s="16" t="n">
        <x:f>Coder_B!E737</x:f>
        <x:v>0</x:v>
      </x:c>
      <x:c r="G737" s="16" t="str">
        <x:f>IF(F737="","PENDING",IF(E737=F737,"AGREE","DISAGREE"))</x:f>
        <x:v>PENDING</x:v>
      </x:c>
      <x:c r="H737" s="16" t="str">
        <x:v>Y</x:v>
      </x:c>
      <x:c r="I737" s="16" t="str">
        <x:f>Coder_A!F737</x:f>
        <x:v>Sec. 3 Datasets; Appendix A; Table 2; Table 1; Appendix B</x:v>
      </x:c>
      <x:c r="J737" s="16" t="n">
        <x:f>Coder_B!F737</x:f>
        <x:v>0</x:v>
      </x:c>
    </x:row>
    <x:row r="738">
      <x:c r="A738" s="16" t="n">
        <x:v>737</x:v>
      </x:c>
      <x:c r="B738" s="16" t="str">
        <x:v>EXPERIMENT</x:v>
      </x:c>
      <x:c r="C738" s="16" t="str">
        <x:f>Coder_A!C738</x:f>
        <x:v>PILOT_01_E10</x:v>
      </x:c>
      <x:c r="D738" s="16" t="str">
        <x:v>split_unit_original</x:v>
      </x:c>
      <x:c r="E738" s="16" t="str">
        <x:f>Coder_A!E738</x:f>
        <x:v>students</x:v>
      </x:c>
      <x:c r="F738" s="16" t="n">
        <x:f>Coder_B!E738</x:f>
        <x:v>0</x:v>
      </x:c>
      <x:c r="G738" s="16" t="str">
        <x:f>IF(F738="","PENDING",IF(E738=F738,"AGREE","DISAGREE"))</x:f>
        <x:v>PENDING</x:v>
      </x:c>
      <x:c r="H738" s="16" t="str">
        <x:v>N</x:v>
      </x:c>
      <x:c r="I738" s="16" t="str">
        <x:f>Coder_A!F738</x:f>
        <x:v>Sec. 3 Datasets; Appendix A; Table 2; Table 1; Appendix B</x:v>
      </x:c>
      <x:c r="J738" s="16" t="n">
        <x:f>Coder_B!F738</x:f>
        <x:v>0</x:v>
      </x:c>
    </x:row>
    <x:row r="739">
      <x:c r="A739" s="16" t="n">
        <x:v>738</x:v>
      </x:c>
      <x:c r="B739" s="16" t="str">
        <x:v>EXPERIMENT</x:v>
      </x:c>
      <x:c r="C739" s="16" t="str">
        <x:f>Coder_A!C739</x:f>
        <x:v>PILOT_01_E10</x:v>
      </x:c>
      <x:c r="D739" s="16" t="str">
        <x:v>train_fraction</x:v>
      </x:c>
      <x:c r="E739" s="16" t="n">
        <x:f>Coder_A!E739</x:f>
        <x:v>0.8</x:v>
      </x:c>
      <x:c r="F739" s="16" t="n">
        <x:f>Coder_B!E739</x:f>
        <x:v>0</x:v>
      </x:c>
      <x:c r="G739" s="16" t="str">
        <x:f>IF(F739="","PENDING",IF(E739=F739,"AGREE","DISAGREE"))</x:f>
        <x:v>PENDING</x:v>
      </x:c>
      <x:c r="H739" s="16" t="str">
        <x:v>N</x:v>
      </x:c>
      <x:c r="I739" s="16" t="str">
        <x:f>Coder_A!F739</x:f>
        <x:v>Sec. 3 Datasets; Appendix A; Table 2; Table 1; Appendix B</x:v>
      </x:c>
      <x:c r="J739" s="16" t="n">
        <x:f>Coder_B!F739</x:f>
        <x:v>0</x:v>
      </x:c>
    </x:row>
    <x:row r="740">
      <x:c r="A740" s="16" t="n">
        <x:v>739</x:v>
      </x:c>
      <x:c r="B740" s="16" t="str">
        <x:v>EXPERIMENT</x:v>
      </x:c>
      <x:c r="C740" s="16" t="str">
        <x:f>Coder_A!C740</x:f>
        <x:v>PILOT_01_E10</x:v>
      </x:c>
      <x:c r="D740" s="16" t="str">
        <x:v>validation_fraction</x:v>
      </x:c>
      <x:c r="E740" s="16" t="n">
        <x:f>Coder_A!E740</x:f>
        <x:v>0.1</x:v>
      </x:c>
      <x:c r="F740" s="16" t="n">
        <x:f>Coder_B!E740</x:f>
        <x:v>0</x:v>
      </x:c>
      <x:c r="G740" s="16" t="str">
        <x:f>IF(F740="","PENDING",IF(E740=F740,"AGREE","DISAGREE"))</x:f>
        <x:v>PENDING</x:v>
      </x:c>
      <x:c r="H740" s="16" t="str">
        <x:v>N</x:v>
      </x:c>
      <x:c r="I740" s="16" t="str">
        <x:f>Coder_A!F740</x:f>
        <x:v>Sec. 3 Datasets; Appendix A; Table 2; Table 1; Appendix B</x:v>
      </x:c>
      <x:c r="J740" s="16" t="n">
        <x:f>Coder_B!F740</x:f>
        <x:v>0</x:v>
      </x:c>
    </x:row>
    <x:row r="741">
      <x:c r="A741" s="16" t="n">
        <x:v>740</x:v>
      </x:c>
      <x:c r="B741" s="16" t="str">
        <x:v>EXPERIMENT</x:v>
      </x:c>
      <x:c r="C741" s="16" t="str">
        <x:f>Coder_A!C741</x:f>
        <x:v>PILOT_01_E10</x:v>
      </x:c>
      <x:c r="D741" s="16" t="str">
        <x:v>test_fraction</x:v>
      </x:c>
      <x:c r="E741" s="16" t="n">
        <x:f>Coder_A!E741</x:f>
        <x:v>0.1</x:v>
      </x:c>
      <x:c r="F741" s="16" t="n">
        <x:f>Coder_B!E741</x:f>
        <x:v>0</x:v>
      </x:c>
      <x:c r="G741" s="16" t="str">
        <x:f>IF(F741="","PENDING",IF(E741=F741,"AGREE","DISAGREE"))</x:f>
        <x:v>PENDING</x:v>
      </x:c>
      <x:c r="H741" s="16" t="str">
        <x:v>N</x:v>
      </x:c>
      <x:c r="I741" s="16" t="str">
        <x:f>Coder_A!F741</x:f>
        <x:v>Sec. 3 Datasets; Appendix A; Table 2; Table 1; Appendix B</x:v>
      </x:c>
      <x:c r="J741" s="16" t="n">
        <x:f>Coder_B!F741</x:f>
        <x:v>0</x:v>
      </x:c>
    </x:row>
    <x:row r="742">
      <x:c r="A742" s="16" t="n">
        <x:v>741</x:v>
      </x:c>
      <x:c r="B742" s="16" t="str">
        <x:v>EXPERIMENT</x:v>
      </x:c>
      <x:c r="C742" s="16" t="str">
        <x:f>Coder_A!C742</x:f>
        <x:v>PILOT_01_E10</x:v>
      </x:c>
      <x:c r="D742" s="16" t="str">
        <x:v>validation_set_separate</x:v>
      </x:c>
      <x:c r="E742" s="16" t="str">
        <x:f>Coder_A!E742</x:f>
        <x:v>Y</x:v>
      </x:c>
      <x:c r="F742" s="16" t="n">
        <x:f>Coder_B!E742</x:f>
        <x:v>0</x:v>
      </x:c>
      <x:c r="G742" s="16" t="str">
        <x:f>IF(F742="","PENDING",IF(E742=F742,"AGREE","DISAGREE"))</x:f>
        <x:v>PENDING</x:v>
      </x:c>
      <x:c r="H742" s="16" t="str">
        <x:v>Y</x:v>
      </x:c>
      <x:c r="I742" s="16" t="str">
        <x:f>Coder_A!F742</x:f>
        <x:v>Sec. 3 Datasets; Appendix A; Table 2; Table 1; Appendix B</x:v>
      </x:c>
      <x:c r="J742" s="16" t="n">
        <x:f>Coder_B!F742</x:f>
        <x:v>0</x:v>
      </x:c>
    </x:row>
    <x:row r="743">
      <x:c r="A743" s="16" t="n">
        <x:v>742</x:v>
      </x:c>
      <x:c r="B743" s="16" t="str">
        <x:v>EXPERIMENT</x:v>
      </x:c>
      <x:c r="C743" s="16" t="str">
        <x:f>Coder_A!C743</x:f>
        <x:v>PILOT_01_E10</x:v>
      </x:c>
      <x:c r="D743" s="16" t="str">
        <x:v>early_stopping_validation_only</x:v>
      </x:c>
      <x:c r="E743" s="16" t="str">
        <x:f>Coder_A!E743</x:f>
        <x:v>UNCLEAR</x:v>
      </x:c>
      <x:c r="F743" s="16" t="n">
        <x:f>Coder_B!E743</x:f>
        <x:v>0</x:v>
      </x:c>
      <x:c r="G743" s="16" t="str">
        <x:f>IF(F743="","PENDING",IF(E743=F743,"AGREE","DISAGREE"))</x:f>
        <x:v>PENDING</x:v>
      </x:c>
      <x:c r="H743" s="16" t="str">
        <x:v>Y</x:v>
      </x:c>
      <x:c r="I743" s="16" t="str">
        <x:f>Coder_A!F743</x:f>
        <x:v>Sec. 3 Datasets; Appendix A; Table 2; Table 1; Appendix B</x:v>
      </x:c>
      <x:c r="J743" s="16" t="n">
        <x:f>Coder_B!F743</x:f>
        <x:v>0</x:v>
      </x:c>
    </x:row>
    <x:row r="744">
      <x:c r="A744" s="16" t="n">
        <x:v>743</x:v>
      </x:c>
      <x:c r="B744" s="16" t="str">
        <x:v>EXPERIMENT</x:v>
      </x:c>
      <x:c r="C744" s="16" t="str">
        <x:f>Coder_A!C744</x:f>
        <x:v>PILOT_01_E10</x:v>
      </x:c>
      <x:c r="D744" s="16" t="str">
        <x:v>graph_train_only</x:v>
      </x:c>
      <x:c r="E744" s="16" t="str">
        <x:f>Coder_A!E744</x:f>
        <x:v>Y</x:v>
      </x:c>
      <x:c r="F744" s="16" t="n">
        <x:f>Coder_B!E744</x:f>
        <x:v>0</x:v>
      </x:c>
      <x:c r="G744" s="16" t="str">
        <x:f>IF(F744="","PENDING",IF(E744=F744,"AGREE","DISAGREE"))</x:f>
        <x:v>PENDING</x:v>
      </x:c>
      <x:c r="H744" s="16" t="str">
        <x:v>Y</x:v>
      </x:c>
      <x:c r="I744" s="16" t="str">
        <x:f>Coder_A!F744</x:f>
        <x:v>Sec. 3 Datasets; Appendix A; Table 2; Table 1; Appendix B</x:v>
      </x:c>
      <x:c r="J744" s="16" t="n">
        <x:f>Coder_B!F744</x:f>
        <x:v>0</x:v>
      </x:c>
    </x:row>
    <x:row r="745">
      <x:c r="A745" s="16" t="n">
        <x:v>744</x:v>
      </x:c>
      <x:c r="B745" s="16" t="str">
        <x:v>EXPERIMENT</x:v>
      </x:c>
      <x:c r="C745" s="16" t="str">
        <x:f>Coder_A!C745</x:f>
        <x:v>PILOT_01_E10</x:v>
      </x:c>
      <x:c r="D745" s="16" t="str">
        <x:v>normalization_train_only</x:v>
      </x:c>
      <x:c r="E745" s="16" t="str">
        <x:f>Coder_A!E745</x:f>
        <x:v>NR</x:v>
      </x:c>
      <x:c r="F745" s="16" t="n">
        <x:f>Coder_B!E745</x:f>
        <x:v>0</x:v>
      </x:c>
      <x:c r="G745" s="16" t="str">
        <x:f>IF(F745="","PENDING",IF(E745=F745,"AGREE","DISAGREE"))</x:f>
        <x:v>PENDING</x:v>
      </x:c>
      <x:c r="H745" s="16" t="str">
        <x:v>Y</x:v>
      </x:c>
      <x:c r="I745" s="16" t="str">
        <x:f>Coder_A!F745</x:f>
        <x:v>Sec. 3 Datasets; Appendix A; Table 2; Table 1; Appendix B</x:v>
      </x:c>
      <x:c r="J745" s="16" t="n">
        <x:f>Coder_B!F745</x:f>
        <x:v>0</x:v>
      </x:c>
    </x:row>
    <x:row r="746">
      <x:c r="A746" s="16" t="n">
        <x:v>745</x:v>
      </x:c>
      <x:c r="B746" s="16" t="str">
        <x:v>EXPERIMENT</x:v>
      </x:c>
      <x:c r="C746" s="16" t="str">
        <x:f>Coder_A!C746</x:f>
        <x:v>PILOT_01_E10</x:v>
      </x:c>
      <x:c r="D746" s="16" t="str">
        <x:v>sparse_strata_train_only</x:v>
      </x:c>
      <x:c r="E746" s="16" t="str">
        <x:f>Coder_A!E746</x:f>
        <x:v>NA</x:v>
      </x:c>
      <x:c r="F746" s="16" t="n">
        <x:f>Coder_B!E746</x:f>
        <x:v>0</x:v>
      </x:c>
      <x:c r="G746" s="16" t="str">
        <x:f>IF(F746="","PENDING",IF(E746=F746,"AGREE","DISAGREE"))</x:f>
        <x:v>PENDING</x:v>
      </x:c>
      <x:c r="H746" s="16" t="str">
        <x:v>Y</x:v>
      </x:c>
      <x:c r="I746" s="16" t="str">
        <x:f>Coder_A!F746</x:f>
        <x:v>Sec. 3 Datasets; Appendix A; Table 2; Table 1; Appendix B</x:v>
      </x:c>
      <x:c r="J746" s="16" t="n">
        <x:f>Coder_B!F746</x:f>
        <x:v>0</x:v>
      </x:c>
    </x:row>
    <x:row r="747">
      <x:c r="A747" s="16" t="n">
        <x:v>746</x:v>
      </x:c>
      <x:c r="B747" s="16" t="str">
        <x:v>EXPERIMENT</x:v>
      </x:c>
      <x:c r="C747" s="16" t="str">
        <x:f>Coder_A!C747</x:f>
        <x:v>PILOT_01_E10</x:v>
      </x:c>
      <x:c r="D747" s="16" t="str">
        <x:v>temporal_alignment_audited</x:v>
      </x:c>
      <x:c r="E747" s="16" t="str">
        <x:f>Coder_A!E747</x:f>
        <x:v>NR</x:v>
      </x:c>
      <x:c r="F747" s="16" t="n">
        <x:f>Coder_B!E747</x:f>
        <x:v>0</x:v>
      </x:c>
      <x:c r="G747" s="16" t="str">
        <x:f>IF(F747="","PENDING",IF(E747=F747,"AGREE","DISAGREE"))</x:f>
        <x:v>PENDING</x:v>
      </x:c>
      <x:c r="H747" s="16" t="str">
        <x:v>Y</x:v>
      </x:c>
      <x:c r="I747" s="16" t="str">
        <x:f>Coder_A!F747</x:f>
        <x:v>Sec. 3 Datasets; Appendix A; Table 2; Table 1; Appendix B</x:v>
      </x:c>
      <x:c r="J747" s="16" t="n">
        <x:f>Coder_B!F747</x:f>
        <x:v>0</x:v>
      </x:c>
    </x:row>
    <x:row r="748">
      <x:c r="A748" s="16" t="n">
        <x:v>747</x:v>
      </x:c>
      <x:c r="B748" s="16" t="str">
        <x:v>EXPERIMENT</x:v>
      </x:c>
      <x:c r="C748" s="16" t="str">
        <x:f>Coder_A!C748</x:f>
        <x:v>PILOT_01_E10</x:v>
      </x:c>
      <x:c r="D748" s="16" t="str">
        <x:v>duplicate_entity_leakage_checked</x:v>
      </x:c>
      <x:c r="E748" s="16" t="str">
        <x:f>Coder_A!E748</x:f>
        <x:v>NR</x:v>
      </x:c>
      <x:c r="F748" s="16" t="n">
        <x:f>Coder_B!E748</x:f>
        <x:v>0</x:v>
      </x:c>
      <x:c r="G748" s="16" t="str">
        <x:f>IF(F748="","PENDING",IF(E748=F748,"AGREE","DISAGREE"))</x:f>
        <x:v>PENDING</x:v>
      </x:c>
      <x:c r="H748" s="16" t="str">
        <x:v>Y</x:v>
      </x:c>
      <x:c r="I748" s="16" t="str">
        <x:f>Coder_A!F748</x:f>
        <x:v>Sec. 3 Datasets; Appendix A; Table 2; Table 1; Appendix B</x:v>
      </x:c>
      <x:c r="J748" s="16" t="n">
        <x:f>Coder_B!F748</x:f>
        <x:v>0</x:v>
      </x:c>
    </x:row>
    <x:row r="749">
      <x:c r="A749" s="16" t="n">
        <x:v>748</x:v>
      </x:c>
      <x:c r="B749" s="16" t="str">
        <x:v>EXPERIMENT</x:v>
      </x:c>
      <x:c r="C749" s="16" t="str">
        <x:f>Coder_A!C749</x:f>
        <x:v>PILOT_01_E10</x:v>
      </x:c>
      <x:c r="D749" s="16" t="str">
        <x:v>sparsity_construct</x:v>
      </x:c>
      <x:c r="E749" s="16" t="str">
        <x:f>Coder_A!E749</x:f>
        <x:v>NO_EXPLICIT_FOCUS</x:v>
      </x:c>
      <x:c r="F749" s="16" t="n">
        <x:f>Coder_B!E749</x:f>
        <x:v>0</x:v>
      </x:c>
      <x:c r="G749" s="16" t="str">
        <x:f>IF(F749="","PENDING",IF(E749=F749,"AGREE","DISAGREE"))</x:f>
        <x:v>PENDING</x:v>
      </x:c>
      <x:c r="H749" s="16" t="str">
        <x:v>Y</x:v>
      </x:c>
      <x:c r="I749" s="16" t="str">
        <x:f>Coder_A!F749</x:f>
        <x:v>Sec. 3 Datasets; Appendix A; Table 2; Table 1; Appendix B</x:v>
      </x:c>
      <x:c r="J749" s="16" t="n">
        <x:f>Coder_B!F749</x:f>
        <x:v>0</x:v>
      </x:c>
    </x:row>
    <x:row r="750">
      <x:c r="A750" s="16" t="n">
        <x:v>749</x:v>
      </x:c>
      <x:c r="B750" s="16" t="str">
        <x:v>EXPERIMENT</x:v>
      </x:c>
      <x:c r="C750" s="16" t="str">
        <x:f>Coder_A!C750</x:f>
        <x:v>PILOT_01_E10</x:v>
      </x:c>
      <x:c r="D750" s="16" t="str">
        <x:v>sparse_definition_original</x:v>
      </x:c>
      <x:c r="E750" s="16" t="str">
        <x:f>Coder_A!E750</x:f>
        <x:v>NA</x:v>
      </x:c>
      <x:c r="F750" s="16" t="n">
        <x:f>Coder_B!E750</x:f>
        <x:v>0</x:v>
      </x:c>
      <x:c r="G750" s="16" t="str">
        <x:f>IF(F750="","PENDING",IF(E750=F750,"AGREE","DISAGREE"))</x:f>
        <x:v>PENDING</x:v>
      </x:c>
      <x:c r="H750" s="16" t="str">
        <x:v>N</x:v>
      </x:c>
      <x:c r="I750" s="16" t="str">
        <x:f>Coder_A!F750</x:f>
        <x:v>Sec. 3 Datasets; Appendix A; Table 2; Table 1; Appendix B</x:v>
      </x:c>
      <x:c r="J750" s="16" t="n">
        <x:f>Coder_B!F750</x:f>
        <x:v>0</x:v>
      </x:c>
    </x:row>
    <x:row r="751">
      <x:c r="A751" s="16" t="n">
        <x:v>750</x:v>
      </x:c>
      <x:c r="B751" s="16" t="str">
        <x:v>EXPERIMENT</x:v>
      </x:c>
      <x:c r="C751" s="16" t="str">
        <x:f>Coder_A!C751</x:f>
        <x:v>PILOT_01_E10</x:v>
      </x:c>
      <x:c r="D751" s="16" t="str">
        <x:v>sparse_threshold_original</x:v>
      </x:c>
      <x:c r="E751" s="16" t="str">
        <x:f>Coder_A!E751</x:f>
        <x:v>NA</x:v>
      </x:c>
      <x:c r="F751" s="16" t="n">
        <x:f>Coder_B!E751</x:f>
        <x:v>0</x:v>
      </x:c>
      <x:c r="G751" s="16" t="str">
        <x:f>IF(F751="","PENDING",IF(E751=F751,"AGREE","DISAGREE"))</x:f>
        <x:v>PENDING</x:v>
      </x:c>
      <x:c r="H751" s="16" t="str">
        <x:v>N</x:v>
      </x:c>
      <x:c r="I751" s="16" t="str">
        <x:f>Coder_A!F751</x:f>
        <x:v>Sec. 3 Datasets; Appendix A; Table 2; Table 1; Appendix B</x:v>
      </x:c>
      <x:c r="J751" s="16" t="n">
        <x:f>Coder_B!F751</x:f>
        <x:v>0</x:v>
      </x:c>
    </x:row>
    <x:row r="752">
      <x:c r="A752" s="16" t="n">
        <x:v>751</x:v>
      </x:c>
      <x:c r="B752" s="16" t="str">
        <x:v>EXPERIMENT</x:v>
      </x:c>
      <x:c r="C752" s="16" t="str">
        <x:f>Coder_A!C752</x:f>
        <x:v>PILOT_01_E10</x:v>
      </x:c>
      <x:c r="D752" s="16" t="str">
        <x:v>threshold_source</x:v>
      </x:c>
      <x:c r="E752" s="16" t="str">
        <x:f>Coder_A!E752</x:f>
        <x:v>NA</x:v>
      </x:c>
      <x:c r="F752" s="16" t="n">
        <x:f>Coder_B!E752</x:f>
        <x:v>0</x:v>
      </x:c>
      <x:c r="G752" s="16" t="str">
        <x:f>IF(F752="","PENDING",IF(E752=F752,"AGREE","DISAGREE"))</x:f>
        <x:v>PENDING</x:v>
      </x:c>
      <x:c r="H752" s="16" t="str">
        <x:v>Y</x:v>
      </x:c>
      <x:c r="I752" s="16" t="str">
        <x:f>Coder_A!F752</x:f>
        <x:v>Sec. 3 Datasets; Appendix A; Table 2; Table 1; Appendix B</x:v>
      </x:c>
      <x:c r="J752" s="16" t="n">
        <x:f>Coder_B!F752</x:f>
        <x:v>0</x:v>
      </x:c>
    </x:row>
    <x:row r="753">
      <x:c r="A753" s="16" t="n">
        <x:v>752</x:v>
      </x:c>
      <x:c r="B753" s="16" t="str">
        <x:v>EXPERIMENT</x:v>
      </x:c>
      <x:c r="C753" s="16" t="str">
        <x:f>Coder_A!C753</x:f>
        <x:v>PILOT_01_E10</x:v>
      </x:c>
      <x:c r="D753" s="16" t="str">
        <x:v>frequency_computed_on</x:v>
      </x:c>
      <x:c r="E753" s="16" t="str">
        <x:f>Coder_A!E753</x:f>
        <x:v>NA</x:v>
      </x:c>
      <x:c r="F753" s="16" t="n">
        <x:f>Coder_B!E753</x:f>
        <x:v>0</x:v>
      </x:c>
      <x:c r="G753" s="16" t="str">
        <x:f>IF(F753="","PENDING",IF(E753=F753,"AGREE","DISAGREE"))</x:f>
        <x:v>PENDING</x:v>
      </x:c>
      <x:c r="H753" s="16" t="str">
        <x:v>Y</x:v>
      </x:c>
      <x:c r="I753" s="16" t="str">
        <x:f>Coder_A!F753</x:f>
        <x:v>Sec. 3 Datasets; Appendix A; Table 2; Table 1; Appendix B</x:v>
      </x:c>
      <x:c r="J753" s="16" t="n">
        <x:f>Coder_B!F753</x:f>
        <x:v>0</x:v>
      </x:c>
    </x:row>
    <x:row r="754">
      <x:c r="A754" s="16" t="n">
        <x:v>753</x:v>
      </x:c>
      <x:c r="B754" s="16" t="str">
        <x:v>EXPERIMENT</x:v>
      </x:c>
      <x:c r="C754" s="16" t="str">
        <x:f>Coder_A!C754</x:f>
        <x:v>PILOT_01_E10</x:v>
      </x:c>
      <x:c r="D754" s="16" t="str">
        <x:v>strict_zero_train_verified</x:v>
      </x:c>
      <x:c r="E754" s="16" t="str">
        <x:f>Coder_A!E754</x:f>
        <x:v>NA</x:v>
      </x:c>
      <x:c r="F754" s="16" t="n">
        <x:f>Coder_B!E754</x:f>
        <x:v>0</x:v>
      </x:c>
      <x:c r="G754" s="16" t="str">
        <x:f>IF(F754="","PENDING",IF(E754=F754,"AGREE","DISAGREE"))</x:f>
        <x:v>PENDING</x:v>
      </x:c>
      <x:c r="H754" s="16" t="str">
        <x:v>Y</x:v>
      </x:c>
      <x:c r="I754" s="16" t="str">
        <x:f>Coder_A!F754</x:f>
        <x:v>Sec. 3 Datasets; Appendix A; Table 2; Table 1; Appendix B</x:v>
      </x:c>
      <x:c r="J754" s="16" t="n">
        <x:f>Coder_B!F754</x:f>
        <x:v>0</x:v>
      </x:c>
    </x:row>
    <x:row r="755">
      <x:c r="A755" s="16" t="n">
        <x:v>754</x:v>
      </x:c>
      <x:c r="B755" s="16" t="str">
        <x:v>EXPERIMENT</x:v>
      </x:c>
      <x:c r="C755" s="16" t="str">
        <x:f>Coder_A!C755</x:f>
        <x:v>PILOT_01_E10</x:v>
      </x:c>
      <x:c r="D755" s="16" t="str">
        <x:v>external_info_for_unseen_kc</x:v>
      </x:c>
      <x:c r="E755" s="16" t="str">
        <x:f>Coder_A!E755</x:f>
        <x:v>NA</x:v>
      </x:c>
      <x:c r="F755" s="16" t="n">
        <x:f>Coder_B!E755</x:f>
        <x:v>0</x:v>
      </x:c>
      <x:c r="G755" s="16" t="str">
        <x:f>IF(F755="","PENDING",IF(E755=F755,"AGREE","DISAGREE"))</x:f>
        <x:v>PENDING</x:v>
      </x:c>
      <x:c r="H755" s="16" t="str">
        <x:v>Y</x:v>
      </x:c>
      <x:c r="I755" s="16" t="str">
        <x:f>Coder_A!F755</x:f>
        <x:v>Sec. 3 Datasets; Appendix A; Table 2; Table 1; Appendix B</x:v>
      </x:c>
      <x:c r="J755" s="16" t="n">
        <x:f>Coder_B!F755</x:f>
        <x:v>0</x:v>
      </x:c>
    </x:row>
    <x:row r="756">
      <x:c r="A756" s="16" t="n">
        <x:v>755</x:v>
      </x:c>
      <x:c r="B756" s="16" t="str">
        <x:v>EXPERIMENT</x:v>
      </x:c>
      <x:c r="C756" s="16" t="str">
        <x:f>Coder_A!C756</x:f>
        <x:v>PILOT_01_E10</x:v>
      </x:c>
      <x:c r="D756" s="16" t="str">
        <x:v>support_kcs</x:v>
      </x:c>
      <x:c r="E756" s="16" t="str">
        <x:f>Coder_A!E756</x:f>
        <x:v>NA</x:v>
      </x:c>
      <x:c r="F756" s="16" t="n">
        <x:f>Coder_B!E756</x:f>
        <x:v>0</x:v>
      </x:c>
      <x:c r="G756" s="16" t="str">
        <x:f>IF(F756="","PENDING",IF(E756=F756,"AGREE","DISAGREE"))</x:f>
        <x:v>PENDING</x:v>
      </x:c>
      <x:c r="H756" s="16" t="str">
        <x:v>N</x:v>
      </x:c>
      <x:c r="I756" s="16" t="str">
        <x:f>Coder_A!F756</x:f>
        <x:v>Sec. 3 Datasets; Appendix A; Table 2; Table 1; Appendix B</x:v>
      </x:c>
      <x:c r="J756" s="16" t="n">
        <x:f>Coder_B!F756</x:f>
        <x:v>0</x:v>
      </x:c>
    </x:row>
    <x:row r="757">
      <x:c r="A757" s="16" t="n">
        <x:v>756</x:v>
      </x:c>
      <x:c r="B757" s="16" t="str">
        <x:v>EXPERIMENT</x:v>
      </x:c>
      <x:c r="C757" s="16" t="str">
        <x:f>Coder_A!C757</x:f>
        <x:v>PILOT_01_E10</x:v>
      </x:c>
      <x:c r="D757" s="16" t="str">
        <x:v>support_learners</x:v>
      </x:c>
      <x:c r="E757" s="16" t="str">
        <x:f>Coder_A!E757</x:f>
        <x:v>NA</x:v>
      </x:c>
      <x:c r="F757" s="16" t="n">
        <x:f>Coder_B!E757</x:f>
        <x:v>0</x:v>
      </x:c>
      <x:c r="G757" s="16" t="str">
        <x:f>IF(F757="","PENDING",IF(E757=F757,"AGREE","DISAGREE"))</x:f>
        <x:v>PENDING</x:v>
      </x:c>
      <x:c r="H757" s="16" t="str">
        <x:v>N</x:v>
      </x:c>
      <x:c r="I757" s="16" t="str">
        <x:f>Coder_A!F757</x:f>
        <x:v>Sec. 3 Datasets; Appendix A; Table 2; Table 1; Appendix B</x:v>
      </x:c>
      <x:c r="J757" s="16" t="n">
        <x:f>Coder_B!F757</x:f>
        <x:v>0</x:v>
      </x:c>
    </x:row>
    <x:row r="758">
      <x:c r="A758" s="16" t="n">
        <x:v>757</x:v>
      </x:c>
      <x:c r="B758" s="16" t="str">
        <x:v>EXPERIMENT</x:v>
      </x:c>
      <x:c r="C758" s="16" t="str">
        <x:f>Coder_A!C758</x:f>
        <x:v>PILOT_01_E10</x:v>
      </x:c>
      <x:c r="D758" s="16" t="str">
        <x:v>support_items</x:v>
      </x:c>
      <x:c r="E758" s="16" t="str">
        <x:f>Coder_A!E758</x:f>
        <x:v>NA</x:v>
      </x:c>
      <x:c r="F758" s="16" t="n">
        <x:f>Coder_B!E758</x:f>
        <x:v>0</x:v>
      </x:c>
      <x:c r="G758" s="16" t="str">
        <x:f>IF(F758="","PENDING",IF(E758=F758,"AGREE","DISAGREE"))</x:f>
        <x:v>PENDING</x:v>
      </x:c>
      <x:c r="H758" s="16" t="str">
        <x:v>N</x:v>
      </x:c>
      <x:c r="I758" s="16" t="str">
        <x:f>Coder_A!F758</x:f>
        <x:v>Sec. 3 Datasets; Appendix A; Table 2; Table 1; Appendix B</x:v>
      </x:c>
      <x:c r="J758" s="16" t="n">
        <x:f>Coder_B!F758</x:f>
        <x:v>0</x:v>
      </x:c>
    </x:row>
    <x:row r="759">
      <x:c r="A759" s="16" t="n">
        <x:v>758</x:v>
      </x:c>
      <x:c r="B759" s="16" t="str">
        <x:v>EXPERIMENT</x:v>
      </x:c>
      <x:c r="C759" s="16" t="str">
        <x:f>Coder_A!C759</x:f>
        <x:v>PILOT_01_E10</x:v>
      </x:c>
      <x:c r="D759" s="16" t="str">
        <x:v>support_test_interactions</x:v>
      </x:c>
      <x:c r="E759" s="16" t="str">
        <x:f>Coder_A!E759</x:f>
        <x:v>NA</x:v>
      </x:c>
      <x:c r="F759" s="16" t="n">
        <x:f>Coder_B!E759</x:f>
        <x:v>0</x:v>
      </x:c>
      <x:c r="G759" s="16" t="str">
        <x:f>IF(F759="","PENDING",IF(E759=F759,"AGREE","DISAGREE"))</x:f>
        <x:v>PENDING</x:v>
      </x:c>
      <x:c r="H759" s="16" t="str">
        <x:v>N</x:v>
      </x:c>
      <x:c r="I759" s="16" t="str">
        <x:f>Coder_A!F759</x:f>
        <x:v>Sec. 3 Datasets; Appendix A; Table 2; Table 1; Appendix B</x:v>
      </x:c>
      <x:c r="J759" s="16" t="n">
        <x:f>Coder_B!F759</x:f>
        <x:v>0</x:v>
      </x:c>
    </x:row>
    <x:row r="760">
      <x:c r="A760" s="16" t="n">
        <x:v>759</x:v>
      </x:c>
      <x:c r="B760" s="16" t="str">
        <x:v>EXPERIMENT</x:v>
      </x:c>
      <x:c r="C760" s="16" t="str">
        <x:f>Coder_A!C760</x:f>
        <x:v>PILOT_01_E10</x:v>
      </x:c>
      <x:c r="D760" s="16" t="str">
        <x:v>positive_count</x:v>
      </x:c>
      <x:c r="E760" s="16" t="str">
        <x:f>Coder_A!E760</x:f>
        <x:v>NA</x:v>
      </x:c>
      <x:c r="F760" s="16" t="n">
        <x:f>Coder_B!E760</x:f>
        <x:v>0</x:v>
      </x:c>
      <x:c r="G760" s="16" t="str">
        <x:f>IF(F760="","PENDING",IF(E760=F760,"AGREE","DISAGREE"))</x:f>
        <x:v>PENDING</x:v>
      </x:c>
      <x:c r="H760" s="16" t="str">
        <x:v>N</x:v>
      </x:c>
      <x:c r="I760" s="16" t="str">
        <x:f>Coder_A!F760</x:f>
        <x:v>Sec. 3 Datasets; Appendix A; Table 2; Table 1; Appendix B</x:v>
      </x:c>
      <x:c r="J760" s="16" t="n">
        <x:f>Coder_B!F760</x:f>
        <x:v>0</x:v>
      </x:c>
    </x:row>
    <x:row r="761">
      <x:c r="A761" s="16" t="n">
        <x:v>760</x:v>
      </x:c>
      <x:c r="B761" s="16" t="str">
        <x:v>EXPERIMENT</x:v>
      </x:c>
      <x:c r="C761" s="16" t="str">
        <x:f>Coder_A!C761</x:f>
        <x:v>PILOT_01_E10</x:v>
      </x:c>
      <x:c r="D761" s="16" t="str">
        <x:v>negative_count</x:v>
      </x:c>
      <x:c r="E761" s="16" t="str">
        <x:f>Coder_A!E761</x:f>
        <x:v>NA</x:v>
      </x:c>
      <x:c r="F761" s="16" t="n">
        <x:f>Coder_B!E761</x:f>
        <x:v>0</x:v>
      </x:c>
      <x:c r="G761" s="16" t="str">
        <x:f>IF(F761="","PENDING",IF(E761=F761,"AGREE","DISAGREE"))</x:f>
        <x:v>PENDING</x:v>
      </x:c>
      <x:c r="H761" s="16" t="str">
        <x:v>N</x:v>
      </x:c>
      <x:c r="I761" s="16" t="str">
        <x:f>Coder_A!F761</x:f>
        <x:v>Sec. 3 Datasets; Appendix A; Table 2; Table 1; Appendix B</x:v>
      </x:c>
      <x:c r="J761" s="16" t="n">
        <x:f>Coder_B!F761</x:f>
        <x:v>0</x:v>
      </x:c>
    </x:row>
    <x:row r="762">
      <x:c r="A762" s="16" t="n">
        <x:v>761</x:v>
      </x:c>
      <x:c r="B762" s="16" t="str">
        <x:v>EXPERIMENT</x:v>
      </x:c>
      <x:c r="C762" s="16" t="str">
        <x:f>Coder_A!C762</x:f>
        <x:v>PILOT_01_E10</x:v>
      </x:c>
      <x:c r="D762" s="16" t="str">
        <x:v>metric_name_original</x:v>
      </x:c>
      <x:c r="E762" s="16" t="str">
        <x:f>Coder_A!E762</x:f>
        <x:v>AUC</x:v>
      </x:c>
      <x:c r="F762" s="16" t="n">
        <x:f>Coder_B!E762</x:f>
        <x:v>0</x:v>
      </x:c>
      <x:c r="G762" s="16" t="str">
        <x:f>IF(F762="","PENDING",IF(E762=F762,"AGREE","DISAGREE"))</x:f>
        <x:v>PENDING</x:v>
      </x:c>
      <x:c r="H762" s="16" t="str">
        <x:v>N</x:v>
      </x:c>
      <x:c r="I762" s="16" t="str">
        <x:f>Coder_A!F762</x:f>
        <x:v>Sec. 3 Datasets; Appendix A; Table 2; Table 1; Appendix B</x:v>
      </x:c>
      <x:c r="J762" s="16" t="n">
        <x:f>Coder_B!F762</x:f>
        <x:v>0</x:v>
      </x:c>
    </x:row>
    <x:row r="763">
      <x:c r="A763" s="16" t="n">
        <x:v>762</x:v>
      </x:c>
      <x:c r="B763" s="16" t="str">
        <x:v>EXPERIMENT</x:v>
      </x:c>
      <x:c r="C763" s="16" t="str">
        <x:f>Coder_A!C763</x:f>
        <x:v>PILOT_01_E10</x:v>
      </x:c>
      <x:c r="D763" s="16" t="str">
        <x:v>metric_value_original</x:v>
      </x:c>
      <x:c r="E763" s="16" t="n">
        <x:f>Coder_A!E763</x:f>
        <x:v>0.766</x:v>
      </x:c>
      <x:c r="F763" s="16" t="n">
        <x:f>Coder_B!E763</x:f>
        <x:v>0</x:v>
      </x:c>
      <x:c r="G763" s="16" t="str">
        <x:f>IF(F763="","PENDING",IF(E763=F763,"AGREE","DISAGREE"))</x:f>
        <x:v>PENDING</x:v>
      </x:c>
      <x:c r="H763" s="16" t="str">
        <x:v>N</x:v>
      </x:c>
      <x:c r="I763" s="16" t="str">
        <x:f>Coder_A!F763</x:f>
        <x:v>Sec. 3 Datasets; Appendix A; Table 2; Table 1; Appendix B</x:v>
      </x:c>
      <x:c r="J763" s="16" t="n">
        <x:f>Coder_B!F763</x:f>
        <x:v>0</x:v>
      </x:c>
    </x:row>
    <x:row r="764">
      <x:c r="A764" s="16" t="n">
        <x:v>763</x:v>
      </x:c>
      <x:c r="B764" s="16" t="str">
        <x:v>EXPERIMENT</x:v>
      </x:c>
      <x:c r="C764" s="16" t="str">
        <x:f>Coder_A!C764</x:f>
        <x:v>PILOT_01_E10</x:v>
      </x:c>
      <x:c r="D764" s="16" t="str">
        <x:v>metric_scope</x:v>
      </x:c>
      <x:c r="E764" s="16" t="str">
        <x:f>Coder_A!E764</x:f>
        <x:v>OVERALL</x:v>
      </x:c>
      <x:c r="F764" s="16" t="n">
        <x:f>Coder_B!E764</x:f>
        <x:v>0</x:v>
      </x:c>
      <x:c r="G764" s="16" t="str">
        <x:f>IF(F764="","PENDING",IF(E764=F764,"AGREE","DISAGREE"))</x:f>
        <x:v>PENDING</x:v>
      </x:c>
      <x:c r="H764" s="16" t="str">
        <x:v>Y</x:v>
      </x:c>
      <x:c r="I764" s="16" t="str">
        <x:f>Coder_A!F764</x:f>
        <x:v>Sec. 3 Datasets; Appendix A; Table 2; Table 1; Appendix B</x:v>
      </x:c>
      <x:c r="J764" s="16" t="n">
        <x:f>Coder_B!F764</x:f>
        <x:v>0</x:v>
      </x:c>
    </x:row>
    <x:row r="765">
      <x:c r="A765" s="16" t="n">
        <x:v>764</x:v>
      </x:c>
      <x:c r="B765" s="16" t="str">
        <x:v>EXPERIMENT</x:v>
      </x:c>
      <x:c r="C765" s="16" t="str">
        <x:f>Coder_A!C765</x:f>
        <x:v>PILOT_01_E10</x:v>
      </x:c>
      <x:c r="D765" s="16" t="str">
        <x:v>n_seeds</x:v>
      </x:c>
      <x:c r="E765" s="16" t="str">
        <x:f>Coder_A!E765</x:f>
        <x:v>NR</x:v>
      </x:c>
      <x:c r="F765" s="16" t="n">
        <x:f>Coder_B!E765</x:f>
        <x:v>0</x:v>
      </x:c>
      <x:c r="G765" s="16" t="str">
        <x:f>IF(F765="","PENDING",IF(E765=F765,"AGREE","DISAGREE"))</x:f>
        <x:v>PENDING</x:v>
      </x:c>
      <x:c r="H765" s="16" t="str">
        <x:v>N</x:v>
      </x:c>
      <x:c r="I765" s="16" t="str">
        <x:f>Coder_A!F765</x:f>
        <x:v>Sec. 3 Datasets; Appendix A; Table 2; Table 1; Appendix B</x:v>
      </x:c>
      <x:c r="J765" s="16" t="n">
        <x:f>Coder_B!F765</x:f>
        <x:v>0</x:v>
      </x:c>
    </x:row>
    <x:row r="766">
      <x:c r="A766" s="16" t="n">
        <x:v>765</x:v>
      </x:c>
      <x:c r="B766" s="16" t="str">
        <x:v>EXPERIMENT</x:v>
      </x:c>
      <x:c r="C766" s="16" t="str">
        <x:f>Coder_A!C766</x:f>
        <x:v>PILOT_01_E10</x:v>
      </x:c>
      <x:c r="D766" s="16" t="str">
        <x:v>seed_values_reported</x:v>
      </x:c>
      <x:c r="E766" s="16" t="str">
        <x:f>Coder_A!E766</x:f>
        <x:v>NR</x:v>
      </x:c>
      <x:c r="F766" s="16" t="n">
        <x:f>Coder_B!E766</x:f>
        <x:v>0</x:v>
      </x:c>
      <x:c r="G766" s="16" t="str">
        <x:f>IF(F766="","PENDING",IF(E766=F766,"AGREE","DISAGREE"))</x:f>
        <x:v>PENDING</x:v>
      </x:c>
      <x:c r="H766" s="16" t="str">
        <x:v>N</x:v>
      </x:c>
      <x:c r="I766" s="16" t="str">
        <x:f>Coder_A!F766</x:f>
        <x:v>Sec. 3 Datasets; Appendix A; Table 2; Table 1; Appendix B</x:v>
      </x:c>
      <x:c r="J766" s="16" t="n">
        <x:f>Coder_B!F766</x:f>
        <x:v>0</x:v>
      </x:c>
    </x:row>
    <x:row r="767">
      <x:c r="A767" s="16" t="n">
        <x:v>766</x:v>
      </x:c>
      <x:c r="B767" s="16" t="str">
        <x:v>EXPERIMENT</x:v>
      </x:c>
      <x:c r="C767" s="16" t="str">
        <x:f>Coder_A!C767</x:f>
        <x:v>PILOT_01_E10</x:v>
      </x:c>
      <x:c r="D767" s="16" t="str">
        <x:v>mean_std_reported</x:v>
      </x:c>
      <x:c r="E767" s="16" t="str">
        <x:f>Coder_A!E767</x:f>
        <x:v>N</x:v>
      </x:c>
      <x:c r="F767" s="16" t="n">
        <x:f>Coder_B!E767</x:f>
        <x:v>0</x:v>
      </x:c>
      <x:c r="G767" s="16" t="str">
        <x:f>IF(F767="","PENDING",IF(E767=F767,"AGREE","DISAGREE"))</x:f>
        <x:v>PENDING</x:v>
      </x:c>
      <x:c r="H767" s="16" t="str">
        <x:v>Y</x:v>
      </x:c>
      <x:c r="I767" s="16" t="str">
        <x:f>Coder_A!F767</x:f>
        <x:v>Sec. 3 Datasets; Appendix A; Table 2; Table 1; Appendix B</x:v>
      </x:c>
      <x:c r="J767" s="16" t="n">
        <x:f>Coder_B!F767</x:f>
        <x:v>0</x:v>
      </x:c>
    </x:row>
    <x:row r="768">
      <x:c r="A768" s="16" t="n">
        <x:v>767</x:v>
      </x:c>
      <x:c r="B768" s="16" t="str">
        <x:v>EXPERIMENT</x:v>
      </x:c>
      <x:c r="C768" s="16" t="str">
        <x:f>Coder_A!C768</x:f>
        <x:v>PILOT_01_E10</x:v>
      </x:c>
      <x:c r="D768" s="16" t="str">
        <x:v>confidence_interval</x:v>
      </x:c>
      <x:c r="E768" s="16" t="str">
        <x:f>Coder_A!E768</x:f>
        <x:v>NR</x:v>
      </x:c>
      <x:c r="F768" s="16" t="n">
        <x:f>Coder_B!E768</x:f>
        <x:v>0</x:v>
      </x:c>
      <x:c r="G768" s="16" t="str">
        <x:f>IF(F768="","PENDING",IF(E768=F768,"AGREE","DISAGREE"))</x:f>
        <x:v>PENDING</x:v>
      </x:c>
      <x:c r="H768" s="16" t="str">
        <x:v>N</x:v>
      </x:c>
      <x:c r="I768" s="16" t="str">
        <x:f>Coder_A!F768</x:f>
        <x:v>Sec. 3 Datasets; Appendix A; Table 2; Table 1; Appendix B</x:v>
      </x:c>
      <x:c r="J768" s="16" t="n">
        <x:f>Coder_B!F768</x:f>
        <x:v>0</x:v>
      </x:c>
    </x:row>
    <x:row r="769">
      <x:c r="A769" s="16" t="n">
        <x:v>768</x:v>
      </x:c>
      <x:c r="B769" s="16" t="str">
        <x:v>EXPERIMENT</x:v>
      </x:c>
      <x:c r="C769" s="16" t="str">
        <x:f>Coder_A!C769</x:f>
        <x:v>PILOT_01_E10</x:v>
      </x:c>
      <x:c r="D769" s="16" t="str">
        <x:v>bootstrap_unit</x:v>
      </x:c>
      <x:c r="E769" s="16" t="str">
        <x:f>Coder_A!E769</x:f>
        <x:v>NA</x:v>
      </x:c>
      <x:c r="F769" s="16" t="n">
        <x:f>Coder_B!E769</x:f>
        <x:v>0</x:v>
      </x:c>
      <x:c r="G769" s="16" t="str">
        <x:f>IF(F769="","PENDING",IF(E769=F769,"AGREE","DISAGREE"))</x:f>
        <x:v>PENDING</x:v>
      </x:c>
      <x:c r="H769" s="16" t="str">
        <x:v>Y</x:v>
      </x:c>
      <x:c r="I769" s="16" t="str">
        <x:f>Coder_A!F769</x:f>
        <x:v>Sec. 3 Datasets; Appendix A; Table 2; Table 1; Appendix B</x:v>
      </x:c>
      <x:c r="J769" s="16" t="n">
        <x:f>Coder_B!F769</x:f>
        <x:v>0</x:v>
      </x:c>
    </x:row>
    <x:row r="770">
      <x:c r="A770" s="16" t="n">
        <x:v>769</x:v>
      </x:c>
      <x:c r="B770" s="16" t="str">
        <x:v>EXPERIMENT</x:v>
      </x:c>
      <x:c r="C770" s="16" t="str">
        <x:f>Coder_A!C770</x:f>
        <x:v>PILOT_01_E10</x:v>
      </x:c>
      <x:c r="D770" s="16" t="str">
        <x:v>statistical_test</x:v>
      </x:c>
      <x:c r="E770" s="16" t="str">
        <x:f>Coder_A!E770</x:f>
        <x:v>NR</x:v>
      </x:c>
      <x:c r="F770" s="16" t="n">
        <x:f>Coder_B!E770</x:f>
        <x:v>0</x:v>
      </x:c>
      <x:c r="G770" s="16" t="str">
        <x:f>IF(F770="","PENDING",IF(E770=F770,"AGREE","DISAGREE"))</x:f>
        <x:v>PENDING</x:v>
      </x:c>
      <x:c r="H770" s="16" t="str">
        <x:v>N</x:v>
      </x:c>
      <x:c r="I770" s="16" t="str">
        <x:f>Coder_A!F770</x:f>
        <x:v>Sec. 3 Datasets; Appendix A; Table 2; Table 1; Appendix B</x:v>
      </x:c>
      <x:c r="J770" s="16" t="n">
        <x:f>Coder_B!F770</x:f>
        <x:v>0</x:v>
      </x:c>
    </x:row>
    <x:row r="771">
      <x:c r="A771" s="16" t="n">
        <x:v>770</x:v>
      </x:c>
      <x:c r="B771" s="16" t="str">
        <x:v>EXPERIMENT</x:v>
      </x:c>
      <x:c r="C771" s="16" t="str">
        <x:f>Coder_A!C771</x:f>
        <x:v>PILOT_01_E10</x:v>
      </x:c>
      <x:c r="D771" s="16" t="str">
        <x:v>multiple_comparison_correction</x:v>
      </x:c>
      <x:c r="E771" s="16" t="str">
        <x:f>Coder_A!E771</x:f>
        <x:v>NR</x:v>
      </x:c>
      <x:c r="F771" s="16" t="n">
        <x:f>Coder_B!E771</x:f>
        <x:v>0</x:v>
      </x:c>
      <x:c r="G771" s="16" t="str">
        <x:f>IF(F771="","PENDING",IF(E771=F771,"AGREE","DISAGREE"))</x:f>
        <x:v>PENDING</x:v>
      </x:c>
      <x:c r="H771" s="16" t="str">
        <x:v>N</x:v>
      </x:c>
      <x:c r="I771" s="16" t="str">
        <x:f>Coder_A!F771</x:f>
        <x:v>Sec. 3 Datasets; Appendix A; Table 2; Table 1; Appendix B</x:v>
      </x:c>
      <x:c r="J771" s="16" t="n">
        <x:f>Coder_B!F771</x:f>
        <x:v>0</x:v>
      </x:c>
    </x:row>
    <x:row r="772">
      <x:c r="A772" s="16" t="n">
        <x:v>771</x:v>
      </x:c>
      <x:c r="B772" s="16" t="str">
        <x:v>EXPERIMENT</x:v>
      </x:c>
      <x:c r="C772" s="16" t="str">
        <x:f>Coder_A!C772</x:f>
        <x:v>PILOT_01_E10</x:v>
      </x:c>
      <x:c r="D772" s="16" t="str">
        <x:v>effect_size</x:v>
      </x:c>
      <x:c r="E772" s="16" t="str">
        <x:f>Coder_A!E772</x:f>
        <x:v>NR</x:v>
      </x:c>
      <x:c r="F772" s="16" t="n">
        <x:f>Coder_B!E772</x:f>
        <x:v>0</x:v>
      </x:c>
      <x:c r="G772" s="16" t="str">
        <x:f>IF(F772="","PENDING",IF(E772=F772,"AGREE","DISAGREE"))</x:f>
        <x:v>PENDING</x:v>
      </x:c>
      <x:c r="H772" s="16" t="str">
        <x:v>N</x:v>
      </x:c>
      <x:c r="I772" s="16" t="str">
        <x:f>Coder_A!F772</x:f>
        <x:v>Sec. 3 Datasets; Appendix A; Table 2; Table 1; Appendix B</x:v>
      </x:c>
      <x:c r="J772" s="16" t="n">
        <x:f>Coder_B!F772</x:f>
        <x:v>0</x:v>
      </x:c>
    </x:row>
    <x:row r="773">
      <x:c r="A773" s="16" t="n">
        <x:v>772</x:v>
      </x:c>
      <x:c r="B773" s="16" t="str">
        <x:v>EXPERIMENT</x:v>
      </x:c>
      <x:c r="C773" s="16" t="str">
        <x:f>Coder_A!C773</x:f>
        <x:v>PILOT_01_E10</x:v>
      </x:c>
      <x:c r="D773" s="16" t="str">
        <x:v>paired_design</x:v>
      </x:c>
      <x:c r="E773" s="16" t="str">
        <x:f>Coder_A!E773</x:f>
        <x:v>NR</x:v>
      </x:c>
      <x:c r="F773" s="16" t="n">
        <x:f>Coder_B!E773</x:f>
        <x:v>0</x:v>
      </x:c>
      <x:c r="G773" s="16" t="str">
        <x:f>IF(F773="","PENDING",IF(E773=F773,"AGREE","DISAGREE"))</x:f>
        <x:v>PENDING</x:v>
      </x:c>
      <x:c r="H773" s="16" t="str">
        <x:v>Y</x:v>
      </x:c>
      <x:c r="I773" s="16" t="str">
        <x:f>Coder_A!F773</x:f>
        <x:v>Sec. 3 Datasets; Appendix A; Table 2; Table 1; Appendix B</x:v>
      </x:c>
      <x:c r="J773" s="16" t="n">
        <x:f>Coder_B!F773</x:f>
        <x:v>0</x:v>
      </x:c>
    </x:row>
    <x:row r="774">
      <x:c r="A774" s="16" t="n">
        <x:v>773</x:v>
      </x:c>
      <x:c r="B774" s="16" t="str">
        <x:v>EXPERIMENT</x:v>
      </x:c>
      <x:c r="C774" s="16" t="str">
        <x:f>Coder_A!C774</x:f>
        <x:v>PILOT_01_E10</x:v>
      </x:c>
      <x:c r="D774" s="16" t="str">
        <x:v>significance_threshold</x:v>
      </x:c>
      <x:c r="E774" s="16" t="str">
        <x:f>Coder_A!E774</x:f>
        <x:v>NR</x:v>
      </x:c>
      <x:c r="F774" s="16" t="n">
        <x:f>Coder_B!E774</x:f>
        <x:v>0</x:v>
      </x:c>
      <x:c r="G774" s="16" t="str">
        <x:f>IF(F774="","PENDING",IF(E774=F774,"AGREE","DISAGREE"))</x:f>
        <x:v>PENDING</x:v>
      </x:c>
      <x:c r="H774" s="16" t="str">
        <x:v>N</x:v>
      </x:c>
      <x:c r="I774" s="16" t="str">
        <x:f>Coder_A!F774</x:f>
        <x:v>Sec. 3 Datasets; Appendix A; Table 2; Table 1; Appendix B</x:v>
      </x:c>
      <x:c r="J774" s="16" t="n">
        <x:f>Coder_B!F774</x:f>
        <x:v>0</x:v>
      </x:c>
    </x:row>
    <x:row r="775">
      <x:c r="A775" s="16" t="n">
        <x:v>774</x:v>
      </x:c>
      <x:c r="B775" s="16" t="str">
        <x:v>EXPERIMENT</x:v>
      </x:c>
      <x:c r="C775" s="16" t="str">
        <x:f>Coder_A!C775</x:f>
        <x:v>PILOT_01_E10</x:v>
      </x:c>
      <x:c r="D775" s="16" t="str">
        <x:v>parameter_count</x:v>
      </x:c>
      <x:c r="E775" s="16" t="str">
        <x:f>Coder_A!E775</x:f>
        <x:v>NR</x:v>
      </x:c>
      <x:c r="F775" s="16" t="n">
        <x:f>Coder_B!E775</x:f>
        <x:v>0</x:v>
      </x:c>
      <x:c r="G775" s="16" t="str">
        <x:f>IF(F775="","PENDING",IF(E775=F775,"AGREE","DISAGREE"))</x:f>
        <x:v>PENDING</x:v>
      </x:c>
      <x:c r="H775" s="16" t="str">
        <x:v>N</x:v>
      </x:c>
      <x:c r="I775" s="16" t="str">
        <x:f>Coder_A!F775</x:f>
        <x:v>Sec. 3 Datasets; Appendix A; Table 2; Table 1; Appendix B</x:v>
      </x:c>
      <x:c r="J775" s="16" t="n">
        <x:f>Coder_B!F775</x:f>
        <x:v>0</x:v>
      </x:c>
    </x:row>
    <x:row r="776">
      <x:c r="A776" s="16" t="n">
        <x:v>775</x:v>
      </x:c>
      <x:c r="B776" s="16" t="str">
        <x:v>EXPERIMENT</x:v>
      </x:c>
      <x:c r="C776" s="16" t="str">
        <x:f>Coder_A!C776</x:f>
        <x:v>PILOT_01_E10</x:v>
      </x:c>
      <x:c r="D776" s="16" t="str">
        <x:v>train_time</x:v>
      </x:c>
      <x:c r="E776" s="16" t="str">
        <x:f>Coder_A!E776</x:f>
        <x:v>NR</x:v>
      </x:c>
      <x:c r="F776" s="16" t="n">
        <x:f>Coder_B!E776</x:f>
        <x:v>0</x:v>
      </x:c>
      <x:c r="G776" s="16" t="str">
        <x:f>IF(F776="","PENDING",IF(E776=F776,"AGREE","DISAGREE"))</x:f>
        <x:v>PENDING</x:v>
      </x:c>
      <x:c r="H776" s="16" t="str">
        <x:v>N</x:v>
      </x:c>
      <x:c r="I776" s="16" t="str">
        <x:f>Coder_A!F776</x:f>
        <x:v>Sec. 3 Datasets; Appendix A; Table 2; Table 1; Appendix B</x:v>
      </x:c>
      <x:c r="J776" s="16" t="n">
        <x:f>Coder_B!F776</x:f>
        <x:v>0</x:v>
      </x:c>
    </x:row>
    <x:row r="777">
      <x:c r="A777" s="16" t="n">
        <x:v>776</x:v>
      </x:c>
      <x:c r="B777" s="16" t="str">
        <x:v>EXPERIMENT</x:v>
      </x:c>
      <x:c r="C777" s="16" t="str">
        <x:f>Coder_A!C777</x:f>
        <x:v>PILOT_01_E10</x:v>
      </x:c>
      <x:c r="D777" s="16" t="str">
        <x:v>time_per_epoch</x:v>
      </x:c>
      <x:c r="E777" s="16" t="str">
        <x:f>Coder_A!E777</x:f>
        <x:v>NR</x:v>
      </x:c>
      <x:c r="F777" s="16" t="n">
        <x:f>Coder_B!E777</x:f>
        <x:v>0</x:v>
      </x:c>
      <x:c r="G777" s="16" t="str">
        <x:f>IF(F777="","PENDING",IF(E777=F777,"AGREE","DISAGREE"))</x:f>
        <x:v>PENDING</x:v>
      </x:c>
      <x:c r="H777" s="16" t="str">
        <x:v>N</x:v>
      </x:c>
      <x:c r="I777" s="16" t="str">
        <x:f>Coder_A!F777</x:f>
        <x:v>Sec. 3 Datasets; Appendix A; Table 2; Table 1; Appendix B</x:v>
      </x:c>
      <x:c r="J777" s="16" t="n">
        <x:f>Coder_B!F777</x:f>
        <x:v>0</x:v>
      </x:c>
    </x:row>
    <x:row r="778">
      <x:c r="A778" s="16" t="n">
        <x:v>777</x:v>
      </x:c>
      <x:c r="B778" s="16" t="str">
        <x:v>EXPERIMENT</x:v>
      </x:c>
      <x:c r="C778" s="16" t="str">
        <x:f>Coder_A!C778</x:f>
        <x:v>PILOT_01_E10</x:v>
      </x:c>
      <x:c r="D778" s="16" t="str">
        <x:v>inference_latency</x:v>
      </x:c>
      <x:c r="E778" s="16" t="str">
        <x:f>Coder_A!E778</x:f>
        <x:v>NR</x:v>
      </x:c>
      <x:c r="F778" s="16" t="n">
        <x:f>Coder_B!E778</x:f>
        <x:v>0</x:v>
      </x:c>
      <x:c r="G778" s="16" t="str">
        <x:f>IF(F778="","PENDING",IF(E778=F778,"AGREE","DISAGREE"))</x:f>
        <x:v>PENDING</x:v>
      </x:c>
      <x:c r="H778" s="16" t="str">
        <x:v>N</x:v>
      </x:c>
      <x:c r="I778" s="16" t="str">
        <x:f>Coder_A!F778</x:f>
        <x:v>Sec. 3 Datasets; Appendix A; Table 2; Table 1; Appendix B</x:v>
      </x:c>
      <x:c r="J778" s="16" t="n">
        <x:f>Coder_B!F778</x:f>
        <x:v>0</x:v>
      </x:c>
    </x:row>
    <x:row r="779">
      <x:c r="A779" s="16" t="n">
        <x:v>778</x:v>
      </x:c>
      <x:c r="B779" s="16" t="str">
        <x:v>EXPERIMENT</x:v>
      </x:c>
      <x:c r="C779" s="16" t="str">
        <x:f>Coder_A!C779</x:f>
        <x:v>PILOT_01_E10</x:v>
      </x:c>
      <x:c r="D779" s="16" t="str">
        <x:v>throughput</x:v>
      </x:c>
      <x:c r="E779" s="16" t="str">
        <x:f>Coder_A!E779</x:f>
        <x:v>NR</x:v>
      </x:c>
      <x:c r="F779" s="16" t="n">
        <x:f>Coder_B!E779</x:f>
        <x:v>0</x:v>
      </x:c>
      <x:c r="G779" s="16" t="str">
        <x:f>IF(F779="","PENDING",IF(E779=F779,"AGREE","DISAGREE"))</x:f>
        <x:v>PENDING</x:v>
      </x:c>
      <x:c r="H779" s="16" t="str">
        <x:v>N</x:v>
      </x:c>
      <x:c r="I779" s="16" t="str">
        <x:f>Coder_A!F779</x:f>
        <x:v>Sec. 3 Datasets; Appendix A; Table 2; Table 1; Appendix B</x:v>
      </x:c>
      <x:c r="J779" s="16" t="n">
        <x:f>Coder_B!F779</x:f>
        <x:v>0</x:v>
      </x:c>
    </x:row>
    <x:row r="780">
      <x:c r="A780" s="16" t="n">
        <x:v>779</x:v>
      </x:c>
      <x:c r="B780" s="16" t="str">
        <x:v>EXPERIMENT</x:v>
      </x:c>
      <x:c r="C780" s="16" t="str">
        <x:f>Coder_A!C780</x:f>
        <x:v>PILOT_01_E10</x:v>
      </x:c>
      <x:c r="D780" s="16" t="str">
        <x:v>cpu_ram</x:v>
      </x:c>
      <x:c r="E780" s="16" t="str">
        <x:f>Coder_A!E780</x:f>
        <x:v>NR</x:v>
      </x:c>
      <x:c r="F780" s="16" t="n">
        <x:f>Coder_B!E780</x:f>
        <x:v>0</x:v>
      </x:c>
      <x:c r="G780" s="16" t="str">
        <x:f>IF(F780="","PENDING",IF(E780=F780,"AGREE","DISAGREE"))</x:f>
        <x:v>PENDING</x:v>
      </x:c>
      <x:c r="H780" s="16" t="str">
        <x:v>N</x:v>
      </x:c>
      <x:c r="I780" s="16" t="str">
        <x:f>Coder_A!F780</x:f>
        <x:v>Sec. 3 Datasets; Appendix A; Table 2; Table 1; Appendix B</x:v>
      </x:c>
      <x:c r="J780" s="16" t="n">
        <x:f>Coder_B!F780</x:f>
        <x:v>0</x:v>
      </x:c>
    </x:row>
    <x:row r="781">
      <x:c r="A781" s="16" t="n">
        <x:v>780</x:v>
      </x:c>
      <x:c r="B781" s="16" t="str">
        <x:v>EXPERIMENT</x:v>
      </x:c>
      <x:c r="C781" s="16" t="str">
        <x:f>Coder_A!C781</x:f>
        <x:v>PILOT_01_E10</x:v>
      </x:c>
      <x:c r="D781" s="16" t="str">
        <x:v>gpu_vram</x:v>
      </x:c>
      <x:c r="E781" s="16" t="str">
        <x:f>Coder_A!E781</x:f>
        <x:v>NR</x:v>
      </x:c>
      <x:c r="F781" s="16" t="n">
        <x:f>Coder_B!E781</x:f>
        <x:v>0</x:v>
      </x:c>
      <x:c r="G781" s="16" t="str">
        <x:f>IF(F781="","PENDING",IF(E781=F781,"AGREE","DISAGREE"))</x:f>
        <x:v>PENDING</x:v>
      </x:c>
      <x:c r="H781" s="16" t="str">
        <x:v>N</x:v>
      </x:c>
      <x:c r="I781" s="16" t="str">
        <x:f>Coder_A!F781</x:f>
        <x:v>Sec. 3 Datasets; Appendix A; Table 2; Table 1; Appendix B</x:v>
      </x:c>
      <x:c r="J781" s="16" t="n">
        <x:f>Coder_B!F781</x:f>
        <x:v>0</x:v>
      </x:c>
    </x:row>
    <x:row r="782">
      <x:c r="A782" s="16" t="n">
        <x:v>781</x:v>
      </x:c>
      <x:c r="B782" s="16" t="str">
        <x:v>EXPERIMENT</x:v>
      </x:c>
      <x:c r="C782" s="16" t="str">
        <x:f>Coder_A!C782</x:f>
        <x:v>PILOT_01_E10</x:v>
      </x:c>
      <x:c r="D782" s="16" t="str">
        <x:v>hardware</x:v>
      </x:c>
      <x:c r="E782" s="16" t="str">
        <x:f>Coder_A!E782</x:f>
        <x:v>NR</x:v>
      </x:c>
      <x:c r="F782" s="16" t="n">
        <x:f>Coder_B!E782</x:f>
        <x:v>0</x:v>
      </x:c>
      <x:c r="G782" s="16" t="str">
        <x:f>IF(F782="","PENDING",IF(E782=F782,"AGREE","DISAGREE"))</x:f>
        <x:v>PENDING</x:v>
      </x:c>
      <x:c r="H782" s="16" t="str">
        <x:v>N</x:v>
      </x:c>
      <x:c r="I782" s="16" t="str">
        <x:f>Coder_A!F782</x:f>
        <x:v>Sec. 3 Datasets; Appendix A; Table 2; Table 1; Appendix B</x:v>
      </x:c>
      <x:c r="J782" s="16" t="n">
        <x:f>Coder_B!F782</x:f>
        <x:v>0</x:v>
      </x:c>
    </x:row>
    <x:row r="783">
      <x:c r="A783" s="16" t="n">
        <x:v>782</x:v>
      </x:c>
      <x:c r="B783" s="16" t="str">
        <x:v>EXPERIMENT</x:v>
      </x:c>
      <x:c r="C783" s="16" t="str">
        <x:f>Coder_A!C783</x:f>
        <x:v>PILOT_01_E10</x:v>
      </x:c>
      <x:c r="D783" s="16" t="str">
        <x:v>graph_construction_time</x:v>
      </x:c>
      <x:c r="E783" s="16" t="str">
        <x:f>Coder_A!E783</x:f>
        <x:v>NR</x:v>
      </x:c>
      <x:c r="F783" s="16" t="n">
        <x:f>Coder_B!E783</x:f>
        <x:v>0</x:v>
      </x:c>
      <x:c r="G783" s="16" t="str">
        <x:f>IF(F783="","PENDING",IF(E783=F783,"AGREE","DISAGREE"))</x:f>
        <x:v>PENDING</x:v>
      </x:c>
      <x:c r="H783" s="16" t="str">
        <x:v>N</x:v>
      </x:c>
      <x:c r="I783" s="16" t="str">
        <x:f>Coder_A!F783</x:f>
        <x:v>Sec. 3 Datasets; Appendix A; Table 2; Table 1; Appendix B</x:v>
      </x:c>
      <x:c r="J783" s="16" t="n">
        <x:f>Coder_B!F783</x:f>
        <x:v>0</x:v>
      </x:c>
    </x:row>
    <x:row r="784">
      <x:c r="A784" s="16" t="n">
        <x:v>783</x:v>
      </x:c>
      <x:c r="B784" s="16" t="str">
        <x:v>EXPERIMENT</x:v>
      </x:c>
      <x:c r="C784" s="16" t="str">
        <x:f>Coder_A!C784</x:f>
        <x:v>PILOT_01_E10</x:v>
      </x:c>
      <x:c r="D784" s="16" t="str">
        <x:v>complexity_formula</x:v>
      </x:c>
      <x:c r="E784" s="16" t="str">
        <x:f>Coder_A!E784</x:f>
        <x:v>NR</x:v>
      </x:c>
      <x:c r="F784" s="16" t="n">
        <x:f>Coder_B!E784</x:f>
        <x:v>0</x:v>
      </x:c>
      <x:c r="G784" s="16" t="str">
        <x:f>IF(F784="","PENDING",IF(E784=F784,"AGREE","DISAGREE"))</x:f>
        <x:v>PENDING</x:v>
      </x:c>
      <x:c r="H784" s="16" t="str">
        <x:v>N</x:v>
      </x:c>
      <x:c r="I784" s="16" t="str">
        <x:f>Coder_A!F784</x:f>
        <x:v>Sec. 3 Datasets; Appendix A; Table 2; Table 1; Appendix B</x:v>
      </x:c>
      <x:c r="J784" s="16" t="n">
        <x:f>Coder_B!F784</x:f>
        <x:v>0</x:v>
      </x:c>
    </x:row>
    <x:row r="785">
      <x:c r="A785" s="16" t="n">
        <x:v>784</x:v>
      </x:c>
      <x:c r="B785" s="16" t="str">
        <x:v>EXPERIMENT</x:v>
      </x:c>
      <x:c r="C785" s="16" t="str">
        <x:f>Coder_A!C785</x:f>
        <x:v>PILOT_01_E10</x:v>
      </x:c>
      <x:c r="D785" s="16" t="str">
        <x:v>scale_up_experiment</x:v>
      </x:c>
      <x:c r="E785" s="16" t="str">
        <x:f>Coder_A!E785</x:f>
        <x:v>N</x:v>
      </x:c>
      <x:c r="F785" s="16" t="n">
        <x:f>Coder_B!E785</x:f>
        <x:v>0</x:v>
      </x:c>
      <x:c r="G785" s="16" t="str">
        <x:f>IF(F785="","PENDING",IF(E785=F785,"AGREE","DISAGREE"))</x:f>
        <x:v>PENDING</x:v>
      </x:c>
      <x:c r="H785" s="16" t="str">
        <x:v>Y</x:v>
      </x:c>
      <x:c r="I785" s="16" t="str">
        <x:f>Coder_A!F785</x:f>
        <x:v>Sec. 3 Datasets; Appendix A; Table 2; Table 1; Appendix B</x:v>
      </x:c>
      <x:c r="J785" s="16" t="n">
        <x:f>Coder_B!F785</x:f>
        <x:v>0</x:v>
      </x:c>
    </x:row>
    <x:row r="786">
      <x:c r="A786" s="16" t="n">
        <x:v>785</x:v>
      </x:c>
      <x:c r="B786" s="16" t="str">
        <x:v>EXPERIMENT</x:v>
      </x:c>
      <x:c r="C786" s="16" t="str">
        <x:f>Coder_A!C786</x:f>
        <x:v>PILOT_01_E10</x:v>
      </x:c>
      <x:c r="D786" s="16" t="str">
        <x:v>oom_timeout_reported</x:v>
      </x:c>
      <x:c r="E786" s="16" t="str">
        <x:f>Coder_A!E786</x:f>
        <x:v>NR</x:v>
      </x:c>
      <x:c r="F786" s="16" t="n">
        <x:f>Coder_B!E786</x:f>
        <x:v>0</x:v>
      </x:c>
      <x:c r="G786" s="16" t="str">
        <x:f>IF(F786="","PENDING",IF(E786=F786,"AGREE","DISAGREE"))</x:f>
        <x:v>PENDING</x:v>
      </x:c>
      <x:c r="H786" s="16" t="str">
        <x:v>Y</x:v>
      </x:c>
      <x:c r="I786" s="16" t="str">
        <x:f>Coder_A!F786</x:f>
        <x:v>Sec. 3 Datasets; Appendix A; Table 2; Table 1; Appendix B</x:v>
      </x:c>
      <x:c r="J786" s="16" t="n">
        <x:f>Coder_B!F786</x:f>
        <x:v>0</x:v>
      </x:c>
    </x:row>
    <x:row r="787">
      <x:c r="A787" s="16" t="n">
        <x:v>786</x:v>
      </x:c>
      <x:c r="B787" s="16" t="str">
        <x:v>EXPERIMENT</x:v>
      </x:c>
      <x:c r="C787" s="16" t="str">
        <x:f>Coder_A!C787</x:f>
        <x:v>PILOT_01_E11</x:v>
      </x:c>
      <x:c r="D787" s="16" t="str">
        <x:v>dataset_name</x:v>
      </x:c>
      <x:c r="E787" s="16" t="str">
        <x:f>Coder_A!E787</x:f>
        <x:v>ASSISTments</x:v>
      </x:c>
      <x:c r="F787" s="16" t="n">
        <x:f>Coder_B!E787</x:f>
        <x:v>0</x:v>
      </x:c>
      <x:c r="G787" s="16" t="str">
        <x:f>IF(F787="","PENDING",IF(E787=F787,"AGREE","DISAGREE"))</x:f>
        <x:v>PENDING</x:v>
      </x:c>
      <x:c r="H787" s="16" t="str">
        <x:v>N</x:v>
      </x:c>
      <x:c r="I787" s="16" t="str">
        <x:f>Coder_A!F787</x:f>
        <x:v>Sec. 3 Datasets; Appendix A; Table 2; Table 1; Appendix B</x:v>
      </x:c>
      <x:c r="J787" s="16" t="n">
        <x:f>Coder_B!F787</x:f>
        <x:v>0</x:v>
      </x:c>
    </x:row>
    <x:row r="788">
      <x:c r="A788" s="16" t="n">
        <x:v>787</x:v>
      </x:c>
      <x:c r="B788" s="16" t="str">
        <x:v>EXPERIMENT</x:v>
      </x:c>
      <x:c r="C788" s="16" t="str">
        <x:f>Coder_A!C788</x:f>
        <x:v>PILOT_01_E11</x:v>
      </x:c>
      <x:c r="D788" s="16" t="str">
        <x:v>dataset_version</x:v>
      </x:c>
      <x:c r="E788" s="16" t="str">
        <x:f>Coder_A!E788</x:f>
        <x:v>2009-2010 Skill Builder</x:v>
      </x:c>
      <x:c r="F788" s="16" t="n">
        <x:f>Coder_B!E788</x:f>
        <x:v>0</x:v>
      </x:c>
      <x:c r="G788" s="16" t="str">
        <x:f>IF(F788="","PENDING",IF(E788=F788,"AGREE","DISAGREE"))</x:f>
        <x:v>PENDING</x:v>
      </x:c>
      <x:c r="H788" s="16" t="str">
        <x:v>N</x:v>
      </x:c>
      <x:c r="I788" s="16" t="str">
        <x:f>Coder_A!F788</x:f>
        <x:v>Sec. 3 Datasets; Appendix A; Table 2; Table 1; Appendix B</x:v>
      </x:c>
      <x:c r="J788" s="16" t="n">
        <x:f>Coder_B!F788</x:f>
        <x:v>0</x:v>
      </x:c>
    </x:row>
    <x:row r="789">
      <x:c r="A789" s="16" t="n">
        <x:v>788</x:v>
      </x:c>
      <x:c r="B789" s="16" t="str">
        <x:v>EXPERIMENT</x:v>
      </x:c>
      <x:c r="C789" s="16" t="str">
        <x:f>Coder_A!C789</x:f>
        <x:v>PILOT_01_E11</x:v>
      </x:c>
      <x:c r="D789" s="16" t="str">
        <x:v>n_learners_reported</x:v>
      </x:c>
      <x:c r="E789" s="16" t="n">
        <x:f>Coder_A!E789</x:f>
        <x:v>1000</x:v>
      </x:c>
      <x:c r="F789" s="16" t="n">
        <x:f>Coder_B!E789</x:f>
        <x:v>0</x:v>
      </x:c>
      <x:c r="G789" s="16" t="str">
        <x:f>IF(F789="","PENDING",IF(E789=F789,"AGREE","DISAGREE"))</x:f>
        <x:v>PENDING</x:v>
      </x:c>
      <x:c r="H789" s="16" t="str">
        <x:v>N</x:v>
      </x:c>
      <x:c r="I789" s="16" t="str">
        <x:f>Coder_A!F789</x:f>
        <x:v>Sec. 3 Datasets; Appendix A; Table 2; Table 1; Appendix B</x:v>
      </x:c>
      <x:c r="J789" s="16" t="n">
        <x:f>Coder_B!F789</x:f>
        <x:v>0</x:v>
      </x:c>
    </x:row>
    <x:row r="790">
      <x:c r="A790" s="16" t="n">
        <x:v>789</x:v>
      </x:c>
      <x:c r="B790" s="16" t="str">
        <x:v>EXPERIMENT</x:v>
      </x:c>
      <x:c r="C790" s="16" t="str">
        <x:f>Coder_A!C790</x:f>
        <x:v>PILOT_01_E11</x:v>
      </x:c>
      <x:c r="D790" s="16" t="str">
        <x:v>n_items_reported</x:v>
      </x:c>
      <x:c r="E790" s="16" t="str">
        <x:f>Coder_A!E790</x:f>
        <x:v>NR</x:v>
      </x:c>
      <x:c r="F790" s="16" t="n">
        <x:f>Coder_B!E790</x:f>
        <x:v>0</x:v>
      </x:c>
      <x:c r="G790" s="16" t="str">
        <x:f>IF(F790="","PENDING",IF(E790=F790,"AGREE","DISAGREE"))</x:f>
        <x:v>PENDING</x:v>
      </x:c>
      <x:c r="H790" s="16" t="str">
        <x:v>N</x:v>
      </x:c>
      <x:c r="I790" s="16" t="str">
        <x:f>Coder_A!F790</x:f>
        <x:v>Sec. 3 Datasets; Appendix A; Table 2; Table 1; Appendix B</x:v>
      </x:c>
      <x:c r="J790" s="16" t="n">
        <x:f>Coder_B!F790</x:f>
        <x:v>0</x:v>
      </x:c>
    </x:row>
    <x:row r="791">
      <x:c r="A791" s="16" t="n">
        <x:v>790</x:v>
      </x:c>
      <x:c r="B791" s="16" t="str">
        <x:v>EXPERIMENT</x:v>
      </x:c>
      <x:c r="C791" s="16" t="str">
        <x:f>Coder_A!C791</x:f>
        <x:v>PILOT_01_E11</x:v>
      </x:c>
      <x:c r="D791" s="16" t="str">
        <x:v>n_kcs_reported</x:v>
      </x:c>
      <x:c r="E791" s="16" t="n">
        <x:f>Coder_A!E791</x:f>
        <x:v>101</x:v>
      </x:c>
      <x:c r="F791" s="16" t="n">
        <x:f>Coder_B!E791</x:f>
        <x:v>0</x:v>
      </x:c>
      <x:c r="G791" s="16" t="str">
        <x:f>IF(F791="","PENDING",IF(E791=F791,"AGREE","DISAGREE"))</x:f>
        <x:v>PENDING</x:v>
      </x:c>
      <x:c r="H791" s="16" t="str">
        <x:v>N</x:v>
      </x:c>
      <x:c r="I791" s="16" t="str">
        <x:f>Coder_A!F791</x:f>
        <x:v>Sec. 3 Datasets; Appendix A; Table 2; Table 1; Appendix B</x:v>
      </x:c>
      <x:c r="J791" s="16" t="n">
        <x:f>Coder_B!F791</x:f>
        <x:v>0</x:v>
      </x:c>
    </x:row>
    <x:row r="792">
      <x:c r="A792" s="16" t="n">
        <x:v>791</x:v>
      </x:c>
      <x:c r="B792" s="16" t="str">
        <x:v>EXPERIMENT</x:v>
      </x:c>
      <x:c r="C792" s="16" t="str">
        <x:f>Coder_A!C792</x:f>
        <x:v>PILOT_01_E11</x:v>
      </x:c>
      <x:c r="D792" s="16" t="str">
        <x:v>n_interactions_reported</x:v>
      </x:c>
      <x:c r="E792" s="16" t="n">
        <x:f>Coder_A!E792</x:f>
        <x:v>62955</x:v>
      </x:c>
      <x:c r="F792" s="16" t="n">
        <x:f>Coder_B!E792</x:f>
        <x:v>0</x:v>
      </x:c>
      <x:c r="G792" s="16" t="str">
        <x:f>IF(F792="","PENDING",IF(E792=F792,"AGREE","DISAGREE"))</x:f>
        <x:v>PENDING</x:v>
      </x:c>
      <x:c r="H792" s="16" t="str">
        <x:v>N</x:v>
      </x:c>
      <x:c r="I792" s="16" t="str">
        <x:f>Coder_A!F792</x:f>
        <x:v>Sec. 3 Datasets; Appendix A; Table 2; Table 1; Appendix B</x:v>
      </x:c>
      <x:c r="J792" s="16" t="n">
        <x:f>Coder_B!F792</x:f>
        <x:v>0</x:v>
      </x:c>
    </x:row>
    <x:row r="793">
      <x:c r="A793" s="16" t="n">
        <x:v>792</x:v>
      </x:c>
      <x:c r="B793" s="16" t="str">
        <x:v>EXPERIMENT</x:v>
      </x:c>
      <x:c r="C793" s="16" t="str">
        <x:f>Coder_A!C793</x:f>
        <x:v>PILOT_01_E11</x:v>
      </x:c>
      <x:c r="D793" s="16" t="str">
        <x:v>multi_skill_present</x:v>
      </x:c>
      <x:c r="E793" s="16" t="str">
        <x:f>Coder_A!E793</x:f>
        <x:v>UNCLEAR</x:v>
      </x:c>
      <x:c r="F793" s="16" t="n">
        <x:f>Coder_B!E793</x:f>
        <x:v>0</x:v>
      </x:c>
      <x:c r="G793" s="16" t="str">
        <x:f>IF(F793="","PENDING",IF(E793=F793,"AGREE","DISAGREE"))</x:f>
        <x:v>PENDING</x:v>
      </x:c>
      <x:c r="H793" s="16" t="str">
        <x:v>Y</x:v>
      </x:c>
      <x:c r="I793" s="16" t="str">
        <x:f>Coder_A!F793</x:f>
        <x:v>Sec. 3 Datasets; Appendix A; Table 2; Table 1; Appendix B</x:v>
      </x:c>
      <x:c r="J793" s="16" t="n">
        <x:f>Coder_B!F793</x:f>
        <x:v>0</x:v>
      </x:c>
    </x:row>
    <x:row r="794">
      <x:c r="A794" s="16" t="n">
        <x:v>793</x:v>
      </x:c>
      <x:c r="B794" s="16" t="str">
        <x:v>EXPERIMENT</x:v>
      </x:c>
      <x:c r="C794" s="16" t="str">
        <x:f>Coder_A!C794</x:f>
        <x:v>PILOT_01_E11</x:v>
      </x:c>
      <x:c r="D794" s="16" t="str">
        <x:v>multi_skill_handling</x:v>
      </x:c>
      <x:c r="E794" s="16" t="str">
        <x:f>Coder_A!E794</x:f>
        <x:v>Combine simultaneous answer logs into one; extract named skill tags</x:v>
      </x:c>
      <x:c r="F794" s="16" t="n">
        <x:f>Coder_B!E794</x:f>
        <x:v>0</x:v>
      </x:c>
      <x:c r="G794" s="16" t="str">
        <x:f>IF(F794="","PENDING",IF(E794=F794,"AGREE","DISAGREE"))</x:f>
        <x:v>PENDING</x:v>
      </x:c>
      <x:c r="H794" s="16" t="str">
        <x:v>N</x:v>
      </x:c>
      <x:c r="I794" s="16" t="str">
        <x:f>Coder_A!F794</x:f>
        <x:v>Sec. 3 Datasets; Appendix A; Table 2; Table 1; Appendix B</x:v>
      </x:c>
      <x:c r="J794" s="16" t="n">
        <x:f>Coder_B!F794</x:f>
        <x:v>0</x:v>
      </x:c>
    </x:row>
    <x:row r="795">
      <x:c r="A795" s="16" t="n">
        <x:v>794</x:v>
      </x:c>
      <x:c r="B795" s="16" t="str">
        <x:v>EXPERIMENT</x:v>
      </x:c>
      <x:c r="C795" s="16" t="str">
        <x:f>Coder_A!C795</x:f>
        <x:v>PILOT_01_E11</x:v>
      </x:c>
      <x:c r="D795" s="16" t="str">
        <x:v>sequence_truncation</x:v>
      </x:c>
      <x:c r="E795" s="16" t="str">
        <x:f>Coder_A!E795</x:f>
        <x:v>NR</x:v>
      </x:c>
      <x:c r="F795" s="16" t="n">
        <x:f>Coder_B!E795</x:f>
        <x:v>0</x:v>
      </x:c>
      <x:c r="G795" s="16" t="str">
        <x:f>IF(F795="","PENDING",IF(E795=F795,"AGREE","DISAGREE"))</x:f>
        <x:v>PENDING</x:v>
      </x:c>
      <x:c r="H795" s="16" t="str">
        <x:v>N</x:v>
      </x:c>
      <x:c r="I795" s="16" t="str">
        <x:f>Coder_A!F795</x:f>
        <x:v>Sec. 3 Datasets; Appendix A; Table 2; Table 1; Appendix B</x:v>
      </x:c>
      <x:c r="J795" s="16" t="n">
        <x:f>Coder_B!F795</x:f>
        <x:v>0</x:v>
      </x:c>
    </x:row>
    <x:row r="796">
      <x:c r="A796" s="16" t="n">
        <x:v>795</x:v>
      </x:c>
      <x:c r="B796" s="16" t="str">
        <x:v>EXPERIMENT</x:v>
      </x:c>
      <x:c r="C796" s="16" t="str">
        <x:f>Coder_A!C796</x:f>
        <x:v>PILOT_01_E11</x:v>
      </x:c>
      <x:c r="D796" s="16" t="str">
        <x:v>min_sequence_filter</x:v>
      </x:c>
      <x:c r="E796" s="16" t="str">
        <x:f>Coder_A!E796</x:f>
        <x:v>NR</x:v>
      </x:c>
      <x:c r="F796" s="16" t="n">
        <x:f>Coder_B!E796</x:f>
        <x:v>0</x:v>
      </x:c>
      <x:c r="G796" s="16" t="str">
        <x:f>IF(F796="","PENDING",IF(E796=F796,"AGREE","DISAGREE"))</x:f>
        <x:v>PENDING</x:v>
      </x:c>
      <x:c r="H796" s="16" t="str">
        <x:v>N</x:v>
      </x:c>
      <x:c r="I796" s="16" t="str">
        <x:f>Coder_A!F796</x:f>
        <x:v>Sec. 3 Datasets; Appendix A; Table 2; Table 1; Appendix B</x:v>
      </x:c>
      <x:c r="J796" s="16" t="n">
        <x:f>Coder_B!F796</x:f>
        <x:v>0</x:v>
      </x:c>
    </x:row>
    <x:row r="797">
      <x:c r="A797" s="16" t="n">
        <x:v>796</x:v>
      </x:c>
      <x:c r="B797" s="16" t="str">
        <x:v>EXPERIMENT</x:v>
      </x:c>
      <x:c r="C797" s="16" t="str">
        <x:f>Coder_A!C797</x:f>
        <x:v>PILOT_01_E11</x:v>
      </x:c>
      <x:c r="D797" s="16" t="str">
        <x:v>timestamp_used</x:v>
      </x:c>
      <x:c r="E797" s="16" t="str">
        <x:f>Coder_A!E797</x:f>
        <x:v>UNCLEAR</x:v>
      </x:c>
      <x:c r="F797" s="16" t="n">
        <x:f>Coder_B!E797</x:f>
        <x:v>0</x:v>
      </x:c>
      <x:c r="G797" s="16" t="str">
        <x:f>IF(F797="","PENDING",IF(E797=F797,"AGREE","DISAGREE"))</x:f>
        <x:v>PENDING</x:v>
      </x:c>
      <x:c r="H797" s="16" t="str">
        <x:v>Y</x:v>
      </x:c>
      <x:c r="I797" s="16" t="str">
        <x:f>Coder_A!F797</x:f>
        <x:v>Sec. 3 Datasets; Appendix A; Table 2; Table 1; Appendix B</x:v>
      </x:c>
      <x:c r="J797" s="16" t="n">
        <x:f>Coder_B!F797</x:f>
        <x:v>0</x:v>
      </x:c>
    </x:row>
    <x:row r="798">
      <x:c r="A798" s="16" t="n">
        <x:v>797</x:v>
      </x:c>
      <x:c r="B798" s="16" t="str">
        <x:v>EXPERIMENT</x:v>
      </x:c>
      <x:c r="C798" s="16" t="str">
        <x:f>Coder_A!C798</x:f>
        <x:v>PILOT_01_E11</x:v>
      </x:c>
      <x:c r="D798" s="16" t="str">
        <x:v>preprocessing_code_available</x:v>
      </x:c>
      <x:c r="E798" s="16" t="str">
        <x:f>Coder_A!E798</x:f>
        <x:v>NR</x:v>
      </x:c>
      <x:c r="F798" s="16" t="n">
        <x:f>Coder_B!E798</x:f>
        <x:v>0</x:v>
      </x:c>
      <x:c r="G798" s="16" t="str">
        <x:f>IF(F798="","PENDING",IF(E798=F798,"AGREE","DISAGREE"))</x:f>
        <x:v>PENDING</x:v>
      </x:c>
      <x:c r="H798" s="16" t="str">
        <x:v>Y</x:v>
      </x:c>
      <x:c r="I798" s="16" t="str">
        <x:f>Coder_A!F798</x:f>
        <x:v>Sec. 3 Datasets; Appendix A; Table 2; Table 1; Appendix B</x:v>
      </x:c>
      <x:c r="J798" s="16" t="n">
        <x:f>Coder_B!F798</x:f>
        <x:v>0</x:v>
      </x:c>
    </x:row>
    <x:row r="799">
      <x:c r="A799" s="16" t="n">
        <x:v>798</x:v>
      </x:c>
      <x:c r="B799" s="16" t="str">
        <x:v>EXPERIMENT</x:v>
      </x:c>
      <x:c r="C799" s="16" t="str">
        <x:f>Coder_A!C799</x:f>
        <x:v>PILOT_01_E11</x:v>
      </x:c>
      <x:c r="D799" s="16" t="str">
        <x:v>split_type</x:v>
      </x:c>
      <x:c r="E799" s="16" t="str">
        <x:f>Coder_A!E799</x:f>
        <x:v>LEARNER_BASED</x:v>
      </x:c>
      <x:c r="F799" s="16" t="n">
        <x:f>Coder_B!E799</x:f>
        <x:v>0</x:v>
      </x:c>
      <x:c r="G799" s="16" t="str">
        <x:f>IF(F799="","PENDING",IF(E799=F799,"AGREE","DISAGREE"))</x:f>
        <x:v>PENDING</x:v>
      </x:c>
      <x:c r="H799" s="16" t="str">
        <x:v>Y</x:v>
      </x:c>
      <x:c r="I799" s="16" t="str">
        <x:f>Coder_A!F799</x:f>
        <x:v>Sec. 3 Datasets; Appendix A; Table 2; Table 1; Appendix B</x:v>
      </x:c>
      <x:c r="J799" s="16" t="n">
        <x:f>Coder_B!F799</x:f>
        <x:v>0</x:v>
      </x:c>
    </x:row>
    <x:row r="800">
      <x:c r="A800" s="16" t="n">
        <x:v>799</x:v>
      </x:c>
      <x:c r="B800" s="16" t="str">
        <x:v>EXPERIMENT</x:v>
      </x:c>
      <x:c r="C800" s="16" t="str">
        <x:f>Coder_A!C800</x:f>
        <x:v>PILOT_01_E11</x:v>
      </x:c>
      <x:c r="D800" s="16" t="str">
        <x:v>split_unit_original</x:v>
      </x:c>
      <x:c r="E800" s="16" t="str">
        <x:f>Coder_A!E800</x:f>
        <x:v>students</x:v>
      </x:c>
      <x:c r="F800" s="16" t="n">
        <x:f>Coder_B!E800</x:f>
        <x:v>0</x:v>
      </x:c>
      <x:c r="G800" s="16" t="str">
        <x:f>IF(F800="","PENDING",IF(E800=F800,"AGREE","DISAGREE"))</x:f>
        <x:v>PENDING</x:v>
      </x:c>
      <x:c r="H800" s="16" t="str">
        <x:v>N</x:v>
      </x:c>
      <x:c r="I800" s="16" t="str">
        <x:f>Coder_A!F800</x:f>
        <x:v>Sec. 3 Datasets; Appendix A; Table 2; Table 1; Appendix B</x:v>
      </x:c>
      <x:c r="J800" s="16" t="n">
        <x:f>Coder_B!F800</x:f>
        <x:v>0</x:v>
      </x:c>
    </x:row>
    <x:row r="801">
      <x:c r="A801" s="16" t="n">
        <x:v>800</x:v>
      </x:c>
      <x:c r="B801" s="16" t="str">
        <x:v>EXPERIMENT</x:v>
      </x:c>
      <x:c r="C801" s="16" t="str">
        <x:f>Coder_A!C801</x:f>
        <x:v>PILOT_01_E11</x:v>
      </x:c>
      <x:c r="D801" s="16" t="str">
        <x:v>train_fraction</x:v>
      </x:c>
      <x:c r="E801" s="16" t="n">
        <x:f>Coder_A!E801</x:f>
        <x:v>0.8</x:v>
      </x:c>
      <x:c r="F801" s="16" t="n">
        <x:f>Coder_B!E801</x:f>
        <x:v>0</x:v>
      </x:c>
      <x:c r="G801" s="16" t="str">
        <x:f>IF(F801="","PENDING",IF(E801=F801,"AGREE","DISAGREE"))</x:f>
        <x:v>PENDING</x:v>
      </x:c>
      <x:c r="H801" s="16" t="str">
        <x:v>N</x:v>
      </x:c>
      <x:c r="I801" s="16" t="str">
        <x:f>Coder_A!F801</x:f>
        <x:v>Sec. 3 Datasets; Appendix A; Table 2; Table 1; Appendix B</x:v>
      </x:c>
      <x:c r="J801" s="16" t="n">
        <x:f>Coder_B!F801</x:f>
        <x:v>0</x:v>
      </x:c>
    </x:row>
    <x:row r="802">
      <x:c r="A802" s="16" t="n">
        <x:v>801</x:v>
      </x:c>
      <x:c r="B802" s="16" t="str">
        <x:v>EXPERIMENT</x:v>
      </x:c>
      <x:c r="C802" s="16" t="str">
        <x:f>Coder_A!C802</x:f>
        <x:v>PILOT_01_E11</x:v>
      </x:c>
      <x:c r="D802" s="16" t="str">
        <x:v>validation_fraction</x:v>
      </x:c>
      <x:c r="E802" s="16" t="n">
        <x:f>Coder_A!E802</x:f>
        <x:v>0.1</x:v>
      </x:c>
      <x:c r="F802" s="16" t="n">
        <x:f>Coder_B!E802</x:f>
        <x:v>0</x:v>
      </x:c>
      <x:c r="G802" s="16" t="str">
        <x:f>IF(F802="","PENDING",IF(E802=F802,"AGREE","DISAGREE"))</x:f>
        <x:v>PENDING</x:v>
      </x:c>
      <x:c r="H802" s="16" t="str">
        <x:v>N</x:v>
      </x:c>
      <x:c r="I802" s="16" t="str">
        <x:f>Coder_A!F802</x:f>
        <x:v>Sec. 3 Datasets; Appendix A; Table 2; Table 1; Appendix B</x:v>
      </x:c>
      <x:c r="J802" s="16" t="n">
        <x:f>Coder_B!F802</x:f>
        <x:v>0</x:v>
      </x:c>
    </x:row>
    <x:row r="803">
      <x:c r="A803" s="16" t="n">
        <x:v>802</x:v>
      </x:c>
      <x:c r="B803" s="16" t="str">
        <x:v>EXPERIMENT</x:v>
      </x:c>
      <x:c r="C803" s="16" t="str">
        <x:f>Coder_A!C803</x:f>
        <x:v>PILOT_01_E11</x:v>
      </x:c>
      <x:c r="D803" s="16" t="str">
        <x:v>test_fraction</x:v>
      </x:c>
      <x:c r="E803" s="16" t="n">
        <x:f>Coder_A!E803</x:f>
        <x:v>0.1</x:v>
      </x:c>
      <x:c r="F803" s="16" t="n">
        <x:f>Coder_B!E803</x:f>
        <x:v>0</x:v>
      </x:c>
      <x:c r="G803" s="16" t="str">
        <x:f>IF(F803="","PENDING",IF(E803=F803,"AGREE","DISAGREE"))</x:f>
        <x:v>PENDING</x:v>
      </x:c>
      <x:c r="H803" s="16" t="str">
        <x:v>N</x:v>
      </x:c>
      <x:c r="I803" s="16" t="str">
        <x:f>Coder_A!F803</x:f>
        <x:v>Sec. 3 Datasets; Appendix A; Table 2; Table 1; Appendix B</x:v>
      </x:c>
      <x:c r="J803" s="16" t="n">
        <x:f>Coder_B!F803</x:f>
        <x:v>0</x:v>
      </x:c>
    </x:row>
    <x:row r="804">
      <x:c r="A804" s="16" t="n">
        <x:v>803</x:v>
      </x:c>
      <x:c r="B804" s="16" t="str">
        <x:v>EXPERIMENT</x:v>
      </x:c>
      <x:c r="C804" s="16" t="str">
        <x:f>Coder_A!C804</x:f>
        <x:v>PILOT_01_E11</x:v>
      </x:c>
      <x:c r="D804" s="16" t="str">
        <x:v>validation_set_separate</x:v>
      </x:c>
      <x:c r="E804" s="16" t="str">
        <x:f>Coder_A!E804</x:f>
        <x:v>Y</x:v>
      </x:c>
      <x:c r="F804" s="16" t="n">
        <x:f>Coder_B!E804</x:f>
        <x:v>0</x:v>
      </x:c>
      <x:c r="G804" s="16" t="str">
        <x:f>IF(F804="","PENDING",IF(E804=F804,"AGREE","DISAGREE"))</x:f>
        <x:v>PENDING</x:v>
      </x:c>
      <x:c r="H804" s="16" t="str">
        <x:v>Y</x:v>
      </x:c>
      <x:c r="I804" s="16" t="str">
        <x:f>Coder_A!F804</x:f>
        <x:v>Sec. 3 Datasets; Appendix A; Table 2; Table 1; Appendix B</x:v>
      </x:c>
      <x:c r="J804" s="16" t="n">
        <x:f>Coder_B!F804</x:f>
        <x:v>0</x:v>
      </x:c>
    </x:row>
    <x:row r="805">
      <x:c r="A805" s="16" t="n">
        <x:v>804</x:v>
      </x:c>
      <x:c r="B805" s="16" t="str">
        <x:v>EXPERIMENT</x:v>
      </x:c>
      <x:c r="C805" s="16" t="str">
        <x:f>Coder_A!C805</x:f>
        <x:v>PILOT_01_E11</x:v>
      </x:c>
      <x:c r="D805" s="16" t="str">
        <x:v>early_stopping_validation_only</x:v>
      </x:c>
      <x:c r="E805" s="16" t="str">
        <x:f>Coder_A!E805</x:f>
        <x:v>UNCLEAR</x:v>
      </x:c>
      <x:c r="F805" s="16" t="n">
        <x:f>Coder_B!E805</x:f>
        <x:v>0</x:v>
      </x:c>
      <x:c r="G805" s="16" t="str">
        <x:f>IF(F805="","PENDING",IF(E805=F805,"AGREE","DISAGREE"))</x:f>
        <x:v>PENDING</x:v>
      </x:c>
      <x:c r="H805" s="16" t="str">
        <x:v>Y</x:v>
      </x:c>
      <x:c r="I805" s="16" t="str">
        <x:f>Coder_A!F805</x:f>
        <x:v>Sec. 3 Datasets; Appendix A; Table 2; Table 1; Appendix B</x:v>
      </x:c>
      <x:c r="J805" s="16" t="n">
        <x:f>Coder_B!F805</x:f>
        <x:v>0</x:v>
      </x:c>
    </x:row>
    <x:row r="806">
      <x:c r="A806" s="16" t="n">
        <x:v>805</x:v>
      </x:c>
      <x:c r="B806" s="16" t="str">
        <x:v>EXPERIMENT</x:v>
      </x:c>
      <x:c r="C806" s="16" t="str">
        <x:f>Coder_A!C806</x:f>
        <x:v>PILOT_01_E11</x:v>
      </x:c>
      <x:c r="D806" s="16" t="str">
        <x:v>graph_train_only</x:v>
      </x:c>
      <x:c r="E806" s="16" t="str">
        <x:f>Coder_A!E806</x:f>
        <x:v>Y</x:v>
      </x:c>
      <x:c r="F806" s="16" t="n">
        <x:f>Coder_B!E806</x:f>
        <x:v>0</x:v>
      </x:c>
      <x:c r="G806" s="16" t="str">
        <x:f>IF(F806="","PENDING",IF(E806=F806,"AGREE","DISAGREE"))</x:f>
        <x:v>PENDING</x:v>
      </x:c>
      <x:c r="H806" s="16" t="str">
        <x:v>Y</x:v>
      </x:c>
      <x:c r="I806" s="16" t="str">
        <x:f>Coder_A!F806</x:f>
        <x:v>Sec. 3 Datasets; Appendix A; Table 2; Table 1; Appendix B</x:v>
      </x:c>
      <x:c r="J806" s="16" t="n">
        <x:f>Coder_B!F806</x:f>
        <x:v>0</x:v>
      </x:c>
    </x:row>
    <x:row r="807">
      <x:c r="A807" s="16" t="n">
        <x:v>806</x:v>
      </x:c>
      <x:c r="B807" s="16" t="str">
        <x:v>EXPERIMENT</x:v>
      </x:c>
      <x:c r="C807" s="16" t="str">
        <x:f>Coder_A!C807</x:f>
        <x:v>PILOT_01_E11</x:v>
      </x:c>
      <x:c r="D807" s="16" t="str">
        <x:v>normalization_train_only</x:v>
      </x:c>
      <x:c r="E807" s="16" t="str">
        <x:f>Coder_A!E807</x:f>
        <x:v>NR</x:v>
      </x:c>
      <x:c r="F807" s="16" t="n">
        <x:f>Coder_B!E807</x:f>
        <x:v>0</x:v>
      </x:c>
      <x:c r="G807" s="16" t="str">
        <x:f>IF(F807="","PENDING",IF(E807=F807,"AGREE","DISAGREE"))</x:f>
        <x:v>PENDING</x:v>
      </x:c>
      <x:c r="H807" s="16" t="str">
        <x:v>Y</x:v>
      </x:c>
      <x:c r="I807" s="16" t="str">
        <x:f>Coder_A!F807</x:f>
        <x:v>Sec. 3 Datasets; Appendix A; Table 2; Table 1; Appendix B</x:v>
      </x:c>
      <x:c r="J807" s="16" t="n">
        <x:f>Coder_B!F807</x:f>
        <x:v>0</x:v>
      </x:c>
    </x:row>
    <x:row r="808">
      <x:c r="A808" s="16" t="n">
        <x:v>807</x:v>
      </x:c>
      <x:c r="B808" s="16" t="str">
        <x:v>EXPERIMENT</x:v>
      </x:c>
      <x:c r="C808" s="16" t="str">
        <x:f>Coder_A!C808</x:f>
        <x:v>PILOT_01_E11</x:v>
      </x:c>
      <x:c r="D808" s="16" t="str">
        <x:v>sparse_strata_train_only</x:v>
      </x:c>
      <x:c r="E808" s="16" t="str">
        <x:f>Coder_A!E808</x:f>
        <x:v>NA</x:v>
      </x:c>
      <x:c r="F808" s="16" t="n">
        <x:f>Coder_B!E808</x:f>
        <x:v>0</x:v>
      </x:c>
      <x:c r="G808" s="16" t="str">
        <x:f>IF(F808="","PENDING",IF(E808=F808,"AGREE","DISAGREE"))</x:f>
        <x:v>PENDING</x:v>
      </x:c>
      <x:c r="H808" s="16" t="str">
        <x:v>Y</x:v>
      </x:c>
      <x:c r="I808" s="16" t="str">
        <x:f>Coder_A!F808</x:f>
        <x:v>Sec. 3 Datasets; Appendix A; Table 2; Table 1; Appendix B</x:v>
      </x:c>
      <x:c r="J808" s="16" t="n">
        <x:f>Coder_B!F808</x:f>
        <x:v>0</x:v>
      </x:c>
    </x:row>
    <x:row r="809">
      <x:c r="A809" s="16" t="n">
        <x:v>808</x:v>
      </x:c>
      <x:c r="B809" s="16" t="str">
        <x:v>EXPERIMENT</x:v>
      </x:c>
      <x:c r="C809" s="16" t="str">
        <x:f>Coder_A!C809</x:f>
        <x:v>PILOT_01_E11</x:v>
      </x:c>
      <x:c r="D809" s="16" t="str">
        <x:v>temporal_alignment_audited</x:v>
      </x:c>
      <x:c r="E809" s="16" t="str">
        <x:f>Coder_A!E809</x:f>
        <x:v>NR</x:v>
      </x:c>
      <x:c r="F809" s="16" t="n">
        <x:f>Coder_B!E809</x:f>
        <x:v>0</x:v>
      </x:c>
      <x:c r="G809" s="16" t="str">
        <x:f>IF(F809="","PENDING",IF(E809=F809,"AGREE","DISAGREE"))</x:f>
        <x:v>PENDING</x:v>
      </x:c>
      <x:c r="H809" s="16" t="str">
        <x:v>Y</x:v>
      </x:c>
      <x:c r="I809" s="16" t="str">
        <x:f>Coder_A!F809</x:f>
        <x:v>Sec. 3 Datasets; Appendix A; Table 2; Table 1; Appendix B</x:v>
      </x:c>
      <x:c r="J809" s="16" t="n">
        <x:f>Coder_B!F809</x:f>
        <x:v>0</x:v>
      </x:c>
    </x:row>
    <x:row r="810">
      <x:c r="A810" s="16" t="n">
        <x:v>809</x:v>
      </x:c>
      <x:c r="B810" s="16" t="str">
        <x:v>EXPERIMENT</x:v>
      </x:c>
      <x:c r="C810" s="16" t="str">
        <x:f>Coder_A!C810</x:f>
        <x:v>PILOT_01_E11</x:v>
      </x:c>
      <x:c r="D810" s="16" t="str">
        <x:v>duplicate_entity_leakage_checked</x:v>
      </x:c>
      <x:c r="E810" s="16" t="str">
        <x:f>Coder_A!E810</x:f>
        <x:v>NR</x:v>
      </x:c>
      <x:c r="F810" s="16" t="n">
        <x:f>Coder_B!E810</x:f>
        <x:v>0</x:v>
      </x:c>
      <x:c r="G810" s="16" t="str">
        <x:f>IF(F810="","PENDING",IF(E810=F810,"AGREE","DISAGREE"))</x:f>
        <x:v>PENDING</x:v>
      </x:c>
      <x:c r="H810" s="16" t="str">
        <x:v>Y</x:v>
      </x:c>
      <x:c r="I810" s="16" t="str">
        <x:f>Coder_A!F810</x:f>
        <x:v>Sec. 3 Datasets; Appendix A; Table 2; Table 1; Appendix B</x:v>
      </x:c>
      <x:c r="J810" s="16" t="n">
        <x:f>Coder_B!F810</x:f>
        <x:v>0</x:v>
      </x:c>
    </x:row>
    <x:row r="811">
      <x:c r="A811" s="16" t="n">
        <x:v>810</x:v>
      </x:c>
      <x:c r="B811" s="16" t="str">
        <x:v>EXPERIMENT</x:v>
      </x:c>
      <x:c r="C811" s="16" t="str">
        <x:f>Coder_A!C811</x:f>
        <x:v>PILOT_01_E11</x:v>
      </x:c>
      <x:c r="D811" s="16" t="str">
        <x:v>sparsity_construct</x:v>
      </x:c>
      <x:c r="E811" s="16" t="str">
        <x:f>Coder_A!E811</x:f>
        <x:v>NO_EXPLICIT_FOCUS</x:v>
      </x:c>
      <x:c r="F811" s="16" t="n">
        <x:f>Coder_B!E811</x:f>
        <x:v>0</x:v>
      </x:c>
      <x:c r="G811" s="16" t="str">
        <x:f>IF(F811="","PENDING",IF(E811=F811,"AGREE","DISAGREE"))</x:f>
        <x:v>PENDING</x:v>
      </x:c>
      <x:c r="H811" s="16" t="str">
        <x:v>Y</x:v>
      </x:c>
      <x:c r="I811" s="16" t="str">
        <x:f>Coder_A!F811</x:f>
        <x:v>Sec. 3 Datasets; Appendix A; Table 2; Table 1; Appendix B</x:v>
      </x:c>
      <x:c r="J811" s="16" t="n">
        <x:f>Coder_B!F811</x:f>
        <x:v>0</x:v>
      </x:c>
    </x:row>
    <x:row r="812">
      <x:c r="A812" s="16" t="n">
        <x:v>811</x:v>
      </x:c>
      <x:c r="B812" s="16" t="str">
        <x:v>EXPERIMENT</x:v>
      </x:c>
      <x:c r="C812" s="16" t="str">
        <x:f>Coder_A!C812</x:f>
        <x:v>PILOT_01_E11</x:v>
      </x:c>
      <x:c r="D812" s="16" t="str">
        <x:v>sparse_definition_original</x:v>
      </x:c>
      <x:c r="E812" s="16" t="str">
        <x:f>Coder_A!E812</x:f>
        <x:v>NA</x:v>
      </x:c>
      <x:c r="F812" s="16" t="n">
        <x:f>Coder_B!E812</x:f>
        <x:v>0</x:v>
      </x:c>
      <x:c r="G812" s="16" t="str">
        <x:f>IF(F812="","PENDING",IF(E812=F812,"AGREE","DISAGREE"))</x:f>
        <x:v>PENDING</x:v>
      </x:c>
      <x:c r="H812" s="16" t="str">
        <x:v>N</x:v>
      </x:c>
      <x:c r="I812" s="16" t="str">
        <x:f>Coder_A!F812</x:f>
        <x:v>Sec. 3 Datasets; Appendix A; Table 2; Table 1; Appendix B</x:v>
      </x:c>
      <x:c r="J812" s="16" t="n">
        <x:f>Coder_B!F812</x:f>
        <x:v>0</x:v>
      </x:c>
    </x:row>
    <x:row r="813">
      <x:c r="A813" s="16" t="n">
        <x:v>812</x:v>
      </x:c>
      <x:c r="B813" s="16" t="str">
        <x:v>EXPERIMENT</x:v>
      </x:c>
      <x:c r="C813" s="16" t="str">
        <x:f>Coder_A!C813</x:f>
        <x:v>PILOT_01_E11</x:v>
      </x:c>
      <x:c r="D813" s="16" t="str">
        <x:v>sparse_threshold_original</x:v>
      </x:c>
      <x:c r="E813" s="16" t="str">
        <x:f>Coder_A!E813</x:f>
        <x:v>NA</x:v>
      </x:c>
      <x:c r="F813" s="16" t="n">
        <x:f>Coder_B!E813</x:f>
        <x:v>0</x:v>
      </x:c>
      <x:c r="G813" s="16" t="str">
        <x:f>IF(F813="","PENDING",IF(E813=F813,"AGREE","DISAGREE"))</x:f>
        <x:v>PENDING</x:v>
      </x:c>
      <x:c r="H813" s="16" t="str">
        <x:v>N</x:v>
      </x:c>
      <x:c r="I813" s="16" t="str">
        <x:f>Coder_A!F813</x:f>
        <x:v>Sec. 3 Datasets; Appendix A; Table 2; Table 1; Appendix B</x:v>
      </x:c>
      <x:c r="J813" s="16" t="n">
        <x:f>Coder_B!F813</x:f>
        <x:v>0</x:v>
      </x:c>
    </x:row>
    <x:row r="814">
      <x:c r="A814" s="16" t="n">
        <x:v>813</x:v>
      </x:c>
      <x:c r="B814" s="16" t="str">
        <x:v>EXPERIMENT</x:v>
      </x:c>
      <x:c r="C814" s="16" t="str">
        <x:f>Coder_A!C814</x:f>
        <x:v>PILOT_01_E11</x:v>
      </x:c>
      <x:c r="D814" s="16" t="str">
        <x:v>threshold_source</x:v>
      </x:c>
      <x:c r="E814" s="16" t="str">
        <x:f>Coder_A!E814</x:f>
        <x:v>NA</x:v>
      </x:c>
      <x:c r="F814" s="16" t="n">
        <x:f>Coder_B!E814</x:f>
        <x:v>0</x:v>
      </x:c>
      <x:c r="G814" s="16" t="str">
        <x:f>IF(F814="","PENDING",IF(E814=F814,"AGREE","DISAGREE"))</x:f>
        <x:v>PENDING</x:v>
      </x:c>
      <x:c r="H814" s="16" t="str">
        <x:v>Y</x:v>
      </x:c>
      <x:c r="I814" s="16" t="str">
        <x:f>Coder_A!F814</x:f>
        <x:v>Sec. 3 Datasets; Appendix A; Table 2; Table 1; Appendix B</x:v>
      </x:c>
      <x:c r="J814" s="16" t="n">
        <x:f>Coder_B!F814</x:f>
        <x:v>0</x:v>
      </x:c>
    </x:row>
    <x:row r="815">
      <x:c r="A815" s="16" t="n">
        <x:v>814</x:v>
      </x:c>
      <x:c r="B815" s="16" t="str">
        <x:v>EXPERIMENT</x:v>
      </x:c>
      <x:c r="C815" s="16" t="str">
        <x:f>Coder_A!C815</x:f>
        <x:v>PILOT_01_E11</x:v>
      </x:c>
      <x:c r="D815" s="16" t="str">
        <x:v>frequency_computed_on</x:v>
      </x:c>
      <x:c r="E815" s="16" t="str">
        <x:f>Coder_A!E815</x:f>
        <x:v>NA</x:v>
      </x:c>
      <x:c r="F815" s="16" t="n">
        <x:f>Coder_B!E815</x:f>
        <x:v>0</x:v>
      </x:c>
      <x:c r="G815" s="16" t="str">
        <x:f>IF(F815="","PENDING",IF(E815=F815,"AGREE","DISAGREE"))</x:f>
        <x:v>PENDING</x:v>
      </x:c>
      <x:c r="H815" s="16" t="str">
        <x:v>Y</x:v>
      </x:c>
      <x:c r="I815" s="16" t="str">
        <x:f>Coder_A!F815</x:f>
        <x:v>Sec. 3 Datasets; Appendix A; Table 2; Table 1; Appendix B</x:v>
      </x:c>
      <x:c r="J815" s="16" t="n">
        <x:f>Coder_B!F815</x:f>
        <x:v>0</x:v>
      </x:c>
    </x:row>
    <x:row r="816">
      <x:c r="A816" s="16" t="n">
        <x:v>815</x:v>
      </x:c>
      <x:c r="B816" s="16" t="str">
        <x:v>EXPERIMENT</x:v>
      </x:c>
      <x:c r="C816" s="16" t="str">
        <x:f>Coder_A!C816</x:f>
        <x:v>PILOT_01_E11</x:v>
      </x:c>
      <x:c r="D816" s="16" t="str">
        <x:v>strict_zero_train_verified</x:v>
      </x:c>
      <x:c r="E816" s="16" t="str">
        <x:f>Coder_A!E816</x:f>
        <x:v>NA</x:v>
      </x:c>
      <x:c r="F816" s="16" t="n">
        <x:f>Coder_B!E816</x:f>
        <x:v>0</x:v>
      </x:c>
      <x:c r="G816" s="16" t="str">
        <x:f>IF(F816="","PENDING",IF(E816=F816,"AGREE","DISAGREE"))</x:f>
        <x:v>PENDING</x:v>
      </x:c>
      <x:c r="H816" s="16" t="str">
        <x:v>Y</x:v>
      </x:c>
      <x:c r="I816" s="16" t="str">
        <x:f>Coder_A!F816</x:f>
        <x:v>Sec. 3 Datasets; Appendix A; Table 2; Table 1; Appendix B</x:v>
      </x:c>
      <x:c r="J816" s="16" t="n">
        <x:f>Coder_B!F816</x:f>
        <x:v>0</x:v>
      </x:c>
    </x:row>
    <x:row r="817">
      <x:c r="A817" s="16" t="n">
        <x:v>816</x:v>
      </x:c>
      <x:c r="B817" s="16" t="str">
        <x:v>EXPERIMENT</x:v>
      </x:c>
      <x:c r="C817" s="16" t="str">
        <x:f>Coder_A!C817</x:f>
        <x:v>PILOT_01_E11</x:v>
      </x:c>
      <x:c r="D817" s="16" t="str">
        <x:v>external_info_for_unseen_kc</x:v>
      </x:c>
      <x:c r="E817" s="16" t="str">
        <x:f>Coder_A!E817</x:f>
        <x:v>NA</x:v>
      </x:c>
      <x:c r="F817" s="16" t="n">
        <x:f>Coder_B!E817</x:f>
        <x:v>0</x:v>
      </x:c>
      <x:c r="G817" s="16" t="str">
        <x:f>IF(F817="","PENDING",IF(E817=F817,"AGREE","DISAGREE"))</x:f>
        <x:v>PENDING</x:v>
      </x:c>
      <x:c r="H817" s="16" t="str">
        <x:v>Y</x:v>
      </x:c>
      <x:c r="I817" s="16" t="str">
        <x:f>Coder_A!F817</x:f>
        <x:v>Sec. 3 Datasets; Appendix A; Table 2; Table 1; Appendix B</x:v>
      </x:c>
      <x:c r="J817" s="16" t="n">
        <x:f>Coder_B!F817</x:f>
        <x:v>0</x:v>
      </x:c>
    </x:row>
    <x:row r="818">
      <x:c r="A818" s="16" t="n">
        <x:v>817</x:v>
      </x:c>
      <x:c r="B818" s="16" t="str">
        <x:v>EXPERIMENT</x:v>
      </x:c>
      <x:c r="C818" s="16" t="str">
        <x:f>Coder_A!C818</x:f>
        <x:v>PILOT_01_E11</x:v>
      </x:c>
      <x:c r="D818" s="16" t="str">
        <x:v>support_kcs</x:v>
      </x:c>
      <x:c r="E818" s="16" t="str">
        <x:f>Coder_A!E818</x:f>
        <x:v>NA</x:v>
      </x:c>
      <x:c r="F818" s="16" t="n">
        <x:f>Coder_B!E818</x:f>
        <x:v>0</x:v>
      </x:c>
      <x:c r="G818" s="16" t="str">
        <x:f>IF(F818="","PENDING",IF(E818=F818,"AGREE","DISAGREE"))</x:f>
        <x:v>PENDING</x:v>
      </x:c>
      <x:c r="H818" s="16" t="str">
        <x:v>N</x:v>
      </x:c>
      <x:c r="I818" s="16" t="str">
        <x:f>Coder_A!F818</x:f>
        <x:v>Sec. 3 Datasets; Appendix A; Table 2; Table 1; Appendix B</x:v>
      </x:c>
      <x:c r="J818" s="16" t="n">
        <x:f>Coder_B!F818</x:f>
        <x:v>0</x:v>
      </x:c>
    </x:row>
    <x:row r="819">
      <x:c r="A819" s="16" t="n">
        <x:v>818</x:v>
      </x:c>
      <x:c r="B819" s="16" t="str">
        <x:v>EXPERIMENT</x:v>
      </x:c>
      <x:c r="C819" s="16" t="str">
        <x:f>Coder_A!C819</x:f>
        <x:v>PILOT_01_E11</x:v>
      </x:c>
      <x:c r="D819" s="16" t="str">
        <x:v>support_learners</x:v>
      </x:c>
      <x:c r="E819" s="16" t="str">
        <x:f>Coder_A!E819</x:f>
        <x:v>NA</x:v>
      </x:c>
      <x:c r="F819" s="16" t="n">
        <x:f>Coder_B!E819</x:f>
        <x:v>0</x:v>
      </x:c>
      <x:c r="G819" s="16" t="str">
        <x:f>IF(F819="","PENDING",IF(E819=F819,"AGREE","DISAGREE"))</x:f>
        <x:v>PENDING</x:v>
      </x:c>
      <x:c r="H819" s="16" t="str">
        <x:v>N</x:v>
      </x:c>
      <x:c r="I819" s="16" t="str">
        <x:f>Coder_A!F819</x:f>
        <x:v>Sec. 3 Datasets; Appendix A; Table 2; Table 1; Appendix B</x:v>
      </x:c>
      <x:c r="J819" s="16" t="n">
        <x:f>Coder_B!F819</x:f>
        <x:v>0</x:v>
      </x:c>
    </x:row>
    <x:row r="820">
      <x:c r="A820" s="16" t="n">
        <x:v>819</x:v>
      </x:c>
      <x:c r="B820" s="16" t="str">
        <x:v>EXPERIMENT</x:v>
      </x:c>
      <x:c r="C820" s="16" t="str">
        <x:f>Coder_A!C820</x:f>
        <x:v>PILOT_01_E11</x:v>
      </x:c>
      <x:c r="D820" s="16" t="str">
        <x:v>support_items</x:v>
      </x:c>
      <x:c r="E820" s="16" t="str">
        <x:f>Coder_A!E820</x:f>
        <x:v>NA</x:v>
      </x:c>
      <x:c r="F820" s="16" t="n">
        <x:f>Coder_B!E820</x:f>
        <x:v>0</x:v>
      </x:c>
      <x:c r="G820" s="16" t="str">
        <x:f>IF(F820="","PENDING",IF(E820=F820,"AGREE","DISAGREE"))</x:f>
        <x:v>PENDING</x:v>
      </x:c>
      <x:c r="H820" s="16" t="str">
        <x:v>N</x:v>
      </x:c>
      <x:c r="I820" s="16" t="str">
        <x:f>Coder_A!F820</x:f>
        <x:v>Sec. 3 Datasets; Appendix A; Table 2; Table 1; Appendix B</x:v>
      </x:c>
      <x:c r="J820" s="16" t="n">
        <x:f>Coder_B!F820</x:f>
        <x:v>0</x:v>
      </x:c>
    </x:row>
    <x:row r="821">
      <x:c r="A821" s="16" t="n">
        <x:v>820</x:v>
      </x:c>
      <x:c r="B821" s="16" t="str">
        <x:v>EXPERIMENT</x:v>
      </x:c>
      <x:c r="C821" s="16" t="str">
        <x:f>Coder_A!C821</x:f>
        <x:v>PILOT_01_E11</x:v>
      </x:c>
      <x:c r="D821" s="16" t="str">
        <x:v>support_test_interactions</x:v>
      </x:c>
      <x:c r="E821" s="16" t="str">
        <x:f>Coder_A!E821</x:f>
        <x:v>NA</x:v>
      </x:c>
      <x:c r="F821" s="16" t="n">
        <x:f>Coder_B!E821</x:f>
        <x:v>0</x:v>
      </x:c>
      <x:c r="G821" s="16" t="str">
        <x:f>IF(F821="","PENDING",IF(E821=F821,"AGREE","DISAGREE"))</x:f>
        <x:v>PENDING</x:v>
      </x:c>
      <x:c r="H821" s="16" t="str">
        <x:v>N</x:v>
      </x:c>
      <x:c r="I821" s="16" t="str">
        <x:f>Coder_A!F821</x:f>
        <x:v>Sec. 3 Datasets; Appendix A; Table 2; Table 1; Appendix B</x:v>
      </x:c>
      <x:c r="J821" s="16" t="n">
        <x:f>Coder_B!F821</x:f>
        <x:v>0</x:v>
      </x:c>
    </x:row>
    <x:row r="822">
      <x:c r="A822" s="16" t="n">
        <x:v>821</x:v>
      </x:c>
      <x:c r="B822" s="16" t="str">
        <x:v>EXPERIMENT</x:v>
      </x:c>
      <x:c r="C822" s="16" t="str">
        <x:f>Coder_A!C822</x:f>
        <x:v>PILOT_01_E11</x:v>
      </x:c>
      <x:c r="D822" s="16" t="str">
        <x:v>positive_count</x:v>
      </x:c>
      <x:c r="E822" s="16" t="str">
        <x:f>Coder_A!E822</x:f>
        <x:v>NA</x:v>
      </x:c>
      <x:c r="F822" s="16" t="n">
        <x:f>Coder_B!E822</x:f>
        <x:v>0</x:v>
      </x:c>
      <x:c r="G822" s="16" t="str">
        <x:f>IF(F822="","PENDING",IF(E822=F822,"AGREE","DISAGREE"))</x:f>
        <x:v>PENDING</x:v>
      </x:c>
      <x:c r="H822" s="16" t="str">
        <x:v>N</x:v>
      </x:c>
      <x:c r="I822" s="16" t="str">
        <x:f>Coder_A!F822</x:f>
        <x:v>Sec. 3 Datasets; Appendix A; Table 2; Table 1; Appendix B</x:v>
      </x:c>
      <x:c r="J822" s="16" t="n">
        <x:f>Coder_B!F822</x:f>
        <x:v>0</x:v>
      </x:c>
    </x:row>
    <x:row r="823">
      <x:c r="A823" s="16" t="n">
        <x:v>822</x:v>
      </x:c>
      <x:c r="B823" s="16" t="str">
        <x:v>EXPERIMENT</x:v>
      </x:c>
      <x:c r="C823" s="16" t="str">
        <x:f>Coder_A!C823</x:f>
        <x:v>PILOT_01_E11</x:v>
      </x:c>
      <x:c r="D823" s="16" t="str">
        <x:v>negative_count</x:v>
      </x:c>
      <x:c r="E823" s="16" t="str">
        <x:f>Coder_A!E823</x:f>
        <x:v>NA</x:v>
      </x:c>
      <x:c r="F823" s="16" t="n">
        <x:f>Coder_B!E823</x:f>
        <x:v>0</x:v>
      </x:c>
      <x:c r="G823" s="16" t="str">
        <x:f>IF(F823="","PENDING",IF(E823=F823,"AGREE","DISAGREE"))</x:f>
        <x:v>PENDING</x:v>
      </x:c>
      <x:c r="H823" s="16" t="str">
        <x:v>N</x:v>
      </x:c>
      <x:c r="I823" s="16" t="str">
        <x:f>Coder_A!F823</x:f>
        <x:v>Sec. 3 Datasets; Appendix A; Table 2; Table 1; Appendix B</x:v>
      </x:c>
      <x:c r="J823" s="16" t="n">
        <x:f>Coder_B!F823</x:f>
        <x:v>0</x:v>
      </x:c>
    </x:row>
    <x:row r="824">
      <x:c r="A824" s="16" t="n">
        <x:v>823</x:v>
      </x:c>
      <x:c r="B824" s="16" t="str">
        <x:v>EXPERIMENT</x:v>
      </x:c>
      <x:c r="C824" s="16" t="str">
        <x:f>Coder_A!C824</x:f>
        <x:v>PILOT_01_E11</x:v>
      </x:c>
      <x:c r="D824" s="16" t="str">
        <x:v>metric_name_original</x:v>
      </x:c>
      <x:c r="E824" s="16" t="str">
        <x:f>Coder_A!E824</x:f>
        <x:v>AUC</x:v>
      </x:c>
      <x:c r="F824" s="16" t="n">
        <x:f>Coder_B!E824</x:f>
        <x:v>0</x:v>
      </x:c>
      <x:c r="G824" s="16" t="str">
        <x:f>IF(F824="","PENDING",IF(E824=F824,"AGREE","DISAGREE"))</x:f>
        <x:v>PENDING</x:v>
      </x:c>
      <x:c r="H824" s="16" t="str">
        <x:v>N</x:v>
      </x:c>
      <x:c r="I824" s="16" t="str">
        <x:f>Coder_A!F824</x:f>
        <x:v>Sec. 3 Datasets; Appendix A; Table 2; Table 1; Appendix B</x:v>
      </x:c>
      <x:c r="J824" s="16" t="n">
        <x:f>Coder_B!F824</x:f>
        <x:v>0</x:v>
      </x:c>
    </x:row>
    <x:row r="825">
      <x:c r="A825" s="16" t="n">
        <x:v>824</x:v>
      </x:c>
      <x:c r="B825" s="16" t="str">
        <x:v>EXPERIMENT</x:v>
      </x:c>
      <x:c r="C825" s="16" t="str">
        <x:f>Coder_A!C825</x:f>
        <x:v>PILOT_01_E11</x:v>
      </x:c>
      <x:c r="D825" s="16" t="str">
        <x:v>metric_value_original</x:v>
      </x:c>
      <x:c r="E825" s="16" t="n">
        <x:f>Coder_A!E825</x:f>
        <x:v>0.722</x:v>
      </x:c>
      <x:c r="F825" s="16" t="n">
        <x:f>Coder_B!E825</x:f>
        <x:v>0</x:v>
      </x:c>
      <x:c r="G825" s="16" t="str">
        <x:f>IF(F825="","PENDING",IF(E825=F825,"AGREE","DISAGREE"))</x:f>
        <x:v>PENDING</x:v>
      </x:c>
      <x:c r="H825" s="16" t="str">
        <x:v>N</x:v>
      </x:c>
      <x:c r="I825" s="16" t="str">
        <x:f>Coder_A!F825</x:f>
        <x:v>Sec. 3 Datasets; Appendix A; Table 2; Table 1; Appendix B</x:v>
      </x:c>
      <x:c r="J825" s="16" t="n">
        <x:f>Coder_B!F825</x:f>
        <x:v>0</x:v>
      </x:c>
    </x:row>
    <x:row r="826">
      <x:c r="A826" s="16" t="n">
        <x:v>825</x:v>
      </x:c>
      <x:c r="B826" s="16" t="str">
        <x:v>EXPERIMENT</x:v>
      </x:c>
      <x:c r="C826" s="16" t="str">
        <x:f>Coder_A!C826</x:f>
        <x:v>PILOT_01_E11</x:v>
      </x:c>
      <x:c r="D826" s="16" t="str">
        <x:v>metric_scope</x:v>
      </x:c>
      <x:c r="E826" s="16" t="str">
        <x:f>Coder_A!E826</x:f>
        <x:v>OVERALL</x:v>
      </x:c>
      <x:c r="F826" s="16" t="n">
        <x:f>Coder_B!E826</x:f>
        <x:v>0</x:v>
      </x:c>
      <x:c r="G826" s="16" t="str">
        <x:f>IF(F826="","PENDING",IF(E826=F826,"AGREE","DISAGREE"))</x:f>
        <x:v>PENDING</x:v>
      </x:c>
      <x:c r="H826" s="16" t="str">
        <x:v>Y</x:v>
      </x:c>
      <x:c r="I826" s="16" t="str">
        <x:f>Coder_A!F826</x:f>
        <x:v>Sec. 3 Datasets; Appendix A; Table 2; Table 1; Appendix B</x:v>
      </x:c>
      <x:c r="J826" s="16" t="n">
        <x:f>Coder_B!F826</x:f>
        <x:v>0</x:v>
      </x:c>
    </x:row>
    <x:row r="827">
      <x:c r="A827" s="16" t="n">
        <x:v>826</x:v>
      </x:c>
      <x:c r="B827" s="16" t="str">
        <x:v>EXPERIMENT</x:v>
      </x:c>
      <x:c r="C827" s="16" t="str">
        <x:f>Coder_A!C827</x:f>
        <x:v>PILOT_01_E11</x:v>
      </x:c>
      <x:c r="D827" s="16" t="str">
        <x:v>n_seeds</x:v>
      </x:c>
      <x:c r="E827" s="16" t="str">
        <x:f>Coder_A!E827</x:f>
        <x:v>NR</x:v>
      </x:c>
      <x:c r="F827" s="16" t="n">
        <x:f>Coder_B!E827</x:f>
        <x:v>0</x:v>
      </x:c>
      <x:c r="G827" s="16" t="str">
        <x:f>IF(F827="","PENDING",IF(E827=F827,"AGREE","DISAGREE"))</x:f>
        <x:v>PENDING</x:v>
      </x:c>
      <x:c r="H827" s="16" t="str">
        <x:v>N</x:v>
      </x:c>
      <x:c r="I827" s="16" t="str">
        <x:f>Coder_A!F827</x:f>
        <x:v>Sec. 3 Datasets; Appendix A; Table 2; Table 1; Appendix B</x:v>
      </x:c>
      <x:c r="J827" s="16" t="n">
        <x:f>Coder_B!F827</x:f>
        <x:v>0</x:v>
      </x:c>
    </x:row>
    <x:row r="828">
      <x:c r="A828" s="16" t="n">
        <x:v>827</x:v>
      </x:c>
      <x:c r="B828" s="16" t="str">
        <x:v>EXPERIMENT</x:v>
      </x:c>
      <x:c r="C828" s="16" t="str">
        <x:f>Coder_A!C828</x:f>
        <x:v>PILOT_01_E11</x:v>
      </x:c>
      <x:c r="D828" s="16" t="str">
        <x:v>seed_values_reported</x:v>
      </x:c>
      <x:c r="E828" s="16" t="str">
        <x:f>Coder_A!E828</x:f>
        <x:v>NR</x:v>
      </x:c>
      <x:c r="F828" s="16" t="n">
        <x:f>Coder_B!E828</x:f>
        <x:v>0</x:v>
      </x:c>
      <x:c r="G828" s="16" t="str">
        <x:f>IF(F828="","PENDING",IF(E828=F828,"AGREE","DISAGREE"))</x:f>
        <x:v>PENDING</x:v>
      </x:c>
      <x:c r="H828" s="16" t="str">
        <x:v>N</x:v>
      </x:c>
      <x:c r="I828" s="16" t="str">
        <x:f>Coder_A!F828</x:f>
        <x:v>Sec. 3 Datasets; Appendix A; Table 2; Table 1; Appendix B</x:v>
      </x:c>
      <x:c r="J828" s="16" t="n">
        <x:f>Coder_B!F828</x:f>
        <x:v>0</x:v>
      </x:c>
    </x:row>
    <x:row r="829">
      <x:c r="A829" s="16" t="n">
        <x:v>828</x:v>
      </x:c>
      <x:c r="B829" s="16" t="str">
        <x:v>EXPERIMENT</x:v>
      </x:c>
      <x:c r="C829" s="16" t="str">
        <x:f>Coder_A!C829</x:f>
        <x:v>PILOT_01_E11</x:v>
      </x:c>
      <x:c r="D829" s="16" t="str">
        <x:v>mean_std_reported</x:v>
      </x:c>
      <x:c r="E829" s="16" t="str">
        <x:f>Coder_A!E829</x:f>
        <x:v>N</x:v>
      </x:c>
      <x:c r="F829" s="16" t="n">
        <x:f>Coder_B!E829</x:f>
        <x:v>0</x:v>
      </x:c>
      <x:c r="G829" s="16" t="str">
        <x:f>IF(F829="","PENDING",IF(E829=F829,"AGREE","DISAGREE"))</x:f>
        <x:v>PENDING</x:v>
      </x:c>
      <x:c r="H829" s="16" t="str">
        <x:v>Y</x:v>
      </x:c>
      <x:c r="I829" s="16" t="str">
        <x:f>Coder_A!F829</x:f>
        <x:v>Sec. 3 Datasets; Appendix A; Table 2; Table 1; Appendix B</x:v>
      </x:c>
      <x:c r="J829" s="16" t="n">
        <x:f>Coder_B!F829</x:f>
        <x:v>0</x:v>
      </x:c>
    </x:row>
    <x:row r="830">
      <x:c r="A830" s="16" t="n">
        <x:v>829</x:v>
      </x:c>
      <x:c r="B830" s="16" t="str">
        <x:v>EXPERIMENT</x:v>
      </x:c>
      <x:c r="C830" s="16" t="str">
        <x:f>Coder_A!C830</x:f>
        <x:v>PILOT_01_E11</x:v>
      </x:c>
      <x:c r="D830" s="16" t="str">
        <x:v>confidence_interval</x:v>
      </x:c>
      <x:c r="E830" s="16" t="str">
        <x:f>Coder_A!E830</x:f>
        <x:v>NR</x:v>
      </x:c>
      <x:c r="F830" s="16" t="n">
        <x:f>Coder_B!E830</x:f>
        <x:v>0</x:v>
      </x:c>
      <x:c r="G830" s="16" t="str">
        <x:f>IF(F830="","PENDING",IF(E830=F830,"AGREE","DISAGREE"))</x:f>
        <x:v>PENDING</x:v>
      </x:c>
      <x:c r="H830" s="16" t="str">
        <x:v>N</x:v>
      </x:c>
      <x:c r="I830" s="16" t="str">
        <x:f>Coder_A!F830</x:f>
        <x:v>Sec. 3 Datasets; Appendix A; Table 2; Table 1; Appendix B</x:v>
      </x:c>
      <x:c r="J830" s="16" t="n">
        <x:f>Coder_B!F830</x:f>
        <x:v>0</x:v>
      </x:c>
    </x:row>
    <x:row r="831">
      <x:c r="A831" s="16" t="n">
        <x:v>830</x:v>
      </x:c>
      <x:c r="B831" s="16" t="str">
        <x:v>EXPERIMENT</x:v>
      </x:c>
      <x:c r="C831" s="16" t="str">
        <x:f>Coder_A!C831</x:f>
        <x:v>PILOT_01_E11</x:v>
      </x:c>
      <x:c r="D831" s="16" t="str">
        <x:v>bootstrap_unit</x:v>
      </x:c>
      <x:c r="E831" s="16" t="str">
        <x:f>Coder_A!E831</x:f>
        <x:v>NA</x:v>
      </x:c>
      <x:c r="F831" s="16" t="n">
        <x:f>Coder_B!E831</x:f>
        <x:v>0</x:v>
      </x:c>
      <x:c r="G831" s="16" t="str">
        <x:f>IF(F831="","PENDING",IF(E831=F831,"AGREE","DISAGREE"))</x:f>
        <x:v>PENDING</x:v>
      </x:c>
      <x:c r="H831" s="16" t="str">
        <x:v>Y</x:v>
      </x:c>
      <x:c r="I831" s="16" t="str">
        <x:f>Coder_A!F831</x:f>
        <x:v>Sec. 3 Datasets; Appendix A; Table 2; Table 1; Appendix B</x:v>
      </x:c>
      <x:c r="J831" s="16" t="n">
        <x:f>Coder_B!F831</x:f>
        <x:v>0</x:v>
      </x:c>
    </x:row>
    <x:row r="832">
      <x:c r="A832" s="16" t="n">
        <x:v>831</x:v>
      </x:c>
      <x:c r="B832" s="16" t="str">
        <x:v>EXPERIMENT</x:v>
      </x:c>
      <x:c r="C832" s="16" t="str">
        <x:f>Coder_A!C832</x:f>
        <x:v>PILOT_01_E11</x:v>
      </x:c>
      <x:c r="D832" s="16" t="str">
        <x:v>statistical_test</x:v>
      </x:c>
      <x:c r="E832" s="16" t="str">
        <x:f>Coder_A!E832</x:f>
        <x:v>NR</x:v>
      </x:c>
      <x:c r="F832" s="16" t="n">
        <x:f>Coder_B!E832</x:f>
        <x:v>0</x:v>
      </x:c>
      <x:c r="G832" s="16" t="str">
        <x:f>IF(F832="","PENDING",IF(E832=F832,"AGREE","DISAGREE"))</x:f>
        <x:v>PENDING</x:v>
      </x:c>
      <x:c r="H832" s="16" t="str">
        <x:v>N</x:v>
      </x:c>
      <x:c r="I832" s="16" t="str">
        <x:f>Coder_A!F832</x:f>
        <x:v>Sec. 3 Datasets; Appendix A; Table 2; Table 1; Appendix B</x:v>
      </x:c>
      <x:c r="J832" s="16" t="n">
        <x:f>Coder_B!F832</x:f>
        <x:v>0</x:v>
      </x:c>
    </x:row>
    <x:row r="833">
      <x:c r="A833" s="16" t="n">
        <x:v>832</x:v>
      </x:c>
      <x:c r="B833" s="16" t="str">
        <x:v>EXPERIMENT</x:v>
      </x:c>
      <x:c r="C833" s="16" t="str">
        <x:f>Coder_A!C833</x:f>
        <x:v>PILOT_01_E11</x:v>
      </x:c>
      <x:c r="D833" s="16" t="str">
        <x:v>multiple_comparison_correction</x:v>
      </x:c>
      <x:c r="E833" s="16" t="str">
        <x:f>Coder_A!E833</x:f>
        <x:v>NR</x:v>
      </x:c>
      <x:c r="F833" s="16" t="n">
        <x:f>Coder_B!E833</x:f>
        <x:v>0</x:v>
      </x:c>
      <x:c r="G833" s="16" t="str">
        <x:f>IF(F833="","PENDING",IF(E833=F833,"AGREE","DISAGREE"))</x:f>
        <x:v>PENDING</x:v>
      </x:c>
      <x:c r="H833" s="16" t="str">
        <x:v>N</x:v>
      </x:c>
      <x:c r="I833" s="16" t="str">
        <x:f>Coder_A!F833</x:f>
        <x:v>Sec. 3 Datasets; Appendix A; Table 2; Table 1; Appendix B</x:v>
      </x:c>
      <x:c r="J833" s="16" t="n">
        <x:f>Coder_B!F833</x:f>
        <x:v>0</x:v>
      </x:c>
    </x:row>
    <x:row r="834">
      <x:c r="A834" s="16" t="n">
        <x:v>833</x:v>
      </x:c>
      <x:c r="B834" s="16" t="str">
        <x:v>EXPERIMENT</x:v>
      </x:c>
      <x:c r="C834" s="16" t="str">
        <x:f>Coder_A!C834</x:f>
        <x:v>PILOT_01_E11</x:v>
      </x:c>
      <x:c r="D834" s="16" t="str">
        <x:v>effect_size</x:v>
      </x:c>
      <x:c r="E834" s="16" t="str">
        <x:f>Coder_A!E834</x:f>
        <x:v>NR</x:v>
      </x:c>
      <x:c r="F834" s="16" t="n">
        <x:f>Coder_B!E834</x:f>
        <x:v>0</x:v>
      </x:c>
      <x:c r="G834" s="16" t="str">
        <x:f>IF(F834="","PENDING",IF(E834=F834,"AGREE","DISAGREE"))</x:f>
        <x:v>PENDING</x:v>
      </x:c>
      <x:c r="H834" s="16" t="str">
        <x:v>N</x:v>
      </x:c>
      <x:c r="I834" s="16" t="str">
        <x:f>Coder_A!F834</x:f>
        <x:v>Sec. 3 Datasets; Appendix A; Table 2; Table 1; Appendix B</x:v>
      </x:c>
      <x:c r="J834" s="16" t="n">
        <x:f>Coder_B!F834</x:f>
        <x:v>0</x:v>
      </x:c>
    </x:row>
    <x:row r="835">
      <x:c r="A835" s="16" t="n">
        <x:v>834</x:v>
      </x:c>
      <x:c r="B835" s="16" t="str">
        <x:v>EXPERIMENT</x:v>
      </x:c>
      <x:c r="C835" s="16" t="str">
        <x:f>Coder_A!C835</x:f>
        <x:v>PILOT_01_E11</x:v>
      </x:c>
      <x:c r="D835" s="16" t="str">
        <x:v>paired_design</x:v>
      </x:c>
      <x:c r="E835" s="16" t="str">
        <x:f>Coder_A!E835</x:f>
        <x:v>NR</x:v>
      </x:c>
      <x:c r="F835" s="16" t="n">
        <x:f>Coder_B!E835</x:f>
        <x:v>0</x:v>
      </x:c>
      <x:c r="G835" s="16" t="str">
        <x:f>IF(F835="","PENDING",IF(E835=F835,"AGREE","DISAGREE"))</x:f>
        <x:v>PENDING</x:v>
      </x:c>
      <x:c r="H835" s="16" t="str">
        <x:v>Y</x:v>
      </x:c>
      <x:c r="I835" s="16" t="str">
        <x:f>Coder_A!F835</x:f>
        <x:v>Sec. 3 Datasets; Appendix A; Table 2; Table 1; Appendix B</x:v>
      </x:c>
      <x:c r="J835" s="16" t="n">
        <x:f>Coder_B!F835</x:f>
        <x:v>0</x:v>
      </x:c>
    </x:row>
    <x:row r="836">
      <x:c r="A836" s="16" t="n">
        <x:v>835</x:v>
      </x:c>
      <x:c r="B836" s="16" t="str">
        <x:v>EXPERIMENT</x:v>
      </x:c>
      <x:c r="C836" s="16" t="str">
        <x:f>Coder_A!C836</x:f>
        <x:v>PILOT_01_E11</x:v>
      </x:c>
      <x:c r="D836" s="16" t="str">
        <x:v>significance_threshold</x:v>
      </x:c>
      <x:c r="E836" s="16" t="str">
        <x:f>Coder_A!E836</x:f>
        <x:v>NR</x:v>
      </x:c>
      <x:c r="F836" s="16" t="n">
        <x:f>Coder_B!E836</x:f>
        <x:v>0</x:v>
      </x:c>
      <x:c r="G836" s="16" t="str">
        <x:f>IF(F836="","PENDING",IF(E836=F836,"AGREE","DISAGREE"))</x:f>
        <x:v>PENDING</x:v>
      </x:c>
      <x:c r="H836" s="16" t="str">
        <x:v>N</x:v>
      </x:c>
      <x:c r="I836" s="16" t="str">
        <x:f>Coder_A!F836</x:f>
        <x:v>Sec. 3 Datasets; Appendix A; Table 2; Table 1; Appendix B</x:v>
      </x:c>
      <x:c r="J836" s="16" t="n">
        <x:f>Coder_B!F836</x:f>
        <x:v>0</x:v>
      </x:c>
    </x:row>
    <x:row r="837">
      <x:c r="A837" s="16" t="n">
        <x:v>836</x:v>
      </x:c>
      <x:c r="B837" s="16" t="str">
        <x:v>EXPERIMENT</x:v>
      </x:c>
      <x:c r="C837" s="16" t="str">
        <x:f>Coder_A!C837</x:f>
        <x:v>PILOT_01_E11</x:v>
      </x:c>
      <x:c r="D837" s="16" t="str">
        <x:v>parameter_count</x:v>
      </x:c>
      <x:c r="E837" s="16" t="str">
        <x:f>Coder_A!E837</x:f>
        <x:v>NR</x:v>
      </x:c>
      <x:c r="F837" s="16" t="n">
        <x:f>Coder_B!E837</x:f>
        <x:v>0</x:v>
      </x:c>
      <x:c r="G837" s="16" t="str">
        <x:f>IF(F837="","PENDING",IF(E837=F837,"AGREE","DISAGREE"))</x:f>
        <x:v>PENDING</x:v>
      </x:c>
      <x:c r="H837" s="16" t="str">
        <x:v>N</x:v>
      </x:c>
      <x:c r="I837" s="16" t="str">
        <x:f>Coder_A!F837</x:f>
        <x:v>Sec. 3 Datasets; Appendix A; Table 2; Table 1; Appendix B</x:v>
      </x:c>
      <x:c r="J837" s="16" t="n">
        <x:f>Coder_B!F837</x:f>
        <x:v>0</x:v>
      </x:c>
    </x:row>
    <x:row r="838">
      <x:c r="A838" s="16" t="n">
        <x:v>837</x:v>
      </x:c>
      <x:c r="B838" s="16" t="str">
        <x:v>EXPERIMENT</x:v>
      </x:c>
      <x:c r="C838" s="16" t="str">
        <x:f>Coder_A!C838</x:f>
        <x:v>PILOT_01_E11</x:v>
      </x:c>
      <x:c r="D838" s="16" t="str">
        <x:v>train_time</x:v>
      </x:c>
      <x:c r="E838" s="16" t="str">
        <x:f>Coder_A!E838</x:f>
        <x:v>NR</x:v>
      </x:c>
      <x:c r="F838" s="16" t="n">
        <x:f>Coder_B!E838</x:f>
        <x:v>0</x:v>
      </x:c>
      <x:c r="G838" s="16" t="str">
        <x:f>IF(F838="","PENDING",IF(E838=F838,"AGREE","DISAGREE"))</x:f>
        <x:v>PENDING</x:v>
      </x:c>
      <x:c r="H838" s="16" t="str">
        <x:v>N</x:v>
      </x:c>
      <x:c r="I838" s="16" t="str">
        <x:f>Coder_A!F838</x:f>
        <x:v>Sec. 3 Datasets; Appendix A; Table 2; Table 1; Appendix B</x:v>
      </x:c>
      <x:c r="J838" s="16" t="n">
        <x:f>Coder_B!F838</x:f>
        <x:v>0</x:v>
      </x:c>
    </x:row>
    <x:row r="839">
      <x:c r="A839" s="16" t="n">
        <x:v>838</x:v>
      </x:c>
      <x:c r="B839" s="16" t="str">
        <x:v>EXPERIMENT</x:v>
      </x:c>
      <x:c r="C839" s="16" t="str">
        <x:f>Coder_A!C839</x:f>
        <x:v>PILOT_01_E11</x:v>
      </x:c>
      <x:c r="D839" s="16" t="str">
        <x:v>time_per_epoch</x:v>
      </x:c>
      <x:c r="E839" s="16" t="str">
        <x:f>Coder_A!E839</x:f>
        <x:v>NR</x:v>
      </x:c>
      <x:c r="F839" s="16" t="n">
        <x:f>Coder_B!E839</x:f>
        <x:v>0</x:v>
      </x:c>
      <x:c r="G839" s="16" t="str">
        <x:f>IF(F839="","PENDING",IF(E839=F839,"AGREE","DISAGREE"))</x:f>
        <x:v>PENDING</x:v>
      </x:c>
      <x:c r="H839" s="16" t="str">
        <x:v>N</x:v>
      </x:c>
      <x:c r="I839" s="16" t="str">
        <x:f>Coder_A!F839</x:f>
        <x:v>Sec. 3 Datasets; Appendix A; Table 2; Table 1; Appendix B</x:v>
      </x:c>
      <x:c r="J839" s="16" t="n">
        <x:f>Coder_B!F839</x:f>
        <x:v>0</x:v>
      </x:c>
    </x:row>
    <x:row r="840">
      <x:c r="A840" s="16" t="n">
        <x:v>839</x:v>
      </x:c>
      <x:c r="B840" s="16" t="str">
        <x:v>EXPERIMENT</x:v>
      </x:c>
      <x:c r="C840" s="16" t="str">
        <x:f>Coder_A!C840</x:f>
        <x:v>PILOT_01_E11</x:v>
      </x:c>
      <x:c r="D840" s="16" t="str">
        <x:v>inference_latency</x:v>
      </x:c>
      <x:c r="E840" s="16" t="str">
        <x:f>Coder_A!E840</x:f>
        <x:v>NR</x:v>
      </x:c>
      <x:c r="F840" s="16" t="n">
        <x:f>Coder_B!E840</x:f>
        <x:v>0</x:v>
      </x:c>
      <x:c r="G840" s="16" t="str">
        <x:f>IF(F840="","PENDING",IF(E840=F840,"AGREE","DISAGREE"))</x:f>
        <x:v>PENDING</x:v>
      </x:c>
      <x:c r="H840" s="16" t="str">
        <x:v>N</x:v>
      </x:c>
      <x:c r="I840" s="16" t="str">
        <x:f>Coder_A!F840</x:f>
        <x:v>Sec. 3 Datasets; Appendix A; Table 2; Table 1; Appendix B</x:v>
      </x:c>
      <x:c r="J840" s="16" t="n">
        <x:f>Coder_B!F840</x:f>
        <x:v>0</x:v>
      </x:c>
    </x:row>
    <x:row r="841">
      <x:c r="A841" s="16" t="n">
        <x:v>840</x:v>
      </x:c>
      <x:c r="B841" s="16" t="str">
        <x:v>EXPERIMENT</x:v>
      </x:c>
      <x:c r="C841" s="16" t="str">
        <x:f>Coder_A!C841</x:f>
        <x:v>PILOT_01_E11</x:v>
      </x:c>
      <x:c r="D841" s="16" t="str">
        <x:v>throughput</x:v>
      </x:c>
      <x:c r="E841" s="16" t="str">
        <x:f>Coder_A!E841</x:f>
        <x:v>NR</x:v>
      </x:c>
      <x:c r="F841" s="16" t="n">
        <x:f>Coder_B!E841</x:f>
        <x:v>0</x:v>
      </x:c>
      <x:c r="G841" s="16" t="str">
        <x:f>IF(F841="","PENDING",IF(E841=F841,"AGREE","DISAGREE"))</x:f>
        <x:v>PENDING</x:v>
      </x:c>
      <x:c r="H841" s="16" t="str">
        <x:v>N</x:v>
      </x:c>
      <x:c r="I841" s="16" t="str">
        <x:f>Coder_A!F841</x:f>
        <x:v>Sec. 3 Datasets; Appendix A; Table 2; Table 1; Appendix B</x:v>
      </x:c>
      <x:c r="J841" s="16" t="n">
        <x:f>Coder_B!F841</x:f>
        <x:v>0</x:v>
      </x:c>
    </x:row>
    <x:row r="842">
      <x:c r="A842" s="16" t="n">
        <x:v>841</x:v>
      </x:c>
      <x:c r="B842" s="16" t="str">
        <x:v>EXPERIMENT</x:v>
      </x:c>
      <x:c r="C842" s="16" t="str">
        <x:f>Coder_A!C842</x:f>
        <x:v>PILOT_01_E11</x:v>
      </x:c>
      <x:c r="D842" s="16" t="str">
        <x:v>cpu_ram</x:v>
      </x:c>
      <x:c r="E842" s="16" t="str">
        <x:f>Coder_A!E842</x:f>
        <x:v>NR</x:v>
      </x:c>
      <x:c r="F842" s="16" t="n">
        <x:f>Coder_B!E842</x:f>
        <x:v>0</x:v>
      </x:c>
      <x:c r="G842" s="16" t="str">
        <x:f>IF(F842="","PENDING",IF(E842=F842,"AGREE","DISAGREE"))</x:f>
        <x:v>PENDING</x:v>
      </x:c>
      <x:c r="H842" s="16" t="str">
        <x:v>N</x:v>
      </x:c>
      <x:c r="I842" s="16" t="str">
        <x:f>Coder_A!F842</x:f>
        <x:v>Sec. 3 Datasets; Appendix A; Table 2; Table 1; Appendix B</x:v>
      </x:c>
      <x:c r="J842" s="16" t="n">
        <x:f>Coder_B!F842</x:f>
        <x:v>0</x:v>
      </x:c>
    </x:row>
    <x:row r="843">
      <x:c r="A843" s="16" t="n">
        <x:v>842</x:v>
      </x:c>
      <x:c r="B843" s="16" t="str">
        <x:v>EXPERIMENT</x:v>
      </x:c>
      <x:c r="C843" s="16" t="str">
        <x:f>Coder_A!C843</x:f>
        <x:v>PILOT_01_E11</x:v>
      </x:c>
      <x:c r="D843" s="16" t="str">
        <x:v>gpu_vram</x:v>
      </x:c>
      <x:c r="E843" s="16" t="str">
        <x:f>Coder_A!E843</x:f>
        <x:v>NR</x:v>
      </x:c>
      <x:c r="F843" s="16" t="n">
        <x:f>Coder_B!E843</x:f>
        <x:v>0</x:v>
      </x:c>
      <x:c r="G843" s="16" t="str">
        <x:f>IF(F843="","PENDING",IF(E843=F843,"AGREE","DISAGREE"))</x:f>
        <x:v>PENDING</x:v>
      </x:c>
      <x:c r="H843" s="16" t="str">
        <x:v>N</x:v>
      </x:c>
      <x:c r="I843" s="16" t="str">
        <x:f>Coder_A!F843</x:f>
        <x:v>Sec. 3 Datasets; Appendix A; Table 2; Table 1; Appendix B</x:v>
      </x:c>
      <x:c r="J843" s="16" t="n">
        <x:f>Coder_B!F843</x:f>
        <x:v>0</x:v>
      </x:c>
    </x:row>
    <x:row r="844">
      <x:c r="A844" s="16" t="n">
        <x:v>843</x:v>
      </x:c>
      <x:c r="B844" s="16" t="str">
        <x:v>EXPERIMENT</x:v>
      </x:c>
      <x:c r="C844" s="16" t="str">
        <x:f>Coder_A!C844</x:f>
        <x:v>PILOT_01_E11</x:v>
      </x:c>
      <x:c r="D844" s="16" t="str">
        <x:v>hardware</x:v>
      </x:c>
      <x:c r="E844" s="16" t="str">
        <x:f>Coder_A!E844</x:f>
        <x:v>NR</x:v>
      </x:c>
      <x:c r="F844" s="16" t="n">
        <x:f>Coder_B!E844</x:f>
        <x:v>0</x:v>
      </x:c>
      <x:c r="G844" s="16" t="str">
        <x:f>IF(F844="","PENDING",IF(E844=F844,"AGREE","DISAGREE"))</x:f>
        <x:v>PENDING</x:v>
      </x:c>
      <x:c r="H844" s="16" t="str">
        <x:v>N</x:v>
      </x:c>
      <x:c r="I844" s="16" t="str">
        <x:f>Coder_A!F844</x:f>
        <x:v>Sec. 3 Datasets; Appendix A; Table 2; Table 1; Appendix B</x:v>
      </x:c>
      <x:c r="J844" s="16" t="n">
        <x:f>Coder_B!F844</x:f>
        <x:v>0</x:v>
      </x:c>
    </x:row>
    <x:row r="845">
      <x:c r="A845" s="16" t="n">
        <x:v>844</x:v>
      </x:c>
      <x:c r="B845" s="16" t="str">
        <x:v>EXPERIMENT</x:v>
      </x:c>
      <x:c r="C845" s="16" t="str">
        <x:f>Coder_A!C845</x:f>
        <x:v>PILOT_01_E11</x:v>
      </x:c>
      <x:c r="D845" s="16" t="str">
        <x:v>graph_construction_time</x:v>
      </x:c>
      <x:c r="E845" s="16" t="str">
        <x:f>Coder_A!E845</x:f>
        <x:v>NR</x:v>
      </x:c>
      <x:c r="F845" s="16" t="n">
        <x:f>Coder_B!E845</x:f>
        <x:v>0</x:v>
      </x:c>
      <x:c r="G845" s="16" t="str">
        <x:f>IF(F845="","PENDING",IF(E845=F845,"AGREE","DISAGREE"))</x:f>
        <x:v>PENDING</x:v>
      </x:c>
      <x:c r="H845" s="16" t="str">
        <x:v>N</x:v>
      </x:c>
      <x:c r="I845" s="16" t="str">
        <x:f>Coder_A!F845</x:f>
        <x:v>Sec. 3 Datasets; Appendix A; Table 2; Table 1; Appendix B</x:v>
      </x:c>
      <x:c r="J845" s="16" t="n">
        <x:f>Coder_B!F845</x:f>
        <x:v>0</x:v>
      </x:c>
    </x:row>
    <x:row r="846">
      <x:c r="A846" s="16" t="n">
        <x:v>845</x:v>
      </x:c>
      <x:c r="B846" s="16" t="str">
        <x:v>EXPERIMENT</x:v>
      </x:c>
      <x:c r="C846" s="16" t="str">
        <x:f>Coder_A!C846</x:f>
        <x:v>PILOT_01_E11</x:v>
      </x:c>
      <x:c r="D846" s="16" t="str">
        <x:v>complexity_formula</x:v>
      </x:c>
      <x:c r="E846" s="16" t="str">
        <x:f>Coder_A!E846</x:f>
        <x:v>O(KN^2) -&gt; O(KN) for modified VAE edge inference</x:v>
      </x:c>
      <x:c r="F846" s="16" t="n">
        <x:f>Coder_B!E846</x:f>
        <x:v>0</x:v>
      </x:c>
      <x:c r="G846" s="16" t="str">
        <x:f>IF(F846="","PENDING",IF(E846=F846,"AGREE","DISAGREE"))</x:f>
        <x:v>PENDING</x:v>
      </x:c>
      <x:c r="H846" s="16" t="str">
        <x:v>N</x:v>
      </x:c>
      <x:c r="I846" s="16" t="str">
        <x:f>Coder_A!F846</x:f>
        <x:v>Sec. 3 Datasets; Appendix A; Table 2; Table 1; Appendix B</x:v>
      </x:c>
      <x:c r="J846" s="16" t="n">
        <x:f>Coder_B!F846</x:f>
        <x:v>0</x:v>
      </x:c>
    </x:row>
    <x:row r="847">
      <x:c r="A847" s="16" t="n">
        <x:v>846</x:v>
      </x:c>
      <x:c r="B847" s="16" t="str">
        <x:v>EXPERIMENT</x:v>
      </x:c>
      <x:c r="C847" s="16" t="str">
        <x:f>Coder_A!C847</x:f>
        <x:v>PILOT_01_E11</x:v>
      </x:c>
      <x:c r="D847" s="16" t="str">
        <x:v>scale_up_experiment</x:v>
      </x:c>
      <x:c r="E847" s="16" t="str">
        <x:f>Coder_A!E847</x:f>
        <x:v>N</x:v>
      </x:c>
      <x:c r="F847" s="16" t="n">
        <x:f>Coder_B!E847</x:f>
        <x:v>0</x:v>
      </x:c>
      <x:c r="G847" s="16" t="str">
        <x:f>IF(F847="","PENDING",IF(E847=F847,"AGREE","DISAGREE"))</x:f>
        <x:v>PENDING</x:v>
      </x:c>
      <x:c r="H847" s="16" t="str">
        <x:v>Y</x:v>
      </x:c>
      <x:c r="I847" s="16" t="str">
        <x:f>Coder_A!F847</x:f>
        <x:v>Sec. 3 Datasets; Appendix A; Table 2; Table 1; Appendix B</x:v>
      </x:c>
      <x:c r="J847" s="16" t="n">
        <x:f>Coder_B!F847</x:f>
        <x:v>0</x:v>
      </x:c>
    </x:row>
    <x:row r="848">
      <x:c r="A848" s="16" t="n">
        <x:v>847</x:v>
      </x:c>
      <x:c r="B848" s="16" t="str">
        <x:v>EXPERIMENT</x:v>
      </x:c>
      <x:c r="C848" s="16" t="str">
        <x:f>Coder_A!C848</x:f>
        <x:v>PILOT_01_E11</x:v>
      </x:c>
      <x:c r="D848" s="16" t="str">
        <x:v>oom_timeout_reported</x:v>
      </x:c>
      <x:c r="E848" s="16" t="str">
        <x:f>Coder_A!E848</x:f>
        <x:v>NR</x:v>
      </x:c>
      <x:c r="F848" s="16" t="n">
        <x:f>Coder_B!E848</x:f>
        <x:v>0</x:v>
      </x:c>
      <x:c r="G848" s="16" t="str">
        <x:f>IF(F848="","PENDING",IF(E848=F848,"AGREE","DISAGREE"))</x:f>
        <x:v>PENDING</x:v>
      </x:c>
      <x:c r="H848" s="16" t="str">
        <x:v>Y</x:v>
      </x:c>
      <x:c r="I848" s="16" t="str">
        <x:f>Coder_A!F848</x:f>
        <x:v>Sec. 3 Datasets; Appendix A; Table 2; Table 1; Appendix B</x:v>
      </x:c>
      <x:c r="J848" s="16" t="n">
        <x:f>Coder_B!F848</x:f>
        <x:v>0</x:v>
      </x:c>
    </x:row>
    <x:row r="849">
      <x:c r="A849" s="16" t="n">
        <x:v>848</x:v>
      </x:c>
      <x:c r="B849" s="16" t="str">
        <x:v>EXPERIMENT</x:v>
      </x:c>
      <x:c r="C849" s="16" t="str">
        <x:f>Coder_A!C849</x:f>
        <x:v>PILOT_01_E12</x:v>
      </x:c>
      <x:c r="D849" s="16" t="str">
        <x:v>dataset_name</x:v>
      </x:c>
      <x:c r="E849" s="16" t="str">
        <x:f>Coder_A!E849</x:f>
        <x:v>KDDCup</x:v>
      </x:c>
      <x:c r="F849" s="16" t="n">
        <x:f>Coder_B!E849</x:f>
        <x:v>0</x:v>
      </x:c>
      <x:c r="G849" s="16" t="str">
        <x:f>IF(F849="","PENDING",IF(E849=F849,"AGREE","DISAGREE"))</x:f>
        <x:v>PENDING</x:v>
      </x:c>
      <x:c r="H849" s="16" t="str">
        <x:v>N</x:v>
      </x:c>
      <x:c r="I849" s="16" t="str">
        <x:f>Coder_A!F849</x:f>
        <x:v>Sec. 3 Datasets; Appendix A; Table 2; Table 1; Appendix B</x:v>
      </x:c>
      <x:c r="J849" s="16" t="n">
        <x:f>Coder_B!F849</x:f>
        <x:v>0</x:v>
      </x:c>
    </x:row>
    <x:row r="850">
      <x:c r="A850" s="16" t="n">
        <x:v>849</x:v>
      </x:c>
      <x:c r="B850" s="16" t="str">
        <x:v>EXPERIMENT</x:v>
      </x:c>
      <x:c r="C850" s="16" t="str">
        <x:f>Coder_A!C850</x:f>
        <x:v>PILOT_01_E12</x:v>
      </x:c>
      <x:c r="D850" s="16" t="str">
        <x:v>dataset_version</x:v>
      </x:c>
      <x:c r="E850" s="16" t="str">
        <x:f>Coder_A!E850</x:f>
        <x:v>Bridge to Algebra 2006-2007</x:v>
      </x:c>
      <x:c r="F850" s="16" t="n">
        <x:f>Coder_B!E850</x:f>
        <x:v>0</x:v>
      </x:c>
      <x:c r="G850" s="16" t="str">
        <x:f>IF(F850="","PENDING",IF(E850=F850,"AGREE","DISAGREE"))</x:f>
        <x:v>PENDING</x:v>
      </x:c>
      <x:c r="H850" s="16" t="str">
        <x:v>N</x:v>
      </x:c>
      <x:c r="I850" s="16" t="str">
        <x:f>Coder_A!F850</x:f>
        <x:v>Sec. 3 Datasets; Appendix A; Table 2; Table 1; Appendix B</x:v>
      </x:c>
      <x:c r="J850" s="16" t="n">
        <x:f>Coder_B!F850</x:f>
        <x:v>0</x:v>
      </x:c>
    </x:row>
    <x:row r="851">
      <x:c r="A851" s="16" t="n">
        <x:v>850</x:v>
      </x:c>
      <x:c r="B851" s="16" t="str">
        <x:v>EXPERIMENT</x:v>
      </x:c>
      <x:c r="C851" s="16" t="str">
        <x:f>Coder_A!C851</x:f>
        <x:v>PILOT_01_E12</x:v>
      </x:c>
      <x:c r="D851" s="16" t="str">
        <x:v>n_learners_reported</x:v>
      </x:c>
      <x:c r="E851" s="16" t="n">
        <x:f>Coder_A!E851</x:f>
        <x:v>1000</x:v>
      </x:c>
      <x:c r="F851" s="16" t="n">
        <x:f>Coder_B!E851</x:f>
        <x:v>0</x:v>
      </x:c>
      <x:c r="G851" s="16" t="str">
        <x:f>IF(F851="","PENDING",IF(E851=F851,"AGREE","DISAGREE"))</x:f>
        <x:v>PENDING</x:v>
      </x:c>
      <x:c r="H851" s="16" t="str">
        <x:v>N</x:v>
      </x:c>
      <x:c r="I851" s="16" t="str">
        <x:f>Coder_A!F851</x:f>
        <x:v>Sec. 3 Datasets; Appendix A; Table 2; Table 1; Appendix B</x:v>
      </x:c>
      <x:c r="J851" s="16" t="n">
        <x:f>Coder_B!F851</x:f>
        <x:v>0</x:v>
      </x:c>
    </x:row>
    <x:row r="852">
      <x:c r="A852" s="16" t="n">
        <x:v>851</x:v>
      </x:c>
      <x:c r="B852" s="16" t="str">
        <x:v>EXPERIMENT</x:v>
      </x:c>
      <x:c r="C852" s="16" t="str">
        <x:f>Coder_A!C852</x:f>
        <x:v>PILOT_01_E12</x:v>
      </x:c>
      <x:c r="D852" s="16" t="str">
        <x:v>n_items_reported</x:v>
      </x:c>
      <x:c r="E852" s="16" t="str">
        <x:f>Coder_A!E852</x:f>
        <x:v>NR</x:v>
      </x:c>
      <x:c r="F852" s="16" t="n">
        <x:f>Coder_B!E852</x:f>
        <x:v>0</x:v>
      </x:c>
      <x:c r="G852" s="16" t="str">
        <x:f>IF(F852="","PENDING",IF(E852=F852,"AGREE","DISAGREE"))</x:f>
        <x:v>PENDING</x:v>
      </x:c>
      <x:c r="H852" s="16" t="str">
        <x:v>N</x:v>
      </x:c>
      <x:c r="I852" s="16" t="str">
        <x:f>Coder_A!F852</x:f>
        <x:v>Sec. 3 Datasets; Appendix A; Table 2; Table 1; Appendix B</x:v>
      </x:c>
      <x:c r="J852" s="16" t="n">
        <x:f>Coder_B!F852</x:f>
        <x:v>0</x:v>
      </x:c>
    </x:row>
    <x:row r="853">
      <x:c r="A853" s="16" t="n">
        <x:v>852</x:v>
      </x:c>
      <x:c r="B853" s="16" t="str">
        <x:v>EXPERIMENT</x:v>
      </x:c>
      <x:c r="C853" s="16" t="str">
        <x:f>Coder_A!C853</x:f>
        <x:v>PILOT_01_E12</x:v>
      </x:c>
      <x:c r="D853" s="16" t="str">
        <x:v>n_kcs_reported</x:v>
      </x:c>
      <x:c r="E853" s="16" t="n">
        <x:f>Coder_A!E853</x:f>
        <x:v>211</x:v>
      </x:c>
      <x:c r="F853" s="16" t="n">
        <x:f>Coder_B!E853</x:f>
        <x:v>0</x:v>
      </x:c>
      <x:c r="G853" s="16" t="str">
        <x:f>IF(F853="","PENDING",IF(E853=F853,"AGREE","DISAGREE"))</x:f>
        <x:v>PENDING</x:v>
      </x:c>
      <x:c r="H853" s="16" t="str">
        <x:v>N</x:v>
      </x:c>
      <x:c r="I853" s="16" t="str">
        <x:f>Coder_A!F853</x:f>
        <x:v>Sec. 3 Datasets; Appendix A; Table 2; Table 1; Appendix B</x:v>
      </x:c>
      <x:c r="J853" s="16" t="n">
        <x:f>Coder_B!F853</x:f>
        <x:v>0</x:v>
      </x:c>
    </x:row>
    <x:row r="854">
      <x:c r="A854" s="16" t="n">
        <x:v>853</x:v>
      </x:c>
      <x:c r="B854" s="16" t="str">
        <x:v>EXPERIMENT</x:v>
      </x:c>
      <x:c r="C854" s="16" t="str">
        <x:f>Coder_A!C854</x:f>
        <x:v>PILOT_01_E12</x:v>
      </x:c>
      <x:c r="D854" s="16" t="str">
        <x:v>n_interactions_reported</x:v>
      </x:c>
      <x:c r="E854" s="16" t="n">
        <x:f>Coder_A!E854</x:f>
        <x:v>98200</x:v>
      </x:c>
      <x:c r="F854" s="16" t="n">
        <x:f>Coder_B!E854</x:f>
        <x:v>0</x:v>
      </x:c>
      <x:c r="G854" s="16" t="str">
        <x:f>IF(F854="","PENDING",IF(E854=F854,"AGREE","DISAGREE"))</x:f>
        <x:v>PENDING</x:v>
      </x:c>
      <x:c r="H854" s="16" t="str">
        <x:v>N</x:v>
      </x:c>
      <x:c r="I854" s="16" t="str">
        <x:f>Coder_A!F854</x:f>
        <x:v>Sec. 3 Datasets; Appendix A; Table 2; Table 1; Appendix B</x:v>
      </x:c>
      <x:c r="J854" s="16" t="n">
        <x:f>Coder_B!F854</x:f>
        <x:v>0</x:v>
      </x:c>
    </x:row>
    <x:row r="855">
      <x:c r="A855" s="16" t="n">
        <x:v>854</x:v>
      </x:c>
      <x:c r="B855" s="16" t="str">
        <x:v>EXPERIMENT</x:v>
      </x:c>
      <x:c r="C855" s="16" t="str">
        <x:f>Coder_A!C855</x:f>
        <x:v>PILOT_01_E12</x:v>
      </x:c>
      <x:c r="D855" s="16" t="str">
        <x:v>multi_skill_present</x:v>
      </x:c>
      <x:c r="E855" s="16" t="str">
        <x:f>Coder_A!E855</x:f>
        <x:v>UNCLEAR</x:v>
      </x:c>
      <x:c r="F855" s="16" t="n">
        <x:f>Coder_B!E855</x:f>
        <x:v>0</x:v>
      </x:c>
      <x:c r="G855" s="16" t="str">
        <x:f>IF(F855="","PENDING",IF(E855=F855,"AGREE","DISAGREE"))</x:f>
        <x:v>PENDING</x:v>
      </x:c>
      <x:c r="H855" s="16" t="str">
        <x:v>Y</x:v>
      </x:c>
      <x:c r="I855" s="16" t="str">
        <x:f>Coder_A!F855</x:f>
        <x:v>Sec. 3 Datasets; Appendix A; Table 2; Table 1; Appendix B</x:v>
      </x:c>
      <x:c r="J855" s="16" t="n">
        <x:f>Coder_B!F855</x:f>
        <x:v>0</x:v>
      </x:c>
    </x:row>
    <x:row r="856">
      <x:c r="A856" s="16" t="n">
        <x:v>855</x:v>
      </x:c>
      <x:c r="B856" s="16" t="str">
        <x:v>EXPERIMENT</x:v>
      </x:c>
      <x:c r="C856" s="16" t="str">
        <x:f>Coder_A!C856</x:f>
        <x:v>PILOT_01_E12</x:v>
      </x:c>
      <x:c r="D856" s="16" t="str">
        <x:v>multi_skill_handling</x:v>
      </x:c>
      <x:c r="E856" s="16" t="str">
        <x:f>Coder_A!E856</x:f>
        <x:v>Combine simultaneous answer logs into one; extract named skill tags</x:v>
      </x:c>
      <x:c r="F856" s="16" t="n">
        <x:f>Coder_B!E856</x:f>
        <x:v>0</x:v>
      </x:c>
      <x:c r="G856" s="16" t="str">
        <x:f>IF(F856="","PENDING",IF(E856=F856,"AGREE","DISAGREE"))</x:f>
        <x:v>PENDING</x:v>
      </x:c>
      <x:c r="H856" s="16" t="str">
        <x:v>N</x:v>
      </x:c>
      <x:c r="I856" s="16" t="str">
        <x:f>Coder_A!F856</x:f>
        <x:v>Sec. 3 Datasets; Appendix A; Table 2; Table 1; Appendix B</x:v>
      </x:c>
      <x:c r="J856" s="16" t="n">
        <x:f>Coder_B!F856</x:f>
        <x:v>0</x:v>
      </x:c>
    </x:row>
    <x:row r="857">
      <x:c r="A857" s="16" t="n">
        <x:v>856</x:v>
      </x:c>
      <x:c r="B857" s="16" t="str">
        <x:v>EXPERIMENT</x:v>
      </x:c>
      <x:c r="C857" s="16" t="str">
        <x:f>Coder_A!C857</x:f>
        <x:v>PILOT_01_E12</x:v>
      </x:c>
      <x:c r="D857" s="16" t="str">
        <x:v>sequence_truncation</x:v>
      </x:c>
      <x:c r="E857" s="16" t="str">
        <x:f>Coder_A!E857</x:f>
        <x:v>NR</x:v>
      </x:c>
      <x:c r="F857" s="16" t="n">
        <x:f>Coder_B!E857</x:f>
        <x:v>0</x:v>
      </x:c>
      <x:c r="G857" s="16" t="str">
        <x:f>IF(F857="","PENDING",IF(E857=F857,"AGREE","DISAGREE"))</x:f>
        <x:v>PENDING</x:v>
      </x:c>
      <x:c r="H857" s="16" t="str">
        <x:v>N</x:v>
      </x:c>
      <x:c r="I857" s="16" t="str">
        <x:f>Coder_A!F857</x:f>
        <x:v>Sec. 3 Datasets; Appendix A; Table 2; Table 1; Appendix B</x:v>
      </x:c>
      <x:c r="J857" s="16" t="n">
        <x:f>Coder_B!F857</x:f>
        <x:v>0</x:v>
      </x:c>
    </x:row>
    <x:row r="858">
      <x:c r="A858" s="16" t="n">
        <x:v>857</x:v>
      </x:c>
      <x:c r="B858" s="16" t="str">
        <x:v>EXPERIMENT</x:v>
      </x:c>
      <x:c r="C858" s="16" t="str">
        <x:f>Coder_A!C858</x:f>
        <x:v>PILOT_01_E12</x:v>
      </x:c>
      <x:c r="D858" s="16" t="str">
        <x:v>min_sequence_filter</x:v>
      </x:c>
      <x:c r="E858" s="16" t="str">
        <x:f>Coder_A!E858</x:f>
        <x:v>NR</x:v>
      </x:c>
      <x:c r="F858" s="16" t="n">
        <x:f>Coder_B!E858</x:f>
        <x:v>0</x:v>
      </x:c>
      <x:c r="G858" s="16" t="str">
        <x:f>IF(F858="","PENDING",IF(E858=F858,"AGREE","DISAGREE"))</x:f>
        <x:v>PENDING</x:v>
      </x:c>
      <x:c r="H858" s="16" t="str">
        <x:v>N</x:v>
      </x:c>
      <x:c r="I858" s="16" t="str">
        <x:f>Coder_A!F858</x:f>
        <x:v>Sec. 3 Datasets; Appendix A; Table 2; Table 1; Appendix B</x:v>
      </x:c>
      <x:c r="J858" s="16" t="n">
        <x:f>Coder_B!F858</x:f>
        <x:v>0</x:v>
      </x:c>
    </x:row>
    <x:row r="859">
      <x:c r="A859" s="16" t="n">
        <x:v>858</x:v>
      </x:c>
      <x:c r="B859" s="16" t="str">
        <x:v>EXPERIMENT</x:v>
      </x:c>
      <x:c r="C859" s="16" t="str">
        <x:f>Coder_A!C859</x:f>
        <x:v>PILOT_01_E12</x:v>
      </x:c>
      <x:c r="D859" s="16" t="str">
        <x:v>timestamp_used</x:v>
      </x:c>
      <x:c r="E859" s="16" t="str">
        <x:f>Coder_A!E859</x:f>
        <x:v>UNCLEAR</x:v>
      </x:c>
      <x:c r="F859" s="16" t="n">
        <x:f>Coder_B!E859</x:f>
        <x:v>0</x:v>
      </x:c>
      <x:c r="G859" s="16" t="str">
        <x:f>IF(F859="","PENDING",IF(E859=F859,"AGREE","DISAGREE"))</x:f>
        <x:v>PENDING</x:v>
      </x:c>
      <x:c r="H859" s="16" t="str">
        <x:v>Y</x:v>
      </x:c>
      <x:c r="I859" s="16" t="str">
        <x:f>Coder_A!F859</x:f>
        <x:v>Sec. 3 Datasets; Appendix A; Table 2; Table 1; Appendix B</x:v>
      </x:c>
      <x:c r="J859" s="16" t="n">
        <x:f>Coder_B!F859</x:f>
        <x:v>0</x:v>
      </x:c>
    </x:row>
    <x:row r="860">
      <x:c r="A860" s="16" t="n">
        <x:v>859</x:v>
      </x:c>
      <x:c r="B860" s="16" t="str">
        <x:v>EXPERIMENT</x:v>
      </x:c>
      <x:c r="C860" s="16" t="str">
        <x:f>Coder_A!C860</x:f>
        <x:v>PILOT_01_E12</x:v>
      </x:c>
      <x:c r="D860" s="16" t="str">
        <x:v>preprocessing_code_available</x:v>
      </x:c>
      <x:c r="E860" s="16" t="str">
        <x:f>Coder_A!E860</x:f>
        <x:v>NR</x:v>
      </x:c>
      <x:c r="F860" s="16" t="n">
        <x:f>Coder_B!E860</x:f>
        <x:v>0</x:v>
      </x:c>
      <x:c r="G860" s="16" t="str">
        <x:f>IF(F860="","PENDING",IF(E860=F860,"AGREE","DISAGREE"))</x:f>
        <x:v>PENDING</x:v>
      </x:c>
      <x:c r="H860" s="16" t="str">
        <x:v>Y</x:v>
      </x:c>
      <x:c r="I860" s="16" t="str">
        <x:f>Coder_A!F860</x:f>
        <x:v>Sec. 3 Datasets; Appendix A; Table 2; Table 1; Appendix B</x:v>
      </x:c>
      <x:c r="J860" s="16" t="n">
        <x:f>Coder_B!F860</x:f>
        <x:v>0</x:v>
      </x:c>
    </x:row>
    <x:row r="861">
      <x:c r="A861" s="16" t="n">
        <x:v>860</x:v>
      </x:c>
      <x:c r="B861" s="16" t="str">
        <x:v>EXPERIMENT</x:v>
      </x:c>
      <x:c r="C861" s="16" t="str">
        <x:f>Coder_A!C861</x:f>
        <x:v>PILOT_01_E12</x:v>
      </x:c>
      <x:c r="D861" s="16" t="str">
        <x:v>split_type</x:v>
      </x:c>
      <x:c r="E861" s="16" t="str">
        <x:f>Coder_A!E861</x:f>
        <x:v>LEARNER_BASED</x:v>
      </x:c>
      <x:c r="F861" s="16" t="n">
        <x:f>Coder_B!E861</x:f>
        <x:v>0</x:v>
      </x:c>
      <x:c r="G861" s="16" t="str">
        <x:f>IF(F861="","PENDING",IF(E861=F861,"AGREE","DISAGREE"))</x:f>
        <x:v>PENDING</x:v>
      </x:c>
      <x:c r="H861" s="16" t="str">
        <x:v>Y</x:v>
      </x:c>
      <x:c r="I861" s="16" t="str">
        <x:f>Coder_A!F861</x:f>
        <x:v>Sec. 3 Datasets; Appendix A; Table 2; Table 1; Appendix B</x:v>
      </x:c>
      <x:c r="J861" s="16" t="n">
        <x:f>Coder_B!F861</x:f>
        <x:v>0</x:v>
      </x:c>
    </x:row>
    <x:row r="862">
      <x:c r="A862" s="16" t="n">
        <x:v>861</x:v>
      </x:c>
      <x:c r="B862" s="16" t="str">
        <x:v>EXPERIMENT</x:v>
      </x:c>
      <x:c r="C862" s="16" t="str">
        <x:f>Coder_A!C862</x:f>
        <x:v>PILOT_01_E12</x:v>
      </x:c>
      <x:c r="D862" s="16" t="str">
        <x:v>split_unit_original</x:v>
      </x:c>
      <x:c r="E862" s="16" t="str">
        <x:f>Coder_A!E862</x:f>
        <x:v>students</x:v>
      </x:c>
      <x:c r="F862" s="16" t="n">
        <x:f>Coder_B!E862</x:f>
        <x:v>0</x:v>
      </x:c>
      <x:c r="G862" s="16" t="str">
        <x:f>IF(F862="","PENDING",IF(E862=F862,"AGREE","DISAGREE"))</x:f>
        <x:v>PENDING</x:v>
      </x:c>
      <x:c r="H862" s="16" t="str">
        <x:v>N</x:v>
      </x:c>
      <x:c r="I862" s="16" t="str">
        <x:f>Coder_A!F862</x:f>
        <x:v>Sec. 3 Datasets; Appendix A; Table 2; Table 1; Appendix B</x:v>
      </x:c>
      <x:c r="J862" s="16" t="n">
        <x:f>Coder_B!F862</x:f>
        <x:v>0</x:v>
      </x:c>
    </x:row>
    <x:row r="863">
      <x:c r="A863" s="16" t="n">
        <x:v>862</x:v>
      </x:c>
      <x:c r="B863" s="16" t="str">
        <x:v>EXPERIMENT</x:v>
      </x:c>
      <x:c r="C863" s="16" t="str">
        <x:f>Coder_A!C863</x:f>
        <x:v>PILOT_01_E12</x:v>
      </x:c>
      <x:c r="D863" s="16" t="str">
        <x:v>train_fraction</x:v>
      </x:c>
      <x:c r="E863" s="16" t="n">
        <x:f>Coder_A!E863</x:f>
        <x:v>0.8</x:v>
      </x:c>
      <x:c r="F863" s="16" t="n">
        <x:f>Coder_B!E863</x:f>
        <x:v>0</x:v>
      </x:c>
      <x:c r="G863" s="16" t="str">
        <x:f>IF(F863="","PENDING",IF(E863=F863,"AGREE","DISAGREE"))</x:f>
        <x:v>PENDING</x:v>
      </x:c>
      <x:c r="H863" s="16" t="str">
        <x:v>N</x:v>
      </x:c>
      <x:c r="I863" s="16" t="str">
        <x:f>Coder_A!F863</x:f>
        <x:v>Sec. 3 Datasets; Appendix A; Table 2; Table 1; Appendix B</x:v>
      </x:c>
      <x:c r="J863" s="16" t="n">
        <x:f>Coder_B!F863</x:f>
        <x:v>0</x:v>
      </x:c>
    </x:row>
    <x:row r="864">
      <x:c r="A864" s="16" t="n">
        <x:v>863</x:v>
      </x:c>
      <x:c r="B864" s="16" t="str">
        <x:v>EXPERIMENT</x:v>
      </x:c>
      <x:c r="C864" s="16" t="str">
        <x:f>Coder_A!C864</x:f>
        <x:v>PILOT_01_E12</x:v>
      </x:c>
      <x:c r="D864" s="16" t="str">
        <x:v>validation_fraction</x:v>
      </x:c>
      <x:c r="E864" s="16" t="n">
        <x:f>Coder_A!E864</x:f>
        <x:v>0.1</x:v>
      </x:c>
      <x:c r="F864" s="16" t="n">
        <x:f>Coder_B!E864</x:f>
        <x:v>0</x:v>
      </x:c>
      <x:c r="G864" s="16" t="str">
        <x:f>IF(F864="","PENDING",IF(E864=F864,"AGREE","DISAGREE"))</x:f>
        <x:v>PENDING</x:v>
      </x:c>
      <x:c r="H864" s="16" t="str">
        <x:v>N</x:v>
      </x:c>
      <x:c r="I864" s="16" t="str">
        <x:f>Coder_A!F864</x:f>
        <x:v>Sec. 3 Datasets; Appendix A; Table 2; Table 1; Appendix B</x:v>
      </x:c>
      <x:c r="J864" s="16" t="n">
        <x:f>Coder_B!F864</x:f>
        <x:v>0</x:v>
      </x:c>
    </x:row>
    <x:row r="865">
      <x:c r="A865" s="16" t="n">
        <x:v>864</x:v>
      </x:c>
      <x:c r="B865" s="16" t="str">
        <x:v>EXPERIMENT</x:v>
      </x:c>
      <x:c r="C865" s="16" t="str">
        <x:f>Coder_A!C865</x:f>
        <x:v>PILOT_01_E12</x:v>
      </x:c>
      <x:c r="D865" s="16" t="str">
        <x:v>test_fraction</x:v>
      </x:c>
      <x:c r="E865" s="16" t="n">
        <x:f>Coder_A!E865</x:f>
        <x:v>0.1</x:v>
      </x:c>
      <x:c r="F865" s="16" t="n">
        <x:f>Coder_B!E865</x:f>
        <x:v>0</x:v>
      </x:c>
      <x:c r="G865" s="16" t="str">
        <x:f>IF(F865="","PENDING",IF(E865=F865,"AGREE","DISAGREE"))</x:f>
        <x:v>PENDING</x:v>
      </x:c>
      <x:c r="H865" s="16" t="str">
        <x:v>N</x:v>
      </x:c>
      <x:c r="I865" s="16" t="str">
        <x:f>Coder_A!F865</x:f>
        <x:v>Sec. 3 Datasets; Appendix A; Table 2; Table 1; Appendix B</x:v>
      </x:c>
      <x:c r="J865" s="16" t="n">
        <x:f>Coder_B!F865</x:f>
        <x:v>0</x:v>
      </x:c>
    </x:row>
    <x:row r="866">
      <x:c r="A866" s="16" t="n">
        <x:v>865</x:v>
      </x:c>
      <x:c r="B866" s="16" t="str">
        <x:v>EXPERIMENT</x:v>
      </x:c>
      <x:c r="C866" s="16" t="str">
        <x:f>Coder_A!C866</x:f>
        <x:v>PILOT_01_E12</x:v>
      </x:c>
      <x:c r="D866" s="16" t="str">
        <x:v>validation_set_separate</x:v>
      </x:c>
      <x:c r="E866" s="16" t="str">
        <x:f>Coder_A!E866</x:f>
        <x:v>Y</x:v>
      </x:c>
      <x:c r="F866" s="16" t="n">
        <x:f>Coder_B!E866</x:f>
        <x:v>0</x:v>
      </x:c>
      <x:c r="G866" s="16" t="str">
        <x:f>IF(F866="","PENDING",IF(E866=F866,"AGREE","DISAGREE"))</x:f>
        <x:v>PENDING</x:v>
      </x:c>
      <x:c r="H866" s="16" t="str">
        <x:v>Y</x:v>
      </x:c>
      <x:c r="I866" s="16" t="str">
        <x:f>Coder_A!F866</x:f>
        <x:v>Sec. 3 Datasets; Appendix A; Table 2; Table 1; Appendix B</x:v>
      </x:c>
      <x:c r="J866" s="16" t="n">
        <x:f>Coder_B!F866</x:f>
        <x:v>0</x:v>
      </x:c>
    </x:row>
    <x:row r="867">
      <x:c r="A867" s="16" t="n">
        <x:v>866</x:v>
      </x:c>
      <x:c r="B867" s="16" t="str">
        <x:v>EXPERIMENT</x:v>
      </x:c>
      <x:c r="C867" s="16" t="str">
        <x:f>Coder_A!C867</x:f>
        <x:v>PILOT_01_E12</x:v>
      </x:c>
      <x:c r="D867" s="16" t="str">
        <x:v>early_stopping_validation_only</x:v>
      </x:c>
      <x:c r="E867" s="16" t="str">
        <x:f>Coder_A!E867</x:f>
        <x:v>UNCLEAR</x:v>
      </x:c>
      <x:c r="F867" s="16" t="n">
        <x:f>Coder_B!E867</x:f>
        <x:v>0</x:v>
      </x:c>
      <x:c r="G867" s="16" t="str">
        <x:f>IF(F867="","PENDING",IF(E867=F867,"AGREE","DISAGREE"))</x:f>
        <x:v>PENDING</x:v>
      </x:c>
      <x:c r="H867" s="16" t="str">
        <x:v>Y</x:v>
      </x:c>
      <x:c r="I867" s="16" t="str">
        <x:f>Coder_A!F867</x:f>
        <x:v>Sec. 3 Datasets; Appendix A; Table 2; Table 1; Appendix B</x:v>
      </x:c>
      <x:c r="J867" s="16" t="n">
        <x:f>Coder_B!F867</x:f>
        <x:v>0</x:v>
      </x:c>
    </x:row>
    <x:row r="868">
      <x:c r="A868" s="16" t="n">
        <x:v>867</x:v>
      </x:c>
      <x:c r="B868" s="16" t="str">
        <x:v>EXPERIMENT</x:v>
      </x:c>
      <x:c r="C868" s="16" t="str">
        <x:f>Coder_A!C868</x:f>
        <x:v>PILOT_01_E12</x:v>
      </x:c>
      <x:c r="D868" s="16" t="str">
        <x:v>graph_train_only</x:v>
      </x:c>
      <x:c r="E868" s="16" t="str">
        <x:f>Coder_A!E868</x:f>
        <x:v>Y</x:v>
      </x:c>
      <x:c r="F868" s="16" t="n">
        <x:f>Coder_B!E868</x:f>
        <x:v>0</x:v>
      </x:c>
      <x:c r="G868" s="16" t="str">
        <x:f>IF(F868="","PENDING",IF(E868=F868,"AGREE","DISAGREE"))</x:f>
        <x:v>PENDING</x:v>
      </x:c>
      <x:c r="H868" s="16" t="str">
        <x:v>Y</x:v>
      </x:c>
      <x:c r="I868" s="16" t="str">
        <x:f>Coder_A!F868</x:f>
        <x:v>Sec. 3 Datasets; Appendix A; Table 2; Table 1; Appendix B</x:v>
      </x:c>
      <x:c r="J868" s="16" t="n">
        <x:f>Coder_B!F868</x:f>
        <x:v>0</x:v>
      </x:c>
    </x:row>
    <x:row r="869">
      <x:c r="A869" s="16" t="n">
        <x:v>868</x:v>
      </x:c>
      <x:c r="B869" s="16" t="str">
        <x:v>EXPERIMENT</x:v>
      </x:c>
      <x:c r="C869" s="16" t="str">
        <x:f>Coder_A!C869</x:f>
        <x:v>PILOT_01_E12</x:v>
      </x:c>
      <x:c r="D869" s="16" t="str">
        <x:v>normalization_train_only</x:v>
      </x:c>
      <x:c r="E869" s="16" t="str">
        <x:f>Coder_A!E869</x:f>
        <x:v>NR</x:v>
      </x:c>
      <x:c r="F869" s="16" t="n">
        <x:f>Coder_B!E869</x:f>
        <x:v>0</x:v>
      </x:c>
      <x:c r="G869" s="16" t="str">
        <x:f>IF(F869="","PENDING",IF(E869=F869,"AGREE","DISAGREE"))</x:f>
        <x:v>PENDING</x:v>
      </x:c>
      <x:c r="H869" s="16" t="str">
        <x:v>Y</x:v>
      </x:c>
      <x:c r="I869" s="16" t="str">
        <x:f>Coder_A!F869</x:f>
        <x:v>Sec. 3 Datasets; Appendix A; Table 2; Table 1; Appendix B</x:v>
      </x:c>
      <x:c r="J869" s="16" t="n">
        <x:f>Coder_B!F869</x:f>
        <x:v>0</x:v>
      </x:c>
    </x:row>
    <x:row r="870">
      <x:c r="A870" s="16" t="n">
        <x:v>869</x:v>
      </x:c>
      <x:c r="B870" s="16" t="str">
        <x:v>EXPERIMENT</x:v>
      </x:c>
      <x:c r="C870" s="16" t="str">
        <x:f>Coder_A!C870</x:f>
        <x:v>PILOT_01_E12</x:v>
      </x:c>
      <x:c r="D870" s="16" t="str">
        <x:v>sparse_strata_train_only</x:v>
      </x:c>
      <x:c r="E870" s="16" t="str">
        <x:f>Coder_A!E870</x:f>
        <x:v>NA</x:v>
      </x:c>
      <x:c r="F870" s="16" t="n">
        <x:f>Coder_B!E870</x:f>
        <x:v>0</x:v>
      </x:c>
      <x:c r="G870" s="16" t="str">
        <x:f>IF(F870="","PENDING",IF(E870=F870,"AGREE","DISAGREE"))</x:f>
        <x:v>PENDING</x:v>
      </x:c>
      <x:c r="H870" s="16" t="str">
        <x:v>Y</x:v>
      </x:c>
      <x:c r="I870" s="16" t="str">
        <x:f>Coder_A!F870</x:f>
        <x:v>Sec. 3 Datasets; Appendix A; Table 2; Table 1; Appendix B</x:v>
      </x:c>
      <x:c r="J870" s="16" t="n">
        <x:f>Coder_B!F870</x:f>
        <x:v>0</x:v>
      </x:c>
    </x:row>
    <x:row r="871">
      <x:c r="A871" s="16" t="n">
        <x:v>870</x:v>
      </x:c>
      <x:c r="B871" s="16" t="str">
        <x:v>EXPERIMENT</x:v>
      </x:c>
      <x:c r="C871" s="16" t="str">
        <x:f>Coder_A!C871</x:f>
        <x:v>PILOT_01_E12</x:v>
      </x:c>
      <x:c r="D871" s="16" t="str">
        <x:v>temporal_alignment_audited</x:v>
      </x:c>
      <x:c r="E871" s="16" t="str">
        <x:f>Coder_A!E871</x:f>
        <x:v>NR</x:v>
      </x:c>
      <x:c r="F871" s="16" t="n">
        <x:f>Coder_B!E871</x:f>
        <x:v>0</x:v>
      </x:c>
      <x:c r="G871" s="16" t="str">
        <x:f>IF(F871="","PENDING",IF(E871=F871,"AGREE","DISAGREE"))</x:f>
        <x:v>PENDING</x:v>
      </x:c>
      <x:c r="H871" s="16" t="str">
        <x:v>Y</x:v>
      </x:c>
      <x:c r="I871" s="16" t="str">
        <x:f>Coder_A!F871</x:f>
        <x:v>Sec. 3 Datasets; Appendix A; Table 2; Table 1; Appendix B</x:v>
      </x:c>
      <x:c r="J871" s="16" t="n">
        <x:f>Coder_B!F871</x:f>
        <x:v>0</x:v>
      </x:c>
    </x:row>
    <x:row r="872">
      <x:c r="A872" s="16" t="n">
        <x:v>871</x:v>
      </x:c>
      <x:c r="B872" s="16" t="str">
        <x:v>EXPERIMENT</x:v>
      </x:c>
      <x:c r="C872" s="16" t="str">
        <x:f>Coder_A!C872</x:f>
        <x:v>PILOT_01_E12</x:v>
      </x:c>
      <x:c r="D872" s="16" t="str">
        <x:v>duplicate_entity_leakage_checked</x:v>
      </x:c>
      <x:c r="E872" s="16" t="str">
        <x:f>Coder_A!E872</x:f>
        <x:v>NR</x:v>
      </x:c>
      <x:c r="F872" s="16" t="n">
        <x:f>Coder_B!E872</x:f>
        <x:v>0</x:v>
      </x:c>
      <x:c r="G872" s="16" t="str">
        <x:f>IF(F872="","PENDING",IF(E872=F872,"AGREE","DISAGREE"))</x:f>
        <x:v>PENDING</x:v>
      </x:c>
      <x:c r="H872" s="16" t="str">
        <x:v>Y</x:v>
      </x:c>
      <x:c r="I872" s="16" t="str">
        <x:f>Coder_A!F872</x:f>
        <x:v>Sec. 3 Datasets; Appendix A; Table 2; Table 1; Appendix B</x:v>
      </x:c>
      <x:c r="J872" s="16" t="n">
        <x:f>Coder_B!F872</x:f>
        <x:v>0</x:v>
      </x:c>
    </x:row>
    <x:row r="873">
      <x:c r="A873" s="16" t="n">
        <x:v>872</x:v>
      </x:c>
      <x:c r="B873" s="16" t="str">
        <x:v>EXPERIMENT</x:v>
      </x:c>
      <x:c r="C873" s="16" t="str">
        <x:f>Coder_A!C873</x:f>
        <x:v>PILOT_01_E12</x:v>
      </x:c>
      <x:c r="D873" s="16" t="str">
        <x:v>sparsity_construct</x:v>
      </x:c>
      <x:c r="E873" s="16" t="str">
        <x:f>Coder_A!E873</x:f>
        <x:v>NO_EXPLICIT_FOCUS</x:v>
      </x:c>
      <x:c r="F873" s="16" t="n">
        <x:f>Coder_B!E873</x:f>
        <x:v>0</x:v>
      </x:c>
      <x:c r="G873" s="16" t="str">
        <x:f>IF(F873="","PENDING",IF(E873=F873,"AGREE","DISAGREE"))</x:f>
        <x:v>PENDING</x:v>
      </x:c>
      <x:c r="H873" s="16" t="str">
        <x:v>Y</x:v>
      </x:c>
      <x:c r="I873" s="16" t="str">
        <x:f>Coder_A!F873</x:f>
        <x:v>Sec. 3 Datasets; Appendix A; Table 2; Table 1; Appendix B</x:v>
      </x:c>
      <x:c r="J873" s="16" t="n">
        <x:f>Coder_B!F873</x:f>
        <x:v>0</x:v>
      </x:c>
    </x:row>
    <x:row r="874">
      <x:c r="A874" s="16" t="n">
        <x:v>873</x:v>
      </x:c>
      <x:c r="B874" s="16" t="str">
        <x:v>EXPERIMENT</x:v>
      </x:c>
      <x:c r="C874" s="16" t="str">
        <x:f>Coder_A!C874</x:f>
        <x:v>PILOT_01_E12</x:v>
      </x:c>
      <x:c r="D874" s="16" t="str">
        <x:v>sparse_definition_original</x:v>
      </x:c>
      <x:c r="E874" s="16" t="str">
        <x:f>Coder_A!E874</x:f>
        <x:v>NA</x:v>
      </x:c>
      <x:c r="F874" s="16" t="n">
        <x:f>Coder_B!E874</x:f>
        <x:v>0</x:v>
      </x:c>
      <x:c r="G874" s="16" t="str">
        <x:f>IF(F874="","PENDING",IF(E874=F874,"AGREE","DISAGREE"))</x:f>
        <x:v>PENDING</x:v>
      </x:c>
      <x:c r="H874" s="16" t="str">
        <x:v>N</x:v>
      </x:c>
      <x:c r="I874" s="16" t="str">
        <x:f>Coder_A!F874</x:f>
        <x:v>Sec. 3 Datasets; Appendix A; Table 2; Table 1; Appendix B</x:v>
      </x:c>
      <x:c r="J874" s="16" t="n">
        <x:f>Coder_B!F874</x:f>
        <x:v>0</x:v>
      </x:c>
    </x:row>
    <x:row r="875">
      <x:c r="A875" s="16" t="n">
        <x:v>874</x:v>
      </x:c>
      <x:c r="B875" s="16" t="str">
        <x:v>EXPERIMENT</x:v>
      </x:c>
      <x:c r="C875" s="16" t="str">
        <x:f>Coder_A!C875</x:f>
        <x:v>PILOT_01_E12</x:v>
      </x:c>
      <x:c r="D875" s="16" t="str">
        <x:v>sparse_threshold_original</x:v>
      </x:c>
      <x:c r="E875" s="16" t="str">
        <x:f>Coder_A!E875</x:f>
        <x:v>NA</x:v>
      </x:c>
      <x:c r="F875" s="16" t="n">
        <x:f>Coder_B!E875</x:f>
        <x:v>0</x:v>
      </x:c>
      <x:c r="G875" s="16" t="str">
        <x:f>IF(F875="","PENDING",IF(E875=F875,"AGREE","DISAGREE"))</x:f>
        <x:v>PENDING</x:v>
      </x:c>
      <x:c r="H875" s="16" t="str">
        <x:v>N</x:v>
      </x:c>
      <x:c r="I875" s="16" t="str">
        <x:f>Coder_A!F875</x:f>
        <x:v>Sec. 3 Datasets; Appendix A; Table 2; Table 1; Appendix B</x:v>
      </x:c>
      <x:c r="J875" s="16" t="n">
        <x:f>Coder_B!F875</x:f>
        <x:v>0</x:v>
      </x:c>
    </x:row>
    <x:row r="876">
      <x:c r="A876" s="16" t="n">
        <x:v>875</x:v>
      </x:c>
      <x:c r="B876" s="16" t="str">
        <x:v>EXPERIMENT</x:v>
      </x:c>
      <x:c r="C876" s="16" t="str">
        <x:f>Coder_A!C876</x:f>
        <x:v>PILOT_01_E12</x:v>
      </x:c>
      <x:c r="D876" s="16" t="str">
        <x:v>threshold_source</x:v>
      </x:c>
      <x:c r="E876" s="16" t="str">
        <x:f>Coder_A!E876</x:f>
        <x:v>NA</x:v>
      </x:c>
      <x:c r="F876" s="16" t="n">
        <x:f>Coder_B!E876</x:f>
        <x:v>0</x:v>
      </x:c>
      <x:c r="G876" s="16" t="str">
        <x:f>IF(F876="","PENDING",IF(E876=F876,"AGREE","DISAGREE"))</x:f>
        <x:v>PENDING</x:v>
      </x:c>
      <x:c r="H876" s="16" t="str">
        <x:v>Y</x:v>
      </x:c>
      <x:c r="I876" s="16" t="str">
        <x:f>Coder_A!F876</x:f>
        <x:v>Sec. 3 Datasets; Appendix A; Table 2; Table 1; Appendix B</x:v>
      </x:c>
      <x:c r="J876" s="16" t="n">
        <x:f>Coder_B!F876</x:f>
        <x:v>0</x:v>
      </x:c>
    </x:row>
    <x:row r="877">
      <x:c r="A877" s="16" t="n">
        <x:v>876</x:v>
      </x:c>
      <x:c r="B877" s="16" t="str">
        <x:v>EXPERIMENT</x:v>
      </x:c>
      <x:c r="C877" s="16" t="str">
        <x:f>Coder_A!C877</x:f>
        <x:v>PILOT_01_E12</x:v>
      </x:c>
      <x:c r="D877" s="16" t="str">
        <x:v>frequency_computed_on</x:v>
      </x:c>
      <x:c r="E877" s="16" t="str">
        <x:f>Coder_A!E877</x:f>
        <x:v>NA</x:v>
      </x:c>
      <x:c r="F877" s="16" t="n">
        <x:f>Coder_B!E877</x:f>
        <x:v>0</x:v>
      </x:c>
      <x:c r="G877" s="16" t="str">
        <x:f>IF(F877="","PENDING",IF(E877=F877,"AGREE","DISAGREE"))</x:f>
        <x:v>PENDING</x:v>
      </x:c>
      <x:c r="H877" s="16" t="str">
        <x:v>Y</x:v>
      </x:c>
      <x:c r="I877" s="16" t="str">
        <x:f>Coder_A!F877</x:f>
        <x:v>Sec. 3 Datasets; Appendix A; Table 2; Table 1; Appendix B</x:v>
      </x:c>
      <x:c r="J877" s="16" t="n">
        <x:f>Coder_B!F877</x:f>
        <x:v>0</x:v>
      </x:c>
    </x:row>
    <x:row r="878">
      <x:c r="A878" s="16" t="n">
        <x:v>877</x:v>
      </x:c>
      <x:c r="B878" s="16" t="str">
        <x:v>EXPERIMENT</x:v>
      </x:c>
      <x:c r="C878" s="16" t="str">
        <x:f>Coder_A!C878</x:f>
        <x:v>PILOT_01_E12</x:v>
      </x:c>
      <x:c r="D878" s="16" t="str">
        <x:v>strict_zero_train_verified</x:v>
      </x:c>
      <x:c r="E878" s="16" t="str">
        <x:f>Coder_A!E878</x:f>
        <x:v>NA</x:v>
      </x:c>
      <x:c r="F878" s="16" t="n">
        <x:f>Coder_B!E878</x:f>
        <x:v>0</x:v>
      </x:c>
      <x:c r="G878" s="16" t="str">
        <x:f>IF(F878="","PENDING",IF(E878=F878,"AGREE","DISAGREE"))</x:f>
        <x:v>PENDING</x:v>
      </x:c>
      <x:c r="H878" s="16" t="str">
        <x:v>Y</x:v>
      </x:c>
      <x:c r="I878" s="16" t="str">
        <x:f>Coder_A!F878</x:f>
        <x:v>Sec. 3 Datasets; Appendix A; Table 2; Table 1; Appendix B</x:v>
      </x:c>
      <x:c r="J878" s="16" t="n">
        <x:f>Coder_B!F878</x:f>
        <x:v>0</x:v>
      </x:c>
    </x:row>
    <x:row r="879">
      <x:c r="A879" s="16" t="n">
        <x:v>878</x:v>
      </x:c>
      <x:c r="B879" s="16" t="str">
        <x:v>EXPERIMENT</x:v>
      </x:c>
      <x:c r="C879" s="16" t="str">
        <x:f>Coder_A!C879</x:f>
        <x:v>PILOT_01_E12</x:v>
      </x:c>
      <x:c r="D879" s="16" t="str">
        <x:v>external_info_for_unseen_kc</x:v>
      </x:c>
      <x:c r="E879" s="16" t="str">
        <x:f>Coder_A!E879</x:f>
        <x:v>NA</x:v>
      </x:c>
      <x:c r="F879" s="16" t="n">
        <x:f>Coder_B!E879</x:f>
        <x:v>0</x:v>
      </x:c>
      <x:c r="G879" s="16" t="str">
        <x:f>IF(F879="","PENDING",IF(E879=F879,"AGREE","DISAGREE"))</x:f>
        <x:v>PENDING</x:v>
      </x:c>
      <x:c r="H879" s="16" t="str">
        <x:v>Y</x:v>
      </x:c>
      <x:c r="I879" s="16" t="str">
        <x:f>Coder_A!F879</x:f>
        <x:v>Sec. 3 Datasets; Appendix A; Table 2; Table 1; Appendix B</x:v>
      </x:c>
      <x:c r="J879" s="16" t="n">
        <x:f>Coder_B!F879</x:f>
        <x:v>0</x:v>
      </x:c>
    </x:row>
    <x:row r="880">
      <x:c r="A880" s="16" t="n">
        <x:v>879</x:v>
      </x:c>
      <x:c r="B880" s="16" t="str">
        <x:v>EXPERIMENT</x:v>
      </x:c>
      <x:c r="C880" s="16" t="str">
        <x:f>Coder_A!C880</x:f>
        <x:v>PILOT_01_E12</x:v>
      </x:c>
      <x:c r="D880" s="16" t="str">
        <x:v>support_kcs</x:v>
      </x:c>
      <x:c r="E880" s="16" t="str">
        <x:f>Coder_A!E880</x:f>
        <x:v>NA</x:v>
      </x:c>
      <x:c r="F880" s="16" t="n">
        <x:f>Coder_B!E880</x:f>
        <x:v>0</x:v>
      </x:c>
      <x:c r="G880" s="16" t="str">
        <x:f>IF(F880="","PENDING",IF(E880=F880,"AGREE","DISAGREE"))</x:f>
        <x:v>PENDING</x:v>
      </x:c>
      <x:c r="H880" s="16" t="str">
        <x:v>N</x:v>
      </x:c>
      <x:c r="I880" s="16" t="str">
        <x:f>Coder_A!F880</x:f>
        <x:v>Sec. 3 Datasets; Appendix A; Table 2; Table 1; Appendix B</x:v>
      </x:c>
      <x:c r="J880" s="16" t="n">
        <x:f>Coder_B!F880</x:f>
        <x:v>0</x:v>
      </x:c>
    </x:row>
    <x:row r="881">
      <x:c r="A881" s="16" t="n">
        <x:v>880</x:v>
      </x:c>
      <x:c r="B881" s="16" t="str">
        <x:v>EXPERIMENT</x:v>
      </x:c>
      <x:c r="C881" s="16" t="str">
        <x:f>Coder_A!C881</x:f>
        <x:v>PILOT_01_E12</x:v>
      </x:c>
      <x:c r="D881" s="16" t="str">
        <x:v>support_learners</x:v>
      </x:c>
      <x:c r="E881" s="16" t="str">
        <x:f>Coder_A!E881</x:f>
        <x:v>NA</x:v>
      </x:c>
      <x:c r="F881" s="16" t="n">
        <x:f>Coder_B!E881</x:f>
        <x:v>0</x:v>
      </x:c>
      <x:c r="G881" s="16" t="str">
        <x:f>IF(F881="","PENDING",IF(E881=F881,"AGREE","DISAGREE"))</x:f>
        <x:v>PENDING</x:v>
      </x:c>
      <x:c r="H881" s="16" t="str">
        <x:v>N</x:v>
      </x:c>
      <x:c r="I881" s="16" t="str">
        <x:f>Coder_A!F881</x:f>
        <x:v>Sec. 3 Datasets; Appendix A; Table 2; Table 1; Appendix B</x:v>
      </x:c>
      <x:c r="J881" s="16" t="n">
        <x:f>Coder_B!F881</x:f>
        <x:v>0</x:v>
      </x:c>
    </x:row>
    <x:row r="882">
      <x:c r="A882" s="16" t="n">
        <x:v>881</x:v>
      </x:c>
      <x:c r="B882" s="16" t="str">
        <x:v>EXPERIMENT</x:v>
      </x:c>
      <x:c r="C882" s="16" t="str">
        <x:f>Coder_A!C882</x:f>
        <x:v>PILOT_01_E12</x:v>
      </x:c>
      <x:c r="D882" s="16" t="str">
        <x:v>support_items</x:v>
      </x:c>
      <x:c r="E882" s="16" t="str">
        <x:f>Coder_A!E882</x:f>
        <x:v>NA</x:v>
      </x:c>
      <x:c r="F882" s="16" t="n">
        <x:f>Coder_B!E882</x:f>
        <x:v>0</x:v>
      </x:c>
      <x:c r="G882" s="16" t="str">
        <x:f>IF(F882="","PENDING",IF(E882=F882,"AGREE","DISAGREE"))</x:f>
        <x:v>PENDING</x:v>
      </x:c>
      <x:c r="H882" s="16" t="str">
        <x:v>N</x:v>
      </x:c>
      <x:c r="I882" s="16" t="str">
        <x:f>Coder_A!F882</x:f>
        <x:v>Sec. 3 Datasets; Appendix A; Table 2; Table 1; Appendix B</x:v>
      </x:c>
      <x:c r="J882" s="16" t="n">
        <x:f>Coder_B!F882</x:f>
        <x:v>0</x:v>
      </x:c>
    </x:row>
    <x:row r="883">
      <x:c r="A883" s="16" t="n">
        <x:v>882</x:v>
      </x:c>
      <x:c r="B883" s="16" t="str">
        <x:v>EXPERIMENT</x:v>
      </x:c>
      <x:c r="C883" s="16" t="str">
        <x:f>Coder_A!C883</x:f>
        <x:v>PILOT_01_E12</x:v>
      </x:c>
      <x:c r="D883" s="16" t="str">
        <x:v>support_test_interactions</x:v>
      </x:c>
      <x:c r="E883" s="16" t="str">
        <x:f>Coder_A!E883</x:f>
        <x:v>NA</x:v>
      </x:c>
      <x:c r="F883" s="16" t="n">
        <x:f>Coder_B!E883</x:f>
        <x:v>0</x:v>
      </x:c>
      <x:c r="G883" s="16" t="str">
        <x:f>IF(F883="","PENDING",IF(E883=F883,"AGREE","DISAGREE"))</x:f>
        <x:v>PENDING</x:v>
      </x:c>
      <x:c r="H883" s="16" t="str">
        <x:v>N</x:v>
      </x:c>
      <x:c r="I883" s="16" t="str">
        <x:f>Coder_A!F883</x:f>
        <x:v>Sec. 3 Datasets; Appendix A; Table 2; Table 1; Appendix B</x:v>
      </x:c>
      <x:c r="J883" s="16" t="n">
        <x:f>Coder_B!F883</x:f>
        <x:v>0</x:v>
      </x:c>
    </x:row>
    <x:row r="884">
      <x:c r="A884" s="16" t="n">
        <x:v>883</x:v>
      </x:c>
      <x:c r="B884" s="16" t="str">
        <x:v>EXPERIMENT</x:v>
      </x:c>
      <x:c r="C884" s="16" t="str">
        <x:f>Coder_A!C884</x:f>
        <x:v>PILOT_01_E12</x:v>
      </x:c>
      <x:c r="D884" s="16" t="str">
        <x:v>positive_count</x:v>
      </x:c>
      <x:c r="E884" s="16" t="str">
        <x:f>Coder_A!E884</x:f>
        <x:v>NA</x:v>
      </x:c>
      <x:c r="F884" s="16" t="n">
        <x:f>Coder_B!E884</x:f>
        <x:v>0</x:v>
      </x:c>
      <x:c r="G884" s="16" t="str">
        <x:f>IF(F884="","PENDING",IF(E884=F884,"AGREE","DISAGREE"))</x:f>
        <x:v>PENDING</x:v>
      </x:c>
      <x:c r="H884" s="16" t="str">
        <x:v>N</x:v>
      </x:c>
      <x:c r="I884" s="16" t="str">
        <x:f>Coder_A!F884</x:f>
        <x:v>Sec. 3 Datasets; Appendix A; Table 2; Table 1; Appendix B</x:v>
      </x:c>
      <x:c r="J884" s="16" t="n">
        <x:f>Coder_B!F884</x:f>
        <x:v>0</x:v>
      </x:c>
    </x:row>
    <x:row r="885">
      <x:c r="A885" s="16" t="n">
        <x:v>884</x:v>
      </x:c>
      <x:c r="B885" s="16" t="str">
        <x:v>EXPERIMENT</x:v>
      </x:c>
      <x:c r="C885" s="16" t="str">
        <x:f>Coder_A!C885</x:f>
        <x:v>PILOT_01_E12</x:v>
      </x:c>
      <x:c r="D885" s="16" t="str">
        <x:v>negative_count</x:v>
      </x:c>
      <x:c r="E885" s="16" t="str">
        <x:f>Coder_A!E885</x:f>
        <x:v>NA</x:v>
      </x:c>
      <x:c r="F885" s="16" t="n">
        <x:f>Coder_B!E885</x:f>
        <x:v>0</x:v>
      </x:c>
      <x:c r="G885" s="16" t="str">
        <x:f>IF(F885="","PENDING",IF(E885=F885,"AGREE","DISAGREE"))</x:f>
        <x:v>PENDING</x:v>
      </x:c>
      <x:c r="H885" s="16" t="str">
        <x:v>N</x:v>
      </x:c>
      <x:c r="I885" s="16" t="str">
        <x:f>Coder_A!F885</x:f>
        <x:v>Sec. 3 Datasets; Appendix A; Table 2; Table 1; Appendix B</x:v>
      </x:c>
      <x:c r="J885" s="16" t="n">
        <x:f>Coder_B!F885</x:f>
        <x:v>0</x:v>
      </x:c>
    </x:row>
    <x:row r="886">
      <x:c r="A886" s="16" t="n">
        <x:v>885</x:v>
      </x:c>
      <x:c r="B886" s="16" t="str">
        <x:v>EXPERIMENT</x:v>
      </x:c>
      <x:c r="C886" s="16" t="str">
        <x:f>Coder_A!C886</x:f>
        <x:v>PILOT_01_E12</x:v>
      </x:c>
      <x:c r="D886" s="16" t="str">
        <x:v>metric_name_original</x:v>
      </x:c>
      <x:c r="E886" s="16" t="str">
        <x:f>Coder_A!E886</x:f>
        <x:v>AUC</x:v>
      </x:c>
      <x:c r="F886" s="16" t="n">
        <x:f>Coder_B!E886</x:f>
        <x:v>0</x:v>
      </x:c>
      <x:c r="G886" s="16" t="str">
        <x:f>IF(F886="","PENDING",IF(E886=F886,"AGREE","DISAGREE"))</x:f>
        <x:v>PENDING</x:v>
      </x:c>
      <x:c r="H886" s="16" t="str">
        <x:v>N</x:v>
      </x:c>
      <x:c r="I886" s="16" t="str">
        <x:f>Coder_A!F886</x:f>
        <x:v>Sec. 3 Datasets; Appendix A; Table 2; Table 1; Appendix B</x:v>
      </x:c>
      <x:c r="J886" s="16" t="n">
        <x:f>Coder_B!F886</x:f>
        <x:v>0</x:v>
      </x:c>
    </x:row>
    <x:row r="887">
      <x:c r="A887" s="16" t="n">
        <x:v>886</x:v>
      </x:c>
      <x:c r="B887" s="16" t="str">
        <x:v>EXPERIMENT</x:v>
      </x:c>
      <x:c r="C887" s="16" t="str">
        <x:f>Coder_A!C887</x:f>
        <x:v>PILOT_01_E12</x:v>
      </x:c>
      <x:c r="D887" s="16" t="str">
        <x:v>metric_value_original</x:v>
      </x:c>
      <x:c r="E887" s="16" t="n">
        <x:f>Coder_A!E887</x:f>
        <x:v>0.769</x:v>
      </x:c>
      <x:c r="F887" s="16" t="n">
        <x:f>Coder_B!E887</x:f>
        <x:v>0</x:v>
      </x:c>
      <x:c r="G887" s="16" t="str">
        <x:f>IF(F887="","PENDING",IF(E887=F887,"AGREE","DISAGREE"))</x:f>
        <x:v>PENDING</x:v>
      </x:c>
      <x:c r="H887" s="16" t="str">
        <x:v>N</x:v>
      </x:c>
      <x:c r="I887" s="16" t="str">
        <x:f>Coder_A!F887</x:f>
        <x:v>Sec. 3 Datasets; Appendix A; Table 2; Table 1; Appendix B</x:v>
      </x:c>
      <x:c r="J887" s="16" t="n">
        <x:f>Coder_B!F887</x:f>
        <x:v>0</x:v>
      </x:c>
    </x:row>
    <x:row r="888">
      <x:c r="A888" s="16" t="n">
        <x:v>887</x:v>
      </x:c>
      <x:c r="B888" s="16" t="str">
        <x:v>EXPERIMENT</x:v>
      </x:c>
      <x:c r="C888" s="16" t="str">
        <x:f>Coder_A!C888</x:f>
        <x:v>PILOT_01_E12</x:v>
      </x:c>
      <x:c r="D888" s="16" t="str">
        <x:v>metric_scope</x:v>
      </x:c>
      <x:c r="E888" s="16" t="str">
        <x:f>Coder_A!E888</x:f>
        <x:v>OVERALL</x:v>
      </x:c>
      <x:c r="F888" s="16" t="n">
        <x:f>Coder_B!E888</x:f>
        <x:v>0</x:v>
      </x:c>
      <x:c r="G888" s="16" t="str">
        <x:f>IF(F888="","PENDING",IF(E888=F888,"AGREE","DISAGREE"))</x:f>
        <x:v>PENDING</x:v>
      </x:c>
      <x:c r="H888" s="16" t="str">
        <x:v>Y</x:v>
      </x:c>
      <x:c r="I888" s="16" t="str">
        <x:f>Coder_A!F888</x:f>
        <x:v>Sec. 3 Datasets; Appendix A; Table 2; Table 1; Appendix B</x:v>
      </x:c>
      <x:c r="J888" s="16" t="n">
        <x:f>Coder_B!F888</x:f>
        <x:v>0</x:v>
      </x:c>
    </x:row>
    <x:row r="889">
      <x:c r="A889" s="16" t="n">
        <x:v>888</x:v>
      </x:c>
      <x:c r="B889" s="16" t="str">
        <x:v>EXPERIMENT</x:v>
      </x:c>
      <x:c r="C889" s="16" t="str">
        <x:f>Coder_A!C889</x:f>
        <x:v>PILOT_01_E12</x:v>
      </x:c>
      <x:c r="D889" s="16" t="str">
        <x:v>n_seeds</x:v>
      </x:c>
      <x:c r="E889" s="16" t="str">
        <x:f>Coder_A!E889</x:f>
        <x:v>NR</x:v>
      </x:c>
      <x:c r="F889" s="16" t="n">
        <x:f>Coder_B!E889</x:f>
        <x:v>0</x:v>
      </x:c>
      <x:c r="G889" s="16" t="str">
        <x:f>IF(F889="","PENDING",IF(E889=F889,"AGREE","DISAGREE"))</x:f>
        <x:v>PENDING</x:v>
      </x:c>
      <x:c r="H889" s="16" t="str">
        <x:v>N</x:v>
      </x:c>
      <x:c r="I889" s="16" t="str">
        <x:f>Coder_A!F889</x:f>
        <x:v>Sec. 3 Datasets; Appendix A; Table 2; Table 1; Appendix B</x:v>
      </x:c>
      <x:c r="J889" s="16" t="n">
        <x:f>Coder_B!F889</x:f>
        <x:v>0</x:v>
      </x:c>
    </x:row>
    <x:row r="890">
      <x:c r="A890" s="16" t="n">
        <x:v>889</x:v>
      </x:c>
      <x:c r="B890" s="16" t="str">
        <x:v>EXPERIMENT</x:v>
      </x:c>
      <x:c r="C890" s="16" t="str">
        <x:f>Coder_A!C890</x:f>
        <x:v>PILOT_01_E12</x:v>
      </x:c>
      <x:c r="D890" s="16" t="str">
        <x:v>seed_values_reported</x:v>
      </x:c>
      <x:c r="E890" s="16" t="str">
        <x:f>Coder_A!E890</x:f>
        <x:v>NR</x:v>
      </x:c>
      <x:c r="F890" s="16" t="n">
        <x:f>Coder_B!E890</x:f>
        <x:v>0</x:v>
      </x:c>
      <x:c r="G890" s="16" t="str">
        <x:f>IF(F890="","PENDING",IF(E890=F890,"AGREE","DISAGREE"))</x:f>
        <x:v>PENDING</x:v>
      </x:c>
      <x:c r="H890" s="16" t="str">
        <x:v>N</x:v>
      </x:c>
      <x:c r="I890" s="16" t="str">
        <x:f>Coder_A!F890</x:f>
        <x:v>Sec. 3 Datasets; Appendix A; Table 2; Table 1; Appendix B</x:v>
      </x:c>
      <x:c r="J890" s="16" t="n">
        <x:f>Coder_B!F890</x:f>
        <x:v>0</x:v>
      </x:c>
    </x:row>
    <x:row r="891">
      <x:c r="A891" s="16" t="n">
        <x:v>890</x:v>
      </x:c>
      <x:c r="B891" s="16" t="str">
        <x:v>EXPERIMENT</x:v>
      </x:c>
      <x:c r="C891" s="16" t="str">
        <x:f>Coder_A!C891</x:f>
        <x:v>PILOT_01_E12</x:v>
      </x:c>
      <x:c r="D891" s="16" t="str">
        <x:v>mean_std_reported</x:v>
      </x:c>
      <x:c r="E891" s="16" t="str">
        <x:f>Coder_A!E891</x:f>
        <x:v>N</x:v>
      </x:c>
      <x:c r="F891" s="16" t="n">
        <x:f>Coder_B!E891</x:f>
        <x:v>0</x:v>
      </x:c>
      <x:c r="G891" s="16" t="str">
        <x:f>IF(F891="","PENDING",IF(E891=F891,"AGREE","DISAGREE"))</x:f>
        <x:v>PENDING</x:v>
      </x:c>
      <x:c r="H891" s="16" t="str">
        <x:v>Y</x:v>
      </x:c>
      <x:c r="I891" s="16" t="str">
        <x:f>Coder_A!F891</x:f>
        <x:v>Sec. 3 Datasets; Appendix A; Table 2; Table 1; Appendix B</x:v>
      </x:c>
      <x:c r="J891" s="16" t="n">
        <x:f>Coder_B!F891</x:f>
        <x:v>0</x:v>
      </x:c>
    </x:row>
    <x:row r="892">
      <x:c r="A892" s="16" t="n">
        <x:v>891</x:v>
      </x:c>
      <x:c r="B892" s="16" t="str">
        <x:v>EXPERIMENT</x:v>
      </x:c>
      <x:c r="C892" s="16" t="str">
        <x:f>Coder_A!C892</x:f>
        <x:v>PILOT_01_E12</x:v>
      </x:c>
      <x:c r="D892" s="16" t="str">
        <x:v>confidence_interval</x:v>
      </x:c>
      <x:c r="E892" s="16" t="str">
        <x:f>Coder_A!E892</x:f>
        <x:v>NR</x:v>
      </x:c>
      <x:c r="F892" s="16" t="n">
        <x:f>Coder_B!E892</x:f>
        <x:v>0</x:v>
      </x:c>
      <x:c r="G892" s="16" t="str">
        <x:f>IF(F892="","PENDING",IF(E892=F892,"AGREE","DISAGREE"))</x:f>
        <x:v>PENDING</x:v>
      </x:c>
      <x:c r="H892" s="16" t="str">
        <x:v>N</x:v>
      </x:c>
      <x:c r="I892" s="16" t="str">
        <x:f>Coder_A!F892</x:f>
        <x:v>Sec. 3 Datasets; Appendix A; Table 2; Table 1; Appendix B</x:v>
      </x:c>
      <x:c r="J892" s="16" t="n">
        <x:f>Coder_B!F892</x:f>
        <x:v>0</x:v>
      </x:c>
    </x:row>
    <x:row r="893">
      <x:c r="A893" s="16" t="n">
        <x:v>892</x:v>
      </x:c>
      <x:c r="B893" s="16" t="str">
        <x:v>EXPERIMENT</x:v>
      </x:c>
      <x:c r="C893" s="16" t="str">
        <x:f>Coder_A!C893</x:f>
        <x:v>PILOT_01_E12</x:v>
      </x:c>
      <x:c r="D893" s="16" t="str">
        <x:v>bootstrap_unit</x:v>
      </x:c>
      <x:c r="E893" s="16" t="str">
        <x:f>Coder_A!E893</x:f>
        <x:v>NA</x:v>
      </x:c>
      <x:c r="F893" s="16" t="n">
        <x:f>Coder_B!E893</x:f>
        <x:v>0</x:v>
      </x:c>
      <x:c r="G893" s="16" t="str">
        <x:f>IF(F893="","PENDING",IF(E893=F893,"AGREE","DISAGREE"))</x:f>
        <x:v>PENDING</x:v>
      </x:c>
      <x:c r="H893" s="16" t="str">
        <x:v>Y</x:v>
      </x:c>
      <x:c r="I893" s="16" t="str">
        <x:f>Coder_A!F893</x:f>
        <x:v>Sec. 3 Datasets; Appendix A; Table 2; Table 1; Appendix B</x:v>
      </x:c>
      <x:c r="J893" s="16" t="n">
        <x:f>Coder_B!F893</x:f>
        <x:v>0</x:v>
      </x:c>
    </x:row>
    <x:row r="894">
      <x:c r="A894" s="16" t="n">
        <x:v>893</x:v>
      </x:c>
      <x:c r="B894" s="16" t="str">
        <x:v>EXPERIMENT</x:v>
      </x:c>
      <x:c r="C894" s="16" t="str">
        <x:f>Coder_A!C894</x:f>
        <x:v>PILOT_01_E12</x:v>
      </x:c>
      <x:c r="D894" s="16" t="str">
        <x:v>statistical_test</x:v>
      </x:c>
      <x:c r="E894" s="16" t="str">
        <x:f>Coder_A!E894</x:f>
        <x:v>NR</x:v>
      </x:c>
      <x:c r="F894" s="16" t="n">
        <x:f>Coder_B!E894</x:f>
        <x:v>0</x:v>
      </x:c>
      <x:c r="G894" s="16" t="str">
        <x:f>IF(F894="","PENDING",IF(E894=F894,"AGREE","DISAGREE"))</x:f>
        <x:v>PENDING</x:v>
      </x:c>
      <x:c r="H894" s="16" t="str">
        <x:v>N</x:v>
      </x:c>
      <x:c r="I894" s="16" t="str">
        <x:f>Coder_A!F894</x:f>
        <x:v>Sec. 3 Datasets; Appendix A; Table 2; Table 1; Appendix B</x:v>
      </x:c>
      <x:c r="J894" s="16" t="n">
        <x:f>Coder_B!F894</x:f>
        <x:v>0</x:v>
      </x:c>
    </x:row>
    <x:row r="895">
      <x:c r="A895" s="16" t="n">
        <x:v>894</x:v>
      </x:c>
      <x:c r="B895" s="16" t="str">
        <x:v>EXPERIMENT</x:v>
      </x:c>
      <x:c r="C895" s="16" t="str">
        <x:f>Coder_A!C895</x:f>
        <x:v>PILOT_01_E12</x:v>
      </x:c>
      <x:c r="D895" s="16" t="str">
        <x:v>multiple_comparison_correction</x:v>
      </x:c>
      <x:c r="E895" s="16" t="str">
        <x:f>Coder_A!E895</x:f>
        <x:v>NR</x:v>
      </x:c>
      <x:c r="F895" s="16" t="n">
        <x:f>Coder_B!E895</x:f>
        <x:v>0</x:v>
      </x:c>
      <x:c r="G895" s="16" t="str">
        <x:f>IF(F895="","PENDING",IF(E895=F895,"AGREE","DISAGREE"))</x:f>
        <x:v>PENDING</x:v>
      </x:c>
      <x:c r="H895" s="16" t="str">
        <x:v>N</x:v>
      </x:c>
      <x:c r="I895" s="16" t="str">
        <x:f>Coder_A!F895</x:f>
        <x:v>Sec. 3 Datasets; Appendix A; Table 2; Table 1; Appendix B</x:v>
      </x:c>
      <x:c r="J895" s="16" t="n">
        <x:f>Coder_B!F895</x:f>
        <x:v>0</x:v>
      </x:c>
    </x:row>
    <x:row r="896">
      <x:c r="A896" s="16" t="n">
        <x:v>895</x:v>
      </x:c>
      <x:c r="B896" s="16" t="str">
        <x:v>EXPERIMENT</x:v>
      </x:c>
      <x:c r="C896" s="16" t="str">
        <x:f>Coder_A!C896</x:f>
        <x:v>PILOT_01_E12</x:v>
      </x:c>
      <x:c r="D896" s="16" t="str">
        <x:v>effect_size</x:v>
      </x:c>
      <x:c r="E896" s="16" t="str">
        <x:f>Coder_A!E896</x:f>
        <x:v>NR</x:v>
      </x:c>
      <x:c r="F896" s="16" t="n">
        <x:f>Coder_B!E896</x:f>
        <x:v>0</x:v>
      </x:c>
      <x:c r="G896" s="16" t="str">
        <x:f>IF(F896="","PENDING",IF(E896=F896,"AGREE","DISAGREE"))</x:f>
        <x:v>PENDING</x:v>
      </x:c>
      <x:c r="H896" s="16" t="str">
        <x:v>N</x:v>
      </x:c>
      <x:c r="I896" s="16" t="str">
        <x:f>Coder_A!F896</x:f>
        <x:v>Sec. 3 Datasets; Appendix A; Table 2; Table 1; Appendix B</x:v>
      </x:c>
      <x:c r="J896" s="16" t="n">
        <x:f>Coder_B!F896</x:f>
        <x:v>0</x:v>
      </x:c>
    </x:row>
    <x:row r="897">
      <x:c r="A897" s="16" t="n">
        <x:v>896</x:v>
      </x:c>
      <x:c r="B897" s="16" t="str">
        <x:v>EXPERIMENT</x:v>
      </x:c>
      <x:c r="C897" s="16" t="str">
        <x:f>Coder_A!C897</x:f>
        <x:v>PILOT_01_E12</x:v>
      </x:c>
      <x:c r="D897" s="16" t="str">
        <x:v>paired_design</x:v>
      </x:c>
      <x:c r="E897" s="16" t="str">
        <x:f>Coder_A!E897</x:f>
        <x:v>NR</x:v>
      </x:c>
      <x:c r="F897" s="16" t="n">
        <x:f>Coder_B!E897</x:f>
        <x:v>0</x:v>
      </x:c>
      <x:c r="G897" s="16" t="str">
        <x:f>IF(F897="","PENDING",IF(E897=F897,"AGREE","DISAGREE"))</x:f>
        <x:v>PENDING</x:v>
      </x:c>
      <x:c r="H897" s="16" t="str">
        <x:v>Y</x:v>
      </x:c>
      <x:c r="I897" s="16" t="str">
        <x:f>Coder_A!F897</x:f>
        <x:v>Sec. 3 Datasets; Appendix A; Table 2; Table 1; Appendix B</x:v>
      </x:c>
      <x:c r="J897" s="16" t="n">
        <x:f>Coder_B!F897</x:f>
        <x:v>0</x:v>
      </x:c>
    </x:row>
    <x:row r="898">
      <x:c r="A898" s="16" t="n">
        <x:v>897</x:v>
      </x:c>
      <x:c r="B898" s="16" t="str">
        <x:v>EXPERIMENT</x:v>
      </x:c>
      <x:c r="C898" s="16" t="str">
        <x:f>Coder_A!C898</x:f>
        <x:v>PILOT_01_E12</x:v>
      </x:c>
      <x:c r="D898" s="16" t="str">
        <x:v>significance_threshold</x:v>
      </x:c>
      <x:c r="E898" s="16" t="str">
        <x:f>Coder_A!E898</x:f>
        <x:v>NR</x:v>
      </x:c>
      <x:c r="F898" s="16" t="n">
        <x:f>Coder_B!E898</x:f>
        <x:v>0</x:v>
      </x:c>
      <x:c r="G898" s="16" t="str">
        <x:f>IF(F898="","PENDING",IF(E898=F898,"AGREE","DISAGREE"))</x:f>
        <x:v>PENDING</x:v>
      </x:c>
      <x:c r="H898" s="16" t="str">
        <x:v>N</x:v>
      </x:c>
      <x:c r="I898" s="16" t="str">
        <x:f>Coder_A!F898</x:f>
        <x:v>Sec. 3 Datasets; Appendix A; Table 2; Table 1; Appendix B</x:v>
      </x:c>
      <x:c r="J898" s="16" t="n">
        <x:f>Coder_B!F898</x:f>
        <x:v>0</x:v>
      </x:c>
    </x:row>
    <x:row r="899">
      <x:c r="A899" s="16" t="n">
        <x:v>898</x:v>
      </x:c>
      <x:c r="B899" s="16" t="str">
        <x:v>EXPERIMENT</x:v>
      </x:c>
      <x:c r="C899" s="16" t="str">
        <x:f>Coder_A!C899</x:f>
        <x:v>PILOT_01_E12</x:v>
      </x:c>
      <x:c r="D899" s="16" t="str">
        <x:v>parameter_count</x:v>
      </x:c>
      <x:c r="E899" s="16" t="str">
        <x:f>Coder_A!E899</x:f>
        <x:v>NR</x:v>
      </x:c>
      <x:c r="F899" s="16" t="n">
        <x:f>Coder_B!E899</x:f>
        <x:v>0</x:v>
      </x:c>
      <x:c r="G899" s="16" t="str">
        <x:f>IF(F899="","PENDING",IF(E899=F899,"AGREE","DISAGREE"))</x:f>
        <x:v>PENDING</x:v>
      </x:c>
      <x:c r="H899" s="16" t="str">
        <x:v>N</x:v>
      </x:c>
      <x:c r="I899" s="16" t="str">
        <x:f>Coder_A!F899</x:f>
        <x:v>Sec. 3 Datasets; Appendix A; Table 2; Table 1; Appendix B</x:v>
      </x:c>
      <x:c r="J899" s="16" t="n">
        <x:f>Coder_B!F899</x:f>
        <x:v>0</x:v>
      </x:c>
    </x:row>
    <x:row r="900">
      <x:c r="A900" s="16" t="n">
        <x:v>899</x:v>
      </x:c>
      <x:c r="B900" s="16" t="str">
        <x:v>EXPERIMENT</x:v>
      </x:c>
      <x:c r="C900" s="16" t="str">
        <x:f>Coder_A!C900</x:f>
        <x:v>PILOT_01_E12</x:v>
      </x:c>
      <x:c r="D900" s="16" t="str">
        <x:v>train_time</x:v>
      </x:c>
      <x:c r="E900" s="16" t="str">
        <x:f>Coder_A!E900</x:f>
        <x:v>NR</x:v>
      </x:c>
      <x:c r="F900" s="16" t="n">
        <x:f>Coder_B!E900</x:f>
        <x:v>0</x:v>
      </x:c>
      <x:c r="G900" s="16" t="str">
        <x:f>IF(F900="","PENDING",IF(E900=F900,"AGREE","DISAGREE"))</x:f>
        <x:v>PENDING</x:v>
      </x:c>
      <x:c r="H900" s="16" t="str">
        <x:v>N</x:v>
      </x:c>
      <x:c r="I900" s="16" t="str">
        <x:f>Coder_A!F900</x:f>
        <x:v>Sec. 3 Datasets; Appendix A; Table 2; Table 1; Appendix B</x:v>
      </x:c>
      <x:c r="J900" s="16" t="n">
        <x:f>Coder_B!F900</x:f>
        <x:v>0</x:v>
      </x:c>
    </x:row>
    <x:row r="901">
      <x:c r="A901" s="16" t="n">
        <x:v>900</x:v>
      </x:c>
      <x:c r="B901" s="16" t="str">
        <x:v>EXPERIMENT</x:v>
      </x:c>
      <x:c r="C901" s="16" t="str">
        <x:f>Coder_A!C901</x:f>
        <x:v>PILOT_01_E12</x:v>
      </x:c>
      <x:c r="D901" s="16" t="str">
        <x:v>time_per_epoch</x:v>
      </x:c>
      <x:c r="E901" s="16" t="str">
        <x:f>Coder_A!E901</x:f>
        <x:v>NR</x:v>
      </x:c>
      <x:c r="F901" s="16" t="n">
        <x:f>Coder_B!E901</x:f>
        <x:v>0</x:v>
      </x:c>
      <x:c r="G901" s="16" t="str">
        <x:f>IF(F901="","PENDING",IF(E901=F901,"AGREE","DISAGREE"))</x:f>
        <x:v>PENDING</x:v>
      </x:c>
      <x:c r="H901" s="16" t="str">
        <x:v>N</x:v>
      </x:c>
      <x:c r="I901" s="16" t="str">
        <x:f>Coder_A!F901</x:f>
        <x:v>Sec. 3 Datasets; Appendix A; Table 2; Table 1; Appendix B</x:v>
      </x:c>
      <x:c r="J901" s="16" t="n">
        <x:f>Coder_B!F901</x:f>
        <x:v>0</x:v>
      </x:c>
    </x:row>
    <x:row r="902">
      <x:c r="A902" s="16" t="n">
        <x:v>901</x:v>
      </x:c>
      <x:c r="B902" s="16" t="str">
        <x:v>EXPERIMENT</x:v>
      </x:c>
      <x:c r="C902" s="16" t="str">
        <x:f>Coder_A!C902</x:f>
        <x:v>PILOT_01_E12</x:v>
      </x:c>
      <x:c r="D902" s="16" t="str">
        <x:v>inference_latency</x:v>
      </x:c>
      <x:c r="E902" s="16" t="str">
        <x:f>Coder_A!E902</x:f>
        <x:v>NR</x:v>
      </x:c>
      <x:c r="F902" s="16" t="n">
        <x:f>Coder_B!E902</x:f>
        <x:v>0</x:v>
      </x:c>
      <x:c r="G902" s="16" t="str">
        <x:f>IF(F902="","PENDING",IF(E902=F902,"AGREE","DISAGREE"))</x:f>
        <x:v>PENDING</x:v>
      </x:c>
      <x:c r="H902" s="16" t="str">
        <x:v>N</x:v>
      </x:c>
      <x:c r="I902" s="16" t="str">
        <x:f>Coder_A!F902</x:f>
        <x:v>Sec. 3 Datasets; Appendix A; Table 2; Table 1; Appendix B</x:v>
      </x:c>
      <x:c r="J902" s="16" t="n">
        <x:f>Coder_B!F902</x:f>
        <x:v>0</x:v>
      </x:c>
    </x:row>
    <x:row r="903">
      <x:c r="A903" s="16" t="n">
        <x:v>902</x:v>
      </x:c>
      <x:c r="B903" s="16" t="str">
        <x:v>EXPERIMENT</x:v>
      </x:c>
      <x:c r="C903" s="16" t="str">
        <x:f>Coder_A!C903</x:f>
        <x:v>PILOT_01_E12</x:v>
      </x:c>
      <x:c r="D903" s="16" t="str">
        <x:v>throughput</x:v>
      </x:c>
      <x:c r="E903" s="16" t="str">
        <x:f>Coder_A!E903</x:f>
        <x:v>NR</x:v>
      </x:c>
      <x:c r="F903" s="16" t="n">
        <x:f>Coder_B!E903</x:f>
        <x:v>0</x:v>
      </x:c>
      <x:c r="G903" s="16" t="str">
        <x:f>IF(F903="","PENDING",IF(E903=F903,"AGREE","DISAGREE"))</x:f>
        <x:v>PENDING</x:v>
      </x:c>
      <x:c r="H903" s="16" t="str">
        <x:v>N</x:v>
      </x:c>
      <x:c r="I903" s="16" t="str">
        <x:f>Coder_A!F903</x:f>
        <x:v>Sec. 3 Datasets; Appendix A; Table 2; Table 1; Appendix B</x:v>
      </x:c>
      <x:c r="J903" s="16" t="n">
        <x:f>Coder_B!F903</x:f>
        <x:v>0</x:v>
      </x:c>
    </x:row>
    <x:row r="904">
      <x:c r="A904" s="16" t="n">
        <x:v>903</x:v>
      </x:c>
      <x:c r="B904" s="16" t="str">
        <x:v>EXPERIMENT</x:v>
      </x:c>
      <x:c r="C904" s="16" t="str">
        <x:f>Coder_A!C904</x:f>
        <x:v>PILOT_01_E12</x:v>
      </x:c>
      <x:c r="D904" s="16" t="str">
        <x:v>cpu_ram</x:v>
      </x:c>
      <x:c r="E904" s="16" t="str">
        <x:f>Coder_A!E904</x:f>
        <x:v>NR</x:v>
      </x:c>
      <x:c r="F904" s="16" t="n">
        <x:f>Coder_B!E904</x:f>
        <x:v>0</x:v>
      </x:c>
      <x:c r="G904" s="16" t="str">
        <x:f>IF(F904="","PENDING",IF(E904=F904,"AGREE","DISAGREE"))</x:f>
        <x:v>PENDING</x:v>
      </x:c>
      <x:c r="H904" s="16" t="str">
        <x:v>N</x:v>
      </x:c>
      <x:c r="I904" s="16" t="str">
        <x:f>Coder_A!F904</x:f>
        <x:v>Sec. 3 Datasets; Appendix A; Table 2; Table 1; Appendix B</x:v>
      </x:c>
      <x:c r="J904" s="16" t="n">
        <x:f>Coder_B!F904</x:f>
        <x:v>0</x:v>
      </x:c>
    </x:row>
    <x:row r="905">
      <x:c r="A905" s="16" t="n">
        <x:v>904</x:v>
      </x:c>
      <x:c r="B905" s="16" t="str">
        <x:v>EXPERIMENT</x:v>
      </x:c>
      <x:c r="C905" s="16" t="str">
        <x:f>Coder_A!C905</x:f>
        <x:v>PILOT_01_E12</x:v>
      </x:c>
      <x:c r="D905" s="16" t="str">
        <x:v>gpu_vram</x:v>
      </x:c>
      <x:c r="E905" s="16" t="str">
        <x:f>Coder_A!E905</x:f>
        <x:v>NR</x:v>
      </x:c>
      <x:c r="F905" s="16" t="n">
        <x:f>Coder_B!E905</x:f>
        <x:v>0</x:v>
      </x:c>
      <x:c r="G905" s="16" t="str">
        <x:f>IF(F905="","PENDING",IF(E905=F905,"AGREE","DISAGREE"))</x:f>
        <x:v>PENDING</x:v>
      </x:c>
      <x:c r="H905" s="16" t="str">
        <x:v>N</x:v>
      </x:c>
      <x:c r="I905" s="16" t="str">
        <x:f>Coder_A!F905</x:f>
        <x:v>Sec. 3 Datasets; Appendix A; Table 2; Table 1; Appendix B</x:v>
      </x:c>
      <x:c r="J905" s="16" t="n">
        <x:f>Coder_B!F905</x:f>
        <x:v>0</x:v>
      </x:c>
    </x:row>
    <x:row r="906">
      <x:c r="A906" s="16" t="n">
        <x:v>905</x:v>
      </x:c>
      <x:c r="B906" s="16" t="str">
        <x:v>EXPERIMENT</x:v>
      </x:c>
      <x:c r="C906" s="16" t="str">
        <x:f>Coder_A!C906</x:f>
        <x:v>PILOT_01_E12</x:v>
      </x:c>
      <x:c r="D906" s="16" t="str">
        <x:v>hardware</x:v>
      </x:c>
      <x:c r="E906" s="16" t="str">
        <x:f>Coder_A!E906</x:f>
        <x:v>NR</x:v>
      </x:c>
      <x:c r="F906" s="16" t="n">
        <x:f>Coder_B!E906</x:f>
        <x:v>0</x:v>
      </x:c>
      <x:c r="G906" s="16" t="str">
        <x:f>IF(F906="","PENDING",IF(E906=F906,"AGREE","DISAGREE"))</x:f>
        <x:v>PENDING</x:v>
      </x:c>
      <x:c r="H906" s="16" t="str">
        <x:v>N</x:v>
      </x:c>
      <x:c r="I906" s="16" t="str">
        <x:f>Coder_A!F906</x:f>
        <x:v>Sec. 3 Datasets; Appendix A; Table 2; Table 1; Appendix B</x:v>
      </x:c>
      <x:c r="J906" s="16" t="n">
        <x:f>Coder_B!F906</x:f>
        <x:v>0</x:v>
      </x:c>
    </x:row>
    <x:row r="907">
      <x:c r="A907" s="16" t="n">
        <x:v>906</x:v>
      </x:c>
      <x:c r="B907" s="16" t="str">
        <x:v>EXPERIMENT</x:v>
      </x:c>
      <x:c r="C907" s="16" t="str">
        <x:f>Coder_A!C907</x:f>
        <x:v>PILOT_01_E12</x:v>
      </x:c>
      <x:c r="D907" s="16" t="str">
        <x:v>graph_construction_time</x:v>
      </x:c>
      <x:c r="E907" s="16" t="str">
        <x:f>Coder_A!E907</x:f>
        <x:v>NR</x:v>
      </x:c>
      <x:c r="F907" s="16" t="n">
        <x:f>Coder_B!E907</x:f>
        <x:v>0</x:v>
      </x:c>
      <x:c r="G907" s="16" t="str">
        <x:f>IF(F907="","PENDING",IF(E907=F907,"AGREE","DISAGREE"))</x:f>
        <x:v>PENDING</x:v>
      </x:c>
      <x:c r="H907" s="16" t="str">
        <x:v>N</x:v>
      </x:c>
      <x:c r="I907" s="16" t="str">
        <x:f>Coder_A!F907</x:f>
        <x:v>Sec. 3 Datasets; Appendix A; Table 2; Table 1; Appendix B</x:v>
      </x:c>
      <x:c r="J907" s="16" t="n">
        <x:f>Coder_B!F907</x:f>
        <x:v>0</x:v>
      </x:c>
    </x:row>
    <x:row r="908">
      <x:c r="A908" s="16" t="n">
        <x:v>907</x:v>
      </x:c>
      <x:c r="B908" s="16" t="str">
        <x:v>EXPERIMENT</x:v>
      </x:c>
      <x:c r="C908" s="16" t="str">
        <x:f>Coder_A!C908</x:f>
        <x:v>PILOT_01_E12</x:v>
      </x:c>
      <x:c r="D908" s="16" t="str">
        <x:v>complexity_formula</x:v>
      </x:c>
      <x:c r="E908" s="16" t="str">
        <x:f>Coder_A!E908</x:f>
        <x:v>O(KN^2) -&gt; O(KN) for modified VAE edge inference</x:v>
      </x:c>
      <x:c r="F908" s="16" t="n">
        <x:f>Coder_B!E908</x:f>
        <x:v>0</x:v>
      </x:c>
      <x:c r="G908" s="16" t="str">
        <x:f>IF(F908="","PENDING",IF(E908=F908,"AGREE","DISAGREE"))</x:f>
        <x:v>PENDING</x:v>
      </x:c>
      <x:c r="H908" s="16" t="str">
        <x:v>N</x:v>
      </x:c>
      <x:c r="I908" s="16" t="str">
        <x:f>Coder_A!F908</x:f>
        <x:v>Sec. 3 Datasets; Appendix A; Table 2; Table 1; Appendix B</x:v>
      </x:c>
      <x:c r="J908" s="16" t="n">
        <x:f>Coder_B!F908</x:f>
        <x:v>0</x:v>
      </x:c>
    </x:row>
    <x:row r="909">
      <x:c r="A909" s="16" t="n">
        <x:v>908</x:v>
      </x:c>
      <x:c r="B909" s="16" t="str">
        <x:v>EXPERIMENT</x:v>
      </x:c>
      <x:c r="C909" s="16" t="str">
        <x:f>Coder_A!C909</x:f>
        <x:v>PILOT_01_E12</x:v>
      </x:c>
      <x:c r="D909" s="16" t="str">
        <x:v>scale_up_experiment</x:v>
      </x:c>
      <x:c r="E909" s="16" t="str">
        <x:f>Coder_A!E909</x:f>
        <x:v>N</x:v>
      </x:c>
      <x:c r="F909" s="16" t="n">
        <x:f>Coder_B!E909</x:f>
        <x:v>0</x:v>
      </x:c>
      <x:c r="G909" s="16" t="str">
        <x:f>IF(F909="","PENDING",IF(E909=F909,"AGREE","DISAGREE"))</x:f>
        <x:v>PENDING</x:v>
      </x:c>
      <x:c r="H909" s="16" t="str">
        <x:v>Y</x:v>
      </x:c>
      <x:c r="I909" s="16" t="str">
        <x:f>Coder_A!F909</x:f>
        <x:v>Sec. 3 Datasets; Appendix A; Table 2; Table 1; Appendix B</x:v>
      </x:c>
      <x:c r="J909" s="16" t="n">
        <x:f>Coder_B!F909</x:f>
        <x:v>0</x:v>
      </x:c>
    </x:row>
    <x:row r="910">
      <x:c r="A910" s="16" t="n">
        <x:v>909</x:v>
      </x:c>
      <x:c r="B910" s="16" t="str">
        <x:v>EXPERIMENT</x:v>
      </x:c>
      <x:c r="C910" s="16" t="str">
        <x:f>Coder_A!C910</x:f>
        <x:v>PILOT_01_E12</x:v>
      </x:c>
      <x:c r="D910" s="16" t="str">
        <x:v>oom_timeout_reported</x:v>
      </x:c>
      <x:c r="E910" s="16" t="str">
        <x:f>Coder_A!E910</x:f>
        <x:v>NR</x:v>
      </x:c>
      <x:c r="F910" s="16" t="n">
        <x:f>Coder_B!E910</x:f>
        <x:v>0</x:v>
      </x:c>
      <x:c r="G910" s="16" t="str">
        <x:f>IF(F910="","PENDING",IF(E910=F910,"AGREE","DISAGREE"))</x:f>
        <x:v>PENDING</x:v>
      </x:c>
      <x:c r="H910" s="16" t="str">
        <x:v>Y</x:v>
      </x:c>
      <x:c r="I910" s="16" t="str">
        <x:f>Coder_A!F910</x:f>
        <x:v>Sec. 3 Datasets; Appendix A; Table 2; Table 1; Appendix B</x:v>
      </x:c>
      <x:c r="J910" s="16" t="n">
        <x:f>Coder_B!F910</x:f>
        <x:v>0</x:v>
      </x:c>
    </x:row>
  </x:sheetData>
  <x:conditionalFormatting sqref="G2:G910">
    <x:cfRule type="expression" dxfId="2" priority="1">
      <x:formula>$G2="AGREE"</x:formula>
    </x:cfRule>
    <x:cfRule type="expression" dxfId="3" priority="2">
      <x:formula>$G2="DISAGREE"</x:formula>
    </x:cfRule>
    <x:cfRule type="expression" dxfId="4" priority="3">
      <x:formula>$G2="PENDING"</x:formula>
    </x:cfRule>
  </x:conditionalFormatting>
  <x:conditionalFormatting sqref="F2:F910">
    <x:cfRule type="expression" dxfId="5" priority="4">
      <x:formula>AND($F2&lt;&gt;"",$E2&lt;&gt;$F2)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b97807a52540f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  <x:col min="4" max="4" width="34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0" t="str">
        <x:v>KT004 Coder A vs Coder B — Agreement Summary</x:v>
      </x:c>
      <x:c r="B1" s="70"/>
      <x:c r="C1" s="65"/>
      <x:c r="D1" s="65"/>
    </x:row>
    <x:row r="2">
      <x:c r="A2" s="16"/>
      <x:c r="B2" s="16"/>
    </x:row>
    <x:row r="3">
      <x:c r="A3" s="71" t="str">
        <x:v>Metric</x:v>
      </x:c>
      <x:c r="B3" s="71" t="str">
        <x:v>Value</x:v>
      </x:c>
      <x:c r="D3" s="75" t="str">
        <x:v>Within-KT004 κ by repeated coding dimension</x:v>
      </x:c>
      <x:c r="E3" s="75"/>
      <x:c r="F3" s="75"/>
      <x:c r="G3" s="75"/>
      <x:c r="H3" s="75"/>
    </x:row>
    <x:row r="4">
      <x:c r="A4" s="16" t="str">
        <x:v>Total fields</x:v>
      </x:c>
      <x:c r="B4" s="16" t="n">
        <x:v>909</x:v>
      </x:c>
      <x:c r="D4" s="80" t="str">
        <x:v>Field</x:v>
      </x:c>
      <x:c r="E4" s="80" t="str">
        <x:v>N paired units</x:v>
      </x:c>
      <x:c r="F4" s="80" t="str">
        <x:v>Observed agreement</x:v>
      </x:c>
      <x:c r="G4" s="80" t="str">
        <x:v>Expected agreement</x:v>
      </x:c>
      <x:c r="H4" s="80" t="str">
        <x:v>Cohen's κ</x:v>
      </x:c>
    </x:row>
    <x:row r="5">
      <x:c r="A5" s="16" t="str">
        <x:v>Both coded</x:v>
      </x:c>
      <x:c r="B5" s="16" t="n">
        <x:f>COUNTIF(Comparison!G2:G910,"AGREE")+COUNTIF(Comparison!G2:G910,"DISAGREE")</x:f>
        <x:v>0</x:v>
      </x:c>
      <x:c r="D5" s="16" t="str">
        <x:v>graph_source</x:v>
      </x:c>
      <x:c r="E5" s="16" t="n">
        <x:f>COUNTIFS(Comparison!$D$2:$D$910,D5,Comparison!$G$2:$G$910,"AGREE")+COUNTIFS(Comparison!$D$2:$D$910,D5,Comparison!$G$2:$G$910,"DISAGREE")</x:f>
        <x:v>0</x:v>
      </x:c>
      <x:c r="F5" s="38" t="str">
        <x:f>IF(E5&lt;2,"",COUNTIFS(Comparison!$D$2:$D$910,D5,Comparison!$H$2:$H$910,"Y",Comparison!$G$2:$G$910,"AGREE")/E5)</x:f>
      </x:c>
      <x:c r="G5" s="38" t="str">
        <x:f>IF(E5&lt;2,"",SUMIF(Kappa_Helper!$A:$A,D5,Kappa_Helper!$E:$E)/(E5^2))</x:f>
      </x:c>
      <x:c r="H5" s="38" t="str">
        <x:f>IF(OR(E5&lt;2,G5="",G5=1),"",(F5-G5)/(1-G5))</x:f>
      </x:c>
    </x:row>
    <x:row r="6">
      <x:c r="A6" s="16" t="str">
        <x:v>Agreements</x:v>
      </x:c>
      <x:c r="B6" s="16" t="n">
        <x:f>COUNTIF(Comparison!G2:G910,"AGREE")</x:f>
        <x:v>0</x:v>
      </x:c>
      <x:c r="D6" s="16" t="str">
        <x:v>graph_provenance</x:v>
      </x:c>
      <x:c r="E6" s="16" t="n">
        <x:f>COUNTIFS(Comparison!$D$2:$D$910,D6,Comparison!$G$2:$G$910,"AGREE")+COUNTIFS(Comparison!$D$2:$D$910,D6,Comparison!$G$2:$G$910,"DISAGREE")</x:f>
        <x:v>0</x:v>
      </x:c>
      <x:c r="F6" s="38" t="str">
        <x:f>IF(E6&lt;2,"",COUNTIFS(Comparison!$D$2:$D$910,D6,Comparison!$H$2:$H$910,"Y",Comparison!$G$2:$G$910,"AGREE")/E6)</x:f>
      </x:c>
      <x:c r="G6" s="38" t="str">
        <x:f>IF(E6&lt;2,"",SUMIF(Kappa_Helper!$A:$A,D6,Kappa_Helper!$E:$E)/(E6^2))</x:f>
      </x:c>
      <x:c r="H6" s="38" t="str">
        <x:f>IF(OR(E6&lt;2,G6="",G6=1),"",(F6-G6)/(1-G6))</x:f>
      </x:c>
    </x:row>
    <x:row r="7">
      <x:c r="A7" s="16" t="str">
        <x:v>Disagreements</x:v>
      </x:c>
      <x:c r="B7" s="16" t="n">
        <x:f>COUNTIF(Comparison!G2:G910,"DISAGREE")</x:f>
        <x:v>0</x:v>
      </x:c>
      <x:c r="D7" s="16" t="str">
        <x:v>graph_leakage_risk</x:v>
      </x:c>
      <x:c r="E7" s="16" t="n">
        <x:f>COUNTIFS(Comparison!$D$2:$D$910,D7,Comparison!$G$2:$G$910,"AGREE")+COUNTIFS(Comparison!$D$2:$D$910,D7,Comparison!$G$2:$G$910,"DISAGREE")</x:f>
        <x:v>0</x:v>
      </x:c>
      <x:c r="F7" s="38" t="str">
        <x:f>IF(E7&lt;2,"",COUNTIFS(Comparison!$D$2:$D$910,D7,Comparison!$H$2:$H$910,"Y",Comparison!$G$2:$G$910,"AGREE")/E7)</x:f>
      </x:c>
      <x:c r="G7" s="38" t="str">
        <x:f>IF(E7&lt;2,"",SUMIF(Kappa_Helper!$A:$A,D7,Kappa_Helper!$E:$E)/(E7^2))</x:f>
      </x:c>
      <x:c r="H7" s="38" t="str">
        <x:f>IF(OR(E7&lt;2,G7="",G7=1),"",(F7-G7)/(1-G7))</x:f>
      </x:c>
    </x:row>
    <x:row r="8">
      <x:c r="A8" s="16" t="str">
        <x:v>Pending</x:v>
      </x:c>
      <x:c r="B8" s="16" t="n">
        <x:f>COUNTIF(Comparison!G2:G910,"PENDING")</x:f>
        <x:v>909</x:v>
      </x:c>
      <x:c r="D8" s="16" t="str">
        <x:v>directed</x:v>
      </x:c>
      <x:c r="E8" s="16" t="n">
        <x:f>COUNTIFS(Comparison!$D$2:$D$910,D8,Comparison!$G$2:$G$910,"AGREE")+COUNTIFS(Comparison!$D$2:$D$910,D8,Comparison!$G$2:$G$910,"DISAGREE")</x:f>
        <x:v>0</x:v>
      </x:c>
      <x:c r="F8" s="38" t="str">
        <x:f>IF(E8&lt;2,"",COUNTIFS(Comparison!$D$2:$D$910,D8,Comparison!$H$2:$H$910,"Y",Comparison!$G$2:$G$910,"AGREE")/E8)</x:f>
      </x:c>
      <x:c r="G8" s="38" t="str">
        <x:f>IF(E8&lt;2,"",SUMIF(Kappa_Helper!$A:$A,D8,Kappa_Helper!$E:$E)/(E8^2))</x:f>
      </x:c>
      <x:c r="H8" s="38" t="str">
        <x:f>IF(OR(E8&lt;2,G8="",G8=1),"",(F8-G8)/(1-G8))</x:f>
      </x:c>
    </x:row>
    <x:row r="9">
      <x:c r="A9" s="16" t="str">
        <x:v>Percent agreement</x:v>
      </x:c>
      <x:c r="B9" s="72" t="str">
        <x:f>IF(B5=0,"",B6/B5)</x:f>
      </x:c>
      <x:c r="D9" s="16" t="str">
        <x:v>weighted</x:v>
      </x:c>
      <x:c r="E9" s="16" t="n">
        <x:f>COUNTIFS(Comparison!$D$2:$D$910,D9,Comparison!$G$2:$G$910,"AGREE")+COUNTIFS(Comparison!$D$2:$D$910,D9,Comparison!$G$2:$G$910,"DISAGREE")</x:f>
        <x:v>0</x:v>
      </x:c>
      <x:c r="F9" s="38" t="str">
        <x:f>IF(E9&lt;2,"",COUNTIFS(Comparison!$D$2:$D$910,D9,Comparison!$H$2:$H$910,"Y",Comparison!$G$2:$G$910,"AGREE")/E9)</x:f>
      </x:c>
      <x:c r="G9" s="38" t="str">
        <x:f>IF(E9&lt;2,"",SUMIF(Kappa_Helper!$A:$A,D9,Kappa_Helper!$E:$E)/(E9^2))</x:f>
      </x:c>
      <x:c r="H9" s="38" t="str">
        <x:f>IF(OR(E9&lt;2,G9="",G9=1),"",(F9-G9)/(1-G9))</x:f>
      </x:c>
    </x:row>
    <x:row r="10">
      <x:c r="A10" s="16" t="str">
        <x:v>Formal IRR note</x:v>
      </x:c>
      <x:c r="B10" s="16" t="str">
        <x:v>KT004 is only a pilot paper; final Cohen's κ must be estimated across the full double-coded pilot/corpus sample.</x:v>
      </x:c>
      <x:c r="D10" s="16" t="str">
        <x:v>typed_edges</x:v>
      </x:c>
      <x:c r="E10" s="16" t="n">
        <x:f>COUNTIFS(Comparison!$D$2:$D$910,D10,Comparison!$G$2:$G$910,"AGREE")+COUNTIFS(Comparison!$D$2:$D$910,D10,Comparison!$G$2:$G$910,"DISAGREE")</x:f>
        <x:v>0</x:v>
      </x:c>
      <x:c r="F10" s="38" t="str">
        <x:f>IF(E10&lt;2,"",COUNTIFS(Comparison!$D$2:$D$910,D10,Comparison!$H$2:$H$910,"Y",Comparison!$G$2:$G$910,"AGREE")/E10)</x:f>
      </x:c>
      <x:c r="G10" s="38" t="str">
        <x:f>IF(E10&lt;2,"",SUMIF(Kappa_Helper!$A:$A,D10,Kappa_Helper!$E:$E)/(E10^2))</x:f>
      </x:c>
      <x:c r="H10" s="38" t="str">
        <x:f>IF(OR(E10&lt;2,G10="",G10=1),"",(F10-G10)/(1-G10))</x:f>
      </x:c>
    </x:row>
    <x:row r="11">
      <x:c r="A11" s="16"/>
      <x:c r="B11" s="16"/>
      <x:c r="D11" s="16" t="str">
        <x:v>dynamic</x:v>
      </x:c>
      <x:c r="E11" s="16" t="n">
        <x:f>COUNTIFS(Comparison!$D$2:$D$910,D11,Comparison!$G$2:$G$910,"AGREE")+COUNTIFS(Comparison!$D$2:$D$910,D11,Comparison!$G$2:$G$910,"DISAGREE")</x:f>
        <x:v>0</x:v>
      </x:c>
      <x:c r="F11" s="38" t="str">
        <x:f>IF(E11&lt;2,"",COUNTIFS(Comparison!$D$2:$D$910,D11,Comparison!$H$2:$H$910,"Y",Comparison!$G$2:$G$910,"AGREE")/E11)</x:f>
      </x:c>
      <x:c r="G11" s="38" t="str">
        <x:f>IF(E11&lt;2,"",SUMIF(Kappa_Helper!$A:$A,D11,Kappa_Helper!$E:$E)/(E11^2))</x:f>
      </x:c>
      <x:c r="H11" s="38" t="str">
        <x:f>IF(OR(E11&lt;2,G11="",G11=1),"",(F11-G11)/(1-G11))</x:f>
      </x:c>
    </x:row>
    <x:row r="12">
      <x:c r="A12" s="16"/>
      <x:c r="B12" s="16"/>
      <x:c r="D12" s="16" t="str">
        <x:v>gnn_encoder</x:v>
      </x:c>
      <x:c r="E12" s="16" t="n">
        <x:f>COUNTIFS(Comparison!$D$2:$D$910,D12,Comparison!$G$2:$G$910,"AGREE")+COUNTIFS(Comparison!$D$2:$D$910,D12,Comparison!$G$2:$G$910,"DISAGREE")</x:f>
        <x:v>0</x:v>
      </x:c>
      <x:c r="F12" s="38" t="str">
        <x:f>IF(E12&lt;2,"",COUNTIFS(Comparison!$D$2:$D$910,D12,Comparison!$H$2:$H$910,"Y",Comparison!$G$2:$G$910,"AGREE")/E12)</x:f>
      </x:c>
      <x:c r="G12" s="38" t="str">
        <x:f>IF(E12&lt;2,"",SUMIF(Kappa_Helper!$A:$A,D12,Kappa_Helper!$E:$E)/(E12^2))</x:f>
      </x:c>
      <x:c r="H12" s="38" t="str">
        <x:f>IF(OR(E12&lt;2,G12="",G12=1),"",(F12-G12)/(1-G12))</x:f>
      </x:c>
    </x:row>
    <x:row r="13">
      <x:c r="D13" s="16" t="str">
        <x:v>temporal_backbone</x:v>
      </x:c>
      <x:c r="E13" s="16" t="n">
        <x:f>COUNTIFS(Comparison!$D$2:$D$910,D13,Comparison!$G$2:$G$910,"AGREE")+COUNTIFS(Comparison!$D$2:$D$910,D13,Comparison!$G$2:$G$910,"DISAGREE")</x:f>
        <x:v>0</x:v>
      </x:c>
      <x:c r="F13" s="38" t="str">
        <x:f>IF(E13&lt;2,"",COUNTIFS(Comparison!$D$2:$D$910,D13,Comparison!$H$2:$H$910,"Y",Comparison!$G$2:$G$910,"AGREE")/E13)</x:f>
      </x:c>
      <x:c r="G13" s="38" t="str">
        <x:f>IF(E13&lt;2,"",SUMIF(Kappa_Helper!$A:$A,D13,Kappa_Helper!$E:$E)/(E13^2))</x:f>
      </x:c>
      <x:c r="H13" s="38" t="str">
        <x:f>IF(OR(E13&lt;2,G13="",G13=1),"",(F13-G13)/(1-G13))</x:f>
      </x:c>
    </x:row>
    <x:row r="14">
      <x:c r="D14" s="16" t="str">
        <x:v>fusion_type</x:v>
      </x:c>
      <x:c r="E14" s="16" t="n">
        <x:f>COUNTIFS(Comparison!$D$2:$D$910,D14,Comparison!$G$2:$G$910,"AGREE")+COUNTIFS(Comparison!$D$2:$D$910,D14,Comparison!$G$2:$G$910,"DISAGREE")</x:f>
        <x:v>0</x:v>
      </x:c>
      <x:c r="F14" s="38" t="str">
        <x:f>IF(E14&lt;2,"",COUNTIFS(Comparison!$D$2:$D$910,D14,Comparison!$H$2:$H$910,"Y",Comparison!$G$2:$G$910,"AGREE")/E14)</x:f>
      </x:c>
      <x:c r="G14" s="38" t="str">
        <x:f>IF(E14&lt;2,"",SUMIF(Kappa_Helper!$A:$A,D14,Kappa_Helper!$E:$E)/(E14^2))</x:f>
      </x:c>
      <x:c r="H14" s="38" t="str">
        <x:f>IF(OR(E14&lt;2,G14="",G14=1),"",(F14-G14)/(1-G14))</x:f>
      </x:c>
    </x:row>
    <x:row r="15">
      <x:c r="D15" s="16" t="str">
        <x:v>ssl_family</x:v>
      </x:c>
      <x:c r="E15" s="16" t="n">
        <x:f>COUNTIFS(Comparison!$D$2:$D$910,D15,Comparison!$G$2:$G$910,"AGREE")+COUNTIFS(Comparison!$D$2:$D$910,D15,Comparison!$G$2:$G$910,"DISAGREE")</x:f>
        <x:v>0</x:v>
      </x:c>
      <x:c r="F15" s="38" t="str">
        <x:f>IF(E15&lt;2,"",COUNTIFS(Comparison!$D$2:$D$910,D15,Comparison!$H$2:$H$910,"Y",Comparison!$G$2:$G$910,"AGREE")/E15)</x:f>
      </x:c>
      <x:c r="G15" s="38" t="str">
        <x:f>IF(E15&lt;2,"",SUMIF(Kappa_Helper!$A:$A,D15,Kappa_Helper!$E:$E)/(E15^2))</x:f>
      </x:c>
      <x:c r="H15" s="38" t="str">
        <x:f>IF(OR(E15&lt;2,G15="",G15=1),"",(F15-G15)/(1-G15))</x:f>
      </x:c>
    </x:row>
    <x:row r="16">
      <x:c r="D16" s="16" t="str">
        <x:v>educational_structure_preservation</x:v>
      </x:c>
      <x:c r="E16" s="16" t="n">
        <x:f>COUNTIFS(Comparison!$D$2:$D$910,D16,Comparison!$G$2:$G$910,"AGREE")+COUNTIFS(Comparison!$D$2:$D$910,D16,Comparison!$G$2:$G$910,"DISAGREE")</x:f>
        <x:v>0</x:v>
      </x:c>
      <x:c r="F16" s="38" t="str">
        <x:f>IF(E16&lt;2,"",COUNTIFS(Comparison!$D$2:$D$910,D16,Comparison!$H$2:$H$910,"Y",Comparison!$G$2:$G$910,"AGREE")/E16)</x:f>
      </x:c>
      <x:c r="G16" s="38" t="str">
        <x:f>IF(E16&lt;2,"",SUMIF(Kappa_Helper!$A:$A,D16,Kappa_Helper!$E:$E)/(E16^2))</x:f>
      </x:c>
      <x:c r="H16" s="38" t="str">
        <x:f>IF(OR(E16&lt;2,G16="",G16=1),"",(F16-G16)/(1-G16))</x:f>
      </x:c>
    </x:row>
    <x:row r="17">
      <x:c r="D17" s="16" t="str">
        <x:v>split_type</x:v>
      </x:c>
      <x:c r="E17" s="16" t="n">
        <x:f>COUNTIFS(Comparison!$D$2:$D$910,D17,Comparison!$G$2:$G$910,"AGREE")+COUNTIFS(Comparison!$D$2:$D$910,D17,Comparison!$G$2:$G$910,"DISAGREE")</x:f>
        <x:v>0</x:v>
      </x:c>
      <x:c r="F17" s="38" t="str">
        <x:f>IF(E17&lt;2,"",COUNTIFS(Comparison!$D$2:$D$910,D17,Comparison!$H$2:$H$910,"Y",Comparison!$G$2:$G$910,"AGREE")/E17)</x:f>
      </x:c>
      <x:c r="G17" s="38" t="str">
        <x:f>IF(E17&lt;2,"",SUMIF(Kappa_Helper!$A:$A,D17,Kappa_Helper!$E:$E)/(E17^2))</x:f>
      </x:c>
      <x:c r="H17" s="38" t="str">
        <x:f>IF(OR(E17&lt;2,G17="",G17=1),"",(F17-G17)/(1-G17))</x:f>
      </x:c>
    </x:row>
    <x:row r="18">
      <x:c r="D18" s="16" t="str">
        <x:v>graph_train_only</x:v>
      </x:c>
      <x:c r="E18" s="16" t="n">
        <x:f>COUNTIFS(Comparison!$D$2:$D$910,D18,Comparison!$G$2:$G$910,"AGREE")+COUNTIFS(Comparison!$D$2:$D$910,D18,Comparison!$G$2:$G$910,"DISAGREE")</x:f>
        <x:v>0</x:v>
      </x:c>
      <x:c r="F18" s="38" t="str">
        <x:f>IF(E18&lt;2,"",COUNTIFS(Comparison!$D$2:$D$910,D18,Comparison!$H$2:$H$910,"Y",Comparison!$G$2:$G$910,"AGREE")/E18)</x:f>
      </x:c>
      <x:c r="G18" s="38" t="str">
        <x:f>IF(E18&lt;2,"",SUMIF(Kappa_Helper!$A:$A,D18,Kappa_Helper!$E:$E)/(E18^2))</x:f>
      </x:c>
      <x:c r="H18" s="38" t="str">
        <x:f>IF(OR(E18&lt;2,G18="",G18=1),"",(F18-G18)/(1-G18))</x:f>
      </x:c>
    </x:row>
    <x:row r="19">
      <x:c r="D19" s="16" t="str">
        <x:v>sparsity_construct</x:v>
      </x:c>
      <x:c r="E19" s="16" t="n">
        <x:f>COUNTIFS(Comparison!$D$2:$D$910,D19,Comparison!$G$2:$G$910,"AGREE")+COUNTIFS(Comparison!$D$2:$D$910,D19,Comparison!$G$2:$G$910,"DISAGREE")</x:f>
        <x:v>0</x:v>
      </x:c>
      <x:c r="F19" s="38" t="str">
        <x:f>IF(E19&lt;2,"",COUNTIFS(Comparison!$D$2:$D$910,D19,Comparison!$H$2:$H$910,"Y",Comparison!$G$2:$G$910,"AGREE")/E19)</x:f>
      </x:c>
      <x:c r="G19" s="38" t="str">
        <x:f>IF(E19&lt;2,"",SUMIF(Kappa_Helper!$A:$A,D19,Kappa_Helper!$E:$E)/(E19^2))</x:f>
      </x:c>
      <x:c r="H19" s="38" t="str">
        <x:f>IF(OR(E19&lt;2,G19="",G19=1),"",(F19-G19)/(1-G19))</x:f>
      </x:c>
    </x:row>
    <x:row r="20">
      <x:c r="D20" s="16" t="str">
        <x:v>metric_scope</x:v>
      </x:c>
      <x:c r="E20" s="16" t="n">
        <x:f>COUNTIFS(Comparison!$D$2:$D$910,D20,Comparison!$G$2:$G$910,"AGREE")+COUNTIFS(Comparison!$D$2:$D$910,D20,Comparison!$G$2:$G$910,"DISAGREE")</x:f>
        <x:v>0</x:v>
      </x:c>
      <x:c r="F20" s="38" t="str">
        <x:f>IF(E20&lt;2,"",COUNTIFS(Comparison!$D$2:$D$910,D20,Comparison!$H$2:$H$910,"Y",Comparison!$G$2:$G$910,"AGREE")/E20)</x:f>
      </x:c>
      <x:c r="G20" s="38" t="str">
        <x:f>IF(E20&lt;2,"",SUMIF(Kappa_Helper!$A:$A,D20,Kappa_Helper!$E:$E)/(E20^2))</x:f>
      </x:c>
      <x:c r="H20" s="38" t="str">
        <x:f>IF(OR(E20&lt;2,G20="",G20=1),"",(F20-G20)/(1-G20))</x:f>
      </x:c>
    </x:row>
  </x:sheetData>
  <x:mergeCells>
    <x:mergeCell ref="A1:D1"/>
    <x:mergeCell ref="D3:H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4" t="str">
        <x:v>Field</x:v>
      </x:c>
      <x:c r="B1" s="84" t="str">
        <x:v>Category</x:v>
      </x:c>
      <x:c r="C1" s="84" t="str">
        <x:v>Coder A Count</x:v>
      </x:c>
      <x:c r="D1" s="84" t="str">
        <x:v>Coder B Count</x:v>
      </x:c>
      <x:c r="E1" s="84" t="str">
        <x:v>Product</x:v>
      </x:c>
    </x:row>
    <x:row r="2">
      <x:c r="A2" s="16" t="str">
        <x:v>graph_source</x:v>
      </x:c>
      <x:c r="B2" s="16" t="str">
        <x:v>NONE</x:v>
      </x:c>
      <x:c r="C2" s="16" t="n">
        <x:f>COUNTIFS(Comparison!$D$2:$D$910,A2,Comparison!$H$2:$H$910,"Y",Comparison!$E$2:$E$910,B2)</x:f>
        <x:v>0</x:v>
      </x:c>
      <x:c r="D2" s="16" t="n">
        <x:f>COUNTIFS(Comparison!$D$2:$D$910,A2,Comparison!$H$2:$H$910,"Y",Comparison!$F$2:$F$910,B2)</x:f>
        <x:v>0</x:v>
      </x:c>
      <x:c r="E2" s="16" t="n">
        <x:f>C2*D2</x:f>
        <x:v>0</x:v>
      </x:c>
    </x:row>
    <x:row r="3">
      <x:c r="A3" s="16" t="str">
        <x:v>graph_source</x:v>
      </x:c>
      <x:c r="B3" s="16" t="str">
        <x:v>EXPERT_PREREQUISITE</x:v>
      </x:c>
      <x:c r="C3" s="16" t="n">
        <x:f>COUNTIFS(Comparison!$D$2:$D$910,A3,Comparison!$H$2:$H$910,"Y",Comparison!$E$2:$E$910,B3)</x:f>
        <x:v>0</x:v>
      </x:c>
      <x:c r="D3" s="16" t="n">
        <x:f>COUNTIFS(Comparison!$D$2:$D$910,A3,Comparison!$H$2:$H$910,"Y",Comparison!$F$2:$F$910,B3)</x:f>
        <x:v>0</x:v>
      </x:c>
      <x:c r="E3" s="16" t="n">
        <x:f>C3*D3</x:f>
        <x:v>0</x:v>
      </x:c>
    </x:row>
    <x:row r="4">
      <x:c r="A4" s="16" t="str">
        <x:v>graph_source</x:v>
      </x:c>
      <x:c r="B4" s="16" t="str">
        <x:v>CURRICULUM_CONCEPT_MAP</x:v>
      </x:c>
      <x:c r="C4" s="16" t="n">
        <x:f>COUNTIFS(Comparison!$D$2:$D$910,A4,Comparison!$H$2:$H$910,"Y",Comparison!$E$2:$E$910,B4)</x:f>
        <x:v>0</x:v>
      </x:c>
      <x:c r="D4" s="16" t="n">
        <x:f>COUNTIFS(Comparison!$D$2:$D$910,A4,Comparison!$H$2:$H$910,"Y",Comparison!$F$2:$F$910,B4)</x:f>
        <x:v>0</x:v>
      </x:c>
      <x:c r="E4" s="16" t="n">
        <x:f>C4*D4</x:f>
        <x:v>0</x:v>
      </x:c>
    </x:row>
    <x:row r="5">
      <x:c r="A5" s="16" t="str">
        <x:v>graph_source</x:v>
      </x:c>
      <x:c r="B5" s="16" t="str">
        <x:v>Q_MATRIX</x:v>
      </x:c>
      <x:c r="C5" s="16" t="n">
        <x:f>COUNTIFS(Comparison!$D$2:$D$910,A5,Comparison!$H$2:$H$910,"Y",Comparison!$E$2:$E$910,B5)</x:f>
        <x:v>0</x:v>
      </x:c>
      <x:c r="D5" s="16" t="n">
        <x:f>COUNTIFS(Comparison!$D$2:$D$910,A5,Comparison!$H$2:$H$910,"Y",Comparison!$F$2:$F$910,B5)</x:f>
        <x:v>0</x:v>
      </x:c>
      <x:c r="E5" s="16" t="n">
        <x:f>C5*D5</x:f>
        <x:v>0</x:v>
      </x:c>
    </x:row>
    <x:row r="6">
      <x:c r="A6" s="16" t="str">
        <x:v>graph_source</x:v>
      </x:c>
      <x:c r="B6" s="16" t="str">
        <x:v>CO_OCCURRENCE</x:v>
      </x:c>
      <x:c r="C6" s="16" t="n">
        <x:f>COUNTIFS(Comparison!$D$2:$D$910,A6,Comparison!$H$2:$H$910,"Y",Comparison!$E$2:$E$910,B6)</x:f>
        <x:v>0</x:v>
      </x:c>
      <x:c r="D6" s="16" t="n">
        <x:f>COUNTIFS(Comparison!$D$2:$D$910,A6,Comparison!$H$2:$H$910,"Y",Comparison!$F$2:$F$910,B6)</x:f>
        <x:v>0</x:v>
      </x:c>
      <x:c r="E6" s="16" t="n">
        <x:f>C6*D6</x:f>
        <x:v>0</x:v>
      </x:c>
    </x:row>
    <x:row r="7">
      <x:c r="A7" s="16" t="str">
        <x:v>graph_source</x:v>
      </x:c>
      <x:c r="B7" s="16" t="str">
        <x:v>SIMILARITY</x:v>
      </x:c>
      <x:c r="C7" s="16" t="n">
        <x:f>COUNTIFS(Comparison!$D$2:$D$910,A7,Comparison!$H$2:$H$910,"Y",Comparison!$E$2:$E$910,B7)</x:f>
        <x:v>0</x:v>
      </x:c>
      <x:c r="D7" s="16" t="n">
        <x:f>COUNTIFS(Comparison!$D$2:$D$910,A7,Comparison!$H$2:$H$910,"Y",Comparison!$F$2:$F$910,B7)</x:f>
        <x:v>0</x:v>
      </x:c>
      <x:c r="E7" s="16" t="n">
        <x:f>C7*D7</x:f>
        <x:v>0</x:v>
      </x:c>
    </x:row>
    <x:row r="8">
      <x:c r="A8" s="16" t="str">
        <x:v>graph_source</x:v>
      </x:c>
      <x:c r="B8" s="16" t="str">
        <x:v>LEARNED_FROM_INTERACTIONS</x:v>
      </x:c>
      <x:c r="C8" s="16" t="n">
        <x:f>COUNTIFS(Comparison!$D$2:$D$910,A8,Comparison!$H$2:$H$910,"Y",Comparison!$E$2:$E$910,B8)</x:f>
        <x:v>4</x:v>
      </x:c>
      <x:c r="D8" s="16" t="n">
        <x:f>COUNTIFS(Comparison!$D$2:$D$910,A8,Comparison!$H$2:$H$910,"Y",Comparison!$F$2:$F$910,B8)</x:f>
        <x:v>0</x:v>
      </x:c>
      <x:c r="E8" s="16" t="n">
        <x:f>C8*D8</x:f>
        <x:v>0</x:v>
      </x:c>
    </x:row>
    <x:row r="9">
      <x:c r="A9" s="16" t="str">
        <x:v>graph_source</x:v>
      </x:c>
      <x:c r="B9" s="16" t="str">
        <x:v>SEMANTIC_TEXT</x:v>
      </x:c>
      <x:c r="C9" s="16" t="n">
        <x:f>COUNTIFS(Comparison!$D$2:$D$910,A9,Comparison!$H$2:$H$910,"Y",Comparison!$E$2:$E$910,B9)</x:f>
        <x:v>0</x:v>
      </x:c>
      <x:c r="D9" s="16" t="n">
        <x:f>COUNTIFS(Comparison!$D$2:$D$910,A9,Comparison!$H$2:$H$910,"Y",Comparison!$F$2:$F$910,B9)</x:f>
        <x:v>0</x:v>
      </x:c>
      <x:c r="E9" s="16" t="n">
        <x:f>C9*D9</x:f>
        <x:v>0</x:v>
      </x:c>
    </x:row>
    <x:row r="10">
      <x:c r="A10" s="16" t="str">
        <x:v>graph_source</x:v>
      </x:c>
      <x:c r="B10" s="16" t="str">
        <x:v>LLM_ASSISTED</x:v>
      </x:c>
      <x:c r="C10" s="16" t="n">
        <x:f>COUNTIFS(Comparison!$D$2:$D$910,A10,Comparison!$H$2:$H$910,"Y",Comparison!$E$2:$E$910,B10)</x:f>
        <x:v>0</x:v>
      </x:c>
      <x:c r="D10" s="16" t="n">
        <x:f>COUNTIFS(Comparison!$D$2:$D$910,A10,Comparison!$H$2:$H$910,"Y",Comparison!$F$2:$F$910,B10)</x:f>
        <x:v>0</x:v>
      </x:c>
      <x:c r="E10" s="16" t="n">
        <x:f>C10*D10</x:f>
        <x:v>0</x:v>
      </x:c>
    </x:row>
    <x:row r="11">
      <x:c r="A11" s="16" t="str">
        <x:v>graph_source</x:v>
      </x:c>
      <x:c r="B11" s="16" t="str">
        <x:v>HYBRID_MULTI_SOURCE</x:v>
      </x:c>
      <x:c r="C11" s="16" t="n">
        <x:f>COUNTIFS(Comparison!$D$2:$D$910,A11,Comparison!$H$2:$H$910,"Y",Comparison!$E$2:$E$910,B11)</x:f>
        <x:v>0</x:v>
      </x:c>
      <x:c r="D11" s="16" t="n">
        <x:f>COUNTIFS(Comparison!$D$2:$D$910,A11,Comparison!$H$2:$H$910,"Y",Comparison!$F$2:$F$910,B11)</x:f>
        <x:v>0</x:v>
      </x:c>
      <x:c r="E11" s="16" t="n">
        <x:f>C11*D11</x:f>
        <x:v>0</x:v>
      </x:c>
    </x:row>
    <x:row r="12">
      <x:c r="A12" s="16" t="str">
        <x:v>graph_source</x:v>
      </x:c>
      <x:c r="B12" s="16" t="str">
        <x:v>OTHER</x:v>
      </x:c>
      <x:c r="C12" s="16" t="n">
        <x:f>COUNTIFS(Comparison!$D$2:$D$910,A12,Comparison!$H$2:$H$910,"Y",Comparison!$E$2:$E$910,B12)</x:f>
        <x:v>0</x:v>
      </x:c>
      <x:c r="D12" s="16" t="n">
        <x:f>COUNTIFS(Comparison!$D$2:$D$910,A12,Comparison!$H$2:$H$910,"Y",Comparison!$F$2:$F$910,B12)</x:f>
        <x:v>0</x:v>
      </x:c>
      <x:c r="E12" s="16" t="n">
        <x:f>C12*D12</x:f>
        <x:v>0</x:v>
      </x:c>
    </x:row>
    <x:row r="13">
      <x:c r="A13" s="16" t="str">
        <x:v>graph_source</x:v>
      </x:c>
      <x:c r="B13" s="16" t="str">
        <x:v>OTHER*</x:v>
      </x:c>
      <x:c r="C13" s="16" t="n">
        <x:f>COUNTIFS(Comparison!$D$2:$D$910,A13,Comparison!$H$2:$H$910,"Y",Comparison!$E$2:$E$910,B13)</x:f>
        <x:v>1</x:v>
      </x:c>
      <x:c r="D13" s="16" t="n">
        <x:f>COUNTIFS(Comparison!$D$2:$D$910,A13,Comparison!$H$2:$H$910,"Y",Comparison!$F$2:$F$910,B13)</x:f>
        <x:v>0</x:v>
      </x:c>
      <x:c r="E13" s="16" t="n">
        <x:f>C13*D13</x:f>
        <x:v>0</x:v>
      </x:c>
    </x:row>
    <x:row r="14">
      <x:c r="A14" s="16" t="str">
        <x:v>graph_source</x:v>
      </x:c>
      <x:c r="B14" s="16" t="str">
        <x:v>SEQUENTIAL_TRANSITION*</x:v>
      </x:c>
      <x:c r="C14" s="16" t="n">
        <x:f>COUNTIFS(Comparison!$D$2:$D$910,A14,Comparison!$H$2:$H$910,"Y",Comparison!$E$2:$E$910,B14)</x:f>
        <x:v>1</x:v>
      </x:c>
      <x:c r="D14" s="16" t="n">
        <x:f>COUNTIFS(Comparison!$D$2:$D$910,A14,Comparison!$H$2:$H$910,"Y",Comparison!$F$2:$F$910,B14)</x:f>
        <x:v>0</x:v>
      </x:c>
      <x:c r="E14" s="16" t="n">
        <x:f>C14*D14</x:f>
        <x:v>0</x:v>
      </x:c>
    </x:row>
    <x:row r="15">
      <x:c r="A15" s="16" t="str">
        <x:v>graph_source</x:v>
      </x:c>
      <x:c r="B15" s="16" t="str">
        <x:v>UNCLEAR</x:v>
      </x:c>
      <x:c r="C15" s="16" t="n">
        <x:f>COUNTIFS(Comparison!$D$2:$D$910,A15,Comparison!$H$2:$H$910,"Y",Comparison!$E$2:$E$910,B15)</x:f>
        <x:v>0</x:v>
      </x:c>
      <x:c r="D15" s="16" t="n">
        <x:f>COUNTIFS(Comparison!$D$2:$D$910,A15,Comparison!$H$2:$H$910,"Y",Comparison!$F$2:$F$910,B15)</x:f>
        <x:v>0</x:v>
      </x:c>
      <x:c r="E15" s="16" t="n">
        <x:f>C15*D15</x:f>
        <x:v>0</x:v>
      </x:c>
    </x:row>
    <x:row r="16">
      <x:c r="A16" s="16" t="str">
        <x:v>graph_provenance</x:v>
      </x:c>
      <x:c r="B16" s="16" t="str">
        <x:v>EXTERNAL_FIXED</x:v>
      </x:c>
      <x:c r="C16" s="16" t="n">
        <x:f>COUNTIFS(Comparison!$D$2:$D$910,A16,Comparison!$H$2:$H$910,"Y",Comparison!$E$2:$E$910,B16)</x:f>
        <x:v>0</x:v>
      </x:c>
      <x:c r="D16" s="16" t="n">
        <x:f>COUNTIFS(Comparison!$D$2:$D$910,A16,Comparison!$H$2:$H$910,"Y",Comparison!$F$2:$F$910,B16)</x:f>
        <x:v>0</x:v>
      </x:c>
      <x:c r="E16" s="16" t="n">
        <x:f>C16*D16</x:f>
        <x:v>0</x:v>
      </x:c>
    </x:row>
    <x:row r="17">
      <x:c r="A17" s="16" t="str">
        <x:v>graph_provenance</x:v>
      </x:c>
      <x:c r="B17" s="16" t="str">
        <x:v>TRAIN_ONLY_INFERRED</x:v>
      </x:c>
      <x:c r="C17" s="16" t="n">
        <x:f>COUNTIFS(Comparison!$D$2:$D$910,A17,Comparison!$H$2:$H$910,"Y",Comparison!$E$2:$E$910,B17)</x:f>
        <x:v>0</x:v>
      </x:c>
      <x:c r="D17" s="16" t="n">
        <x:f>COUNTIFS(Comparison!$D$2:$D$910,A17,Comparison!$H$2:$H$910,"Y",Comparison!$F$2:$F$910,B17)</x:f>
        <x:v>0</x:v>
      </x:c>
      <x:c r="E17" s="16" t="n">
        <x:f>C17*D17</x:f>
        <x:v>0</x:v>
      </x:c>
    </x:row>
    <x:row r="18">
      <x:c r="A18" s="16" t="str">
        <x:v>graph_provenance</x:v>
      </x:c>
      <x:c r="B18" s="16" t="str">
        <x:v>JOINTLY_LEARNED_TRAINING</x:v>
      </x:c>
      <x:c r="C18" s="16" t="n">
        <x:f>COUNTIFS(Comparison!$D$2:$D$910,A18,Comparison!$H$2:$H$910,"Y",Comparison!$E$2:$E$910,B18)</x:f>
        <x:v>3</x:v>
      </x:c>
      <x:c r="D18" s="16" t="n">
        <x:f>COUNTIFS(Comparison!$D$2:$D$910,A18,Comparison!$H$2:$H$910,"Y",Comparison!$F$2:$F$910,B18)</x:f>
        <x:v>0</x:v>
      </x:c>
      <x:c r="E18" s="16" t="n">
        <x:f>C18*D18</x:f>
        <x:v>0</x:v>
      </x:c>
    </x:row>
    <x:row r="19">
      <x:c r="A19" s="16" t="str">
        <x:v>graph_provenance</x:v>
      </x:c>
      <x:c r="B19" s="16" t="str">
        <x:v>FULL_DATA_INFERRED</x:v>
      </x:c>
      <x:c r="C19" s="16" t="n">
        <x:f>COUNTIFS(Comparison!$D$2:$D$910,A19,Comparison!$H$2:$H$910,"Y",Comparison!$E$2:$E$910,B19)</x:f>
        <x:v>0</x:v>
      </x:c>
      <x:c r="D19" s="16" t="n">
        <x:f>COUNTIFS(Comparison!$D$2:$D$910,A19,Comparison!$H$2:$H$910,"Y",Comparison!$F$2:$F$910,B19)</x:f>
        <x:v>0</x:v>
      </x:c>
      <x:c r="E19" s="16" t="n">
        <x:f>C19*D19</x:f>
        <x:v>0</x:v>
      </x:c>
    </x:row>
    <x:row r="20">
      <x:c r="A20" s="16" t="str">
        <x:v>graph_provenance</x:v>
      </x:c>
      <x:c r="B20" s="16" t="str">
        <x:v>PRECOMPUTED_UNCLEAR_SPLIT</x:v>
      </x:c>
      <x:c r="C20" s="16" t="n">
        <x:f>COUNTIFS(Comparison!$D$2:$D$910,A20,Comparison!$H$2:$H$910,"Y",Comparison!$E$2:$E$910,B20)</x:f>
        <x:v>2</x:v>
      </x:c>
      <x:c r="D20" s="16" t="n">
        <x:f>COUNTIFS(Comparison!$D$2:$D$910,A20,Comparison!$H$2:$H$910,"Y",Comparison!$F$2:$F$910,B20)</x:f>
        <x:v>0</x:v>
      </x:c>
      <x:c r="E20" s="16" t="n">
        <x:f>C20*D20</x:f>
        <x:v>0</x:v>
      </x:c>
    </x:row>
    <x:row r="21">
      <x:c r="A21" s="16" t="str">
        <x:v>graph_provenance</x:v>
      </x:c>
      <x:c r="B21" s="16" t="str">
        <x:v>MIXED_PROVENANCE</x:v>
      </x:c>
      <x:c r="C21" s="16" t="n">
        <x:f>COUNTIFS(Comparison!$D$2:$D$910,A21,Comparison!$H$2:$H$910,"Y",Comparison!$E$2:$E$910,B21)</x:f>
        <x:v>0</x:v>
      </x:c>
      <x:c r="D21" s="16" t="n">
        <x:f>COUNTIFS(Comparison!$D$2:$D$910,A21,Comparison!$H$2:$H$910,"Y",Comparison!$F$2:$F$910,B21)</x:f>
        <x:v>0</x:v>
      </x:c>
      <x:c r="E21" s="16" t="n">
        <x:f>C21*D21</x:f>
        <x:v>0</x:v>
      </x:c>
    </x:row>
    <x:row r="22">
      <x:c r="A22" s="16" t="str">
        <x:v>graph_provenance</x:v>
      </x:c>
      <x:c r="B22" s="16" t="str">
        <x:v>MODEL_DEFINED_FIXED*</x:v>
      </x:c>
      <x:c r="C22" s="16" t="n">
        <x:f>COUNTIFS(Comparison!$D$2:$D$910,A22,Comparison!$H$2:$H$910,"Y",Comparison!$E$2:$E$910,B22)</x:f>
        <x:v>1</x:v>
      </x:c>
      <x:c r="D22" s="16" t="n">
        <x:f>COUNTIFS(Comparison!$D$2:$D$910,A22,Comparison!$H$2:$H$910,"Y",Comparison!$F$2:$F$910,B22)</x:f>
        <x:v>0</x:v>
      </x:c>
      <x:c r="E22" s="16" t="n">
        <x:f>C22*D22</x:f>
        <x:v>0</x:v>
      </x:c>
    </x:row>
    <x:row r="23">
      <x:c r="A23" s="16" t="str">
        <x:v>graph_provenance</x:v>
      </x:c>
      <x:c r="B23" s="16" t="str">
        <x:v>NA</x:v>
      </x:c>
      <x:c r="C23" s="16" t="n">
        <x:f>COUNTIFS(Comparison!$D$2:$D$910,A23,Comparison!$H$2:$H$910,"Y",Comparison!$E$2:$E$910,B23)</x:f>
        <x:v>0</x:v>
      </x:c>
      <x:c r="D23" s="16" t="n">
        <x:f>COUNTIFS(Comparison!$D$2:$D$910,A23,Comparison!$H$2:$H$910,"Y",Comparison!$F$2:$F$910,B23)</x:f>
        <x:v>0</x:v>
      </x:c>
      <x:c r="E23" s="16" t="n">
        <x:f>C23*D23</x:f>
        <x:v>0</x:v>
      </x:c>
    </x:row>
    <x:row r="24">
      <x:c r="A24" s="16" t="str">
        <x:v>graph_provenance</x:v>
      </x:c>
      <x:c r="B24" s="16" t="str">
        <x:v>UNCLEAR</x:v>
      </x:c>
      <x:c r="C24" s="16" t="n">
        <x:f>COUNTIFS(Comparison!$D$2:$D$910,A24,Comparison!$H$2:$H$910,"Y",Comparison!$E$2:$E$910,B24)</x:f>
        <x:v>0</x:v>
      </x:c>
      <x:c r="D24" s="16" t="n">
        <x:f>COUNTIFS(Comparison!$D$2:$D$910,A24,Comparison!$H$2:$H$910,"Y",Comparison!$F$2:$F$910,B24)</x:f>
        <x:v>0</x:v>
      </x:c>
      <x:c r="E24" s="16" t="n">
        <x:f>C24*D24</x:f>
        <x:v>0</x:v>
      </x:c>
    </x:row>
    <x:row r="25">
      <x:c r="A25" s="16" t="str">
        <x:v>graph_leakage_risk</x:v>
      </x:c>
      <x:c r="B25" s="16" t="str">
        <x:v>LOW</x:v>
      </x:c>
      <x:c r="C25" s="16" t="n">
        <x:f>COUNTIFS(Comparison!$D$2:$D$910,A25,Comparison!$H$2:$H$910,"Y",Comparison!$E$2:$E$910,B25)</x:f>
        <x:v>4</x:v>
      </x:c>
      <x:c r="D25" s="16" t="n">
        <x:f>COUNTIFS(Comparison!$D$2:$D$910,A25,Comparison!$H$2:$H$910,"Y",Comparison!$F$2:$F$910,B25)</x:f>
        <x:v>0</x:v>
      </x:c>
      <x:c r="E25" s="16" t="n">
        <x:f>C25*D25</x:f>
        <x:v>0</x:v>
      </x:c>
    </x:row>
    <x:row r="26">
      <x:c r="A26" s="16" t="str">
        <x:v>graph_leakage_risk</x:v>
      </x:c>
      <x:c r="B26" s="16" t="str">
        <x:v>POTENTIAL</x:v>
      </x:c>
      <x:c r="C26" s="16" t="n">
        <x:f>COUNTIFS(Comparison!$D$2:$D$910,A26,Comparison!$H$2:$H$910,"Y",Comparison!$E$2:$E$910,B26)</x:f>
        <x:v>2</x:v>
      </x:c>
      <x:c r="D26" s="16" t="n">
        <x:f>COUNTIFS(Comparison!$D$2:$D$910,A26,Comparison!$H$2:$H$910,"Y",Comparison!$F$2:$F$910,B26)</x:f>
        <x:v>0</x:v>
      </x:c>
      <x:c r="E26" s="16" t="n">
        <x:f>C26*D26</x:f>
        <x:v>0</x:v>
      </x:c>
    </x:row>
    <x:row r="27">
      <x:c r="A27" s="16" t="str">
        <x:v>graph_leakage_risk</x:v>
      </x:c>
      <x:c r="B27" s="16" t="str">
        <x:v>HIGH</x:v>
      </x:c>
      <x:c r="C27" s="16" t="n">
        <x:f>COUNTIFS(Comparison!$D$2:$D$910,A27,Comparison!$H$2:$H$910,"Y",Comparison!$E$2:$E$910,B27)</x:f>
        <x:v>0</x:v>
      </x:c>
      <x:c r="D27" s="16" t="n">
        <x:f>COUNTIFS(Comparison!$D$2:$D$910,A27,Comparison!$H$2:$H$910,"Y",Comparison!$F$2:$F$910,B27)</x:f>
        <x:v>0</x:v>
      </x:c>
      <x:c r="E27" s="16" t="n">
        <x:f>C27*D27</x:f>
        <x:v>0</x:v>
      </x:c>
    </x:row>
    <x:row r="28">
      <x:c r="A28" s="16" t="str">
        <x:v>graph_leakage_risk</x:v>
      </x:c>
      <x:c r="B28" s="16" t="str">
        <x:v>NA</x:v>
      </x:c>
      <x:c r="C28" s="16" t="n">
        <x:f>COUNTIFS(Comparison!$D$2:$D$910,A28,Comparison!$H$2:$H$910,"Y",Comparison!$E$2:$E$910,B28)</x:f>
        <x:v>0</x:v>
      </x:c>
      <x:c r="D28" s="16" t="n">
        <x:f>COUNTIFS(Comparison!$D$2:$D$910,A28,Comparison!$H$2:$H$910,"Y",Comparison!$F$2:$F$910,B28)</x:f>
        <x:v>0</x:v>
      </x:c>
      <x:c r="E28" s="16" t="n">
        <x:f>C28*D28</x:f>
        <x:v>0</x:v>
      </x:c>
    </x:row>
    <x:row r="29">
      <x:c r="A29" s="16" t="str">
        <x:v>graph_leakage_risk</x:v>
      </x:c>
      <x:c r="B29" s="16" t="str">
        <x:v>UNCLEAR</x:v>
      </x:c>
      <x:c r="C29" s="16" t="n">
        <x:f>COUNTIFS(Comparison!$D$2:$D$910,A29,Comparison!$H$2:$H$910,"Y",Comparison!$E$2:$E$910,B29)</x:f>
        <x:v>0</x:v>
      </x:c>
      <x:c r="D29" s="16" t="n">
        <x:f>COUNTIFS(Comparison!$D$2:$D$910,A29,Comparison!$H$2:$H$910,"Y",Comparison!$F$2:$F$910,B29)</x:f>
        <x:v>0</x:v>
      </x:c>
      <x:c r="E29" s="16" t="n">
        <x:f>C29*D29</x:f>
        <x:v>0</x:v>
      </x:c>
    </x:row>
    <x:row r="30">
      <x:c r="A30" s="16" t="str">
        <x:v>directed</x:v>
      </x:c>
      <x:c r="B30" s="16" t="str">
        <x:v>Y</x:v>
      </x:c>
      <x:c r="C30" s="16" t="n">
        <x:f>COUNTIFS(Comparison!$D$2:$D$910,A30,Comparison!$H$2:$H$910,"Y",Comparison!$E$2:$E$910,B30)</x:f>
        <x:v>6</x:v>
      </x:c>
      <x:c r="D30" s="16" t="n">
        <x:f>COUNTIFS(Comparison!$D$2:$D$910,A30,Comparison!$H$2:$H$910,"Y",Comparison!$F$2:$F$910,B30)</x:f>
        <x:v>0</x:v>
      </x:c>
      <x:c r="E30" s="16" t="n">
        <x:f>C30*D30</x:f>
        <x:v>0</x:v>
      </x:c>
    </x:row>
    <x:row r="31">
      <x:c r="A31" s="16" t="str">
        <x:v>directed</x:v>
      </x:c>
      <x:c r="B31" s="16" t="str">
        <x:v>N</x:v>
      </x:c>
      <x:c r="C31" s="16" t="n">
        <x:f>COUNTIFS(Comparison!$D$2:$D$910,A31,Comparison!$H$2:$H$910,"Y",Comparison!$E$2:$E$910,B31)</x:f>
        <x:v>0</x:v>
      </x:c>
      <x:c r="D31" s="16" t="n">
        <x:f>COUNTIFS(Comparison!$D$2:$D$910,A31,Comparison!$H$2:$H$910,"Y",Comparison!$F$2:$F$910,B31)</x:f>
        <x:v>0</x:v>
      </x:c>
      <x:c r="E31" s="16" t="n">
        <x:f>C31*D31</x:f>
        <x:v>0</x:v>
      </x:c>
    </x:row>
    <x:row r="32">
      <x:c r="A32" s="16" t="str">
        <x:v>directed</x:v>
      </x:c>
      <x:c r="B32" s="16" t="str">
        <x:v>UNCLEAR</x:v>
      </x:c>
      <x:c r="C32" s="16" t="n">
        <x:f>COUNTIFS(Comparison!$D$2:$D$910,A32,Comparison!$H$2:$H$910,"Y",Comparison!$E$2:$E$910,B32)</x:f>
        <x:v>0</x:v>
      </x:c>
      <x:c r="D32" s="16" t="n">
        <x:f>COUNTIFS(Comparison!$D$2:$D$910,A32,Comparison!$H$2:$H$910,"Y",Comparison!$F$2:$F$910,B32)</x:f>
        <x:v>0</x:v>
      </x:c>
      <x:c r="E32" s="16" t="n">
        <x:f>C32*D32</x:f>
        <x:v>0</x:v>
      </x:c>
    </x:row>
    <x:row r="33">
      <x:c r="A33" s="16" t="str">
        <x:v>directed</x:v>
      </x:c>
      <x:c r="B33" s="16" t="str">
        <x:v>NA</x:v>
      </x:c>
      <x:c r="C33" s="16" t="n">
        <x:f>COUNTIFS(Comparison!$D$2:$D$910,A33,Comparison!$H$2:$H$910,"Y",Comparison!$E$2:$E$910,B33)</x:f>
        <x:v>0</x:v>
      </x:c>
      <x:c r="D33" s="16" t="n">
        <x:f>COUNTIFS(Comparison!$D$2:$D$910,A33,Comparison!$H$2:$H$910,"Y",Comparison!$F$2:$F$910,B33)</x:f>
        <x:v>0</x:v>
      </x:c>
      <x:c r="E33" s="16" t="n">
        <x:f>C33*D33</x:f>
        <x:v>0</x:v>
      </x:c>
    </x:row>
    <x:row r="34">
      <x:c r="A34" s="16" t="str">
        <x:v>weighted</x:v>
      </x:c>
      <x:c r="B34" s="16" t="str">
        <x:v>Y</x:v>
      </x:c>
      <x:c r="C34" s="16" t="n">
        <x:f>COUNTIFS(Comparison!$D$2:$D$910,A34,Comparison!$H$2:$H$910,"Y",Comparison!$E$2:$E$910,B34)</x:f>
        <x:v>5</x:v>
      </x:c>
      <x:c r="D34" s="16" t="n">
        <x:f>COUNTIFS(Comparison!$D$2:$D$910,A34,Comparison!$H$2:$H$910,"Y",Comparison!$F$2:$F$910,B34)</x:f>
        <x:v>0</x:v>
      </x:c>
      <x:c r="E34" s="16" t="n">
        <x:f>C34*D34</x:f>
        <x:v>0</x:v>
      </x:c>
    </x:row>
    <x:row r="35">
      <x:c r="A35" s="16" t="str">
        <x:v>weighted</x:v>
      </x:c>
      <x:c r="B35" s="16" t="str">
        <x:v>N</x:v>
      </x:c>
      <x:c r="C35" s="16" t="n">
        <x:f>COUNTIFS(Comparison!$D$2:$D$910,A35,Comparison!$H$2:$H$910,"Y",Comparison!$E$2:$E$910,B35)</x:f>
        <x:v>0</x:v>
      </x:c>
      <x:c r="D35" s="16" t="n">
        <x:f>COUNTIFS(Comparison!$D$2:$D$910,A35,Comparison!$H$2:$H$910,"Y",Comparison!$F$2:$F$910,B35)</x:f>
        <x:v>0</x:v>
      </x:c>
      <x:c r="E35" s="16" t="n">
        <x:f>C35*D35</x:f>
        <x:v>0</x:v>
      </x:c>
    </x:row>
    <x:row r="36">
      <x:c r="A36" s="16" t="str">
        <x:v>weighted</x:v>
      </x:c>
      <x:c r="B36" s="16" t="str">
        <x:v>UNCLEAR</x:v>
      </x:c>
      <x:c r="C36" s="16" t="n">
        <x:f>COUNTIFS(Comparison!$D$2:$D$910,A36,Comparison!$H$2:$H$910,"Y",Comparison!$E$2:$E$910,B36)</x:f>
        <x:v>1</x:v>
      </x:c>
      <x:c r="D36" s="16" t="n">
        <x:f>COUNTIFS(Comparison!$D$2:$D$910,A36,Comparison!$H$2:$H$910,"Y",Comparison!$F$2:$F$910,B36)</x:f>
        <x:v>0</x:v>
      </x:c>
      <x:c r="E36" s="16" t="n">
        <x:f>C36*D36</x:f>
        <x:v>0</x:v>
      </x:c>
    </x:row>
    <x:row r="37">
      <x:c r="A37" s="16" t="str">
        <x:v>weighted</x:v>
      </x:c>
      <x:c r="B37" s="16" t="str">
        <x:v>NA</x:v>
      </x:c>
      <x:c r="C37" s="16" t="n">
        <x:f>COUNTIFS(Comparison!$D$2:$D$910,A37,Comparison!$H$2:$H$910,"Y",Comparison!$E$2:$E$910,B37)</x:f>
        <x:v>0</x:v>
      </x:c>
      <x:c r="D37" s="16" t="n">
        <x:f>COUNTIFS(Comparison!$D$2:$D$910,A37,Comparison!$H$2:$H$910,"Y",Comparison!$F$2:$F$910,B37)</x:f>
        <x:v>0</x:v>
      </x:c>
      <x:c r="E37" s="16" t="n">
        <x:f>C37*D37</x:f>
        <x:v>0</x:v>
      </x:c>
    </x:row>
    <x:row r="38">
      <x:c r="A38" s="16" t="str">
        <x:v>typed_edges</x:v>
      </x:c>
      <x:c r="B38" s="16" t="str">
        <x:v>Y</x:v>
      </x:c>
      <x:c r="C38" s="16" t="n">
        <x:f>COUNTIFS(Comparison!$D$2:$D$910,A38,Comparison!$H$2:$H$910,"Y",Comparison!$E$2:$E$910,B38)</x:f>
        <x:v>5</x:v>
      </x:c>
      <x:c r="D38" s="16" t="n">
        <x:f>COUNTIFS(Comparison!$D$2:$D$910,A38,Comparison!$H$2:$H$910,"Y",Comparison!$F$2:$F$910,B38)</x:f>
        <x:v>0</x:v>
      </x:c>
      <x:c r="E38" s="16" t="n">
        <x:f>C38*D38</x:f>
        <x:v>0</x:v>
      </x:c>
    </x:row>
    <x:row r="39">
      <x:c r="A39" s="16" t="str">
        <x:v>typed_edges</x:v>
      </x:c>
      <x:c r="B39" s="16" t="str">
        <x:v>N</x:v>
      </x:c>
      <x:c r="C39" s="16" t="n">
        <x:f>COUNTIFS(Comparison!$D$2:$D$910,A39,Comparison!$H$2:$H$910,"Y",Comparison!$E$2:$E$910,B39)</x:f>
        <x:v>1</x:v>
      </x:c>
      <x:c r="D39" s="16" t="n">
        <x:f>COUNTIFS(Comparison!$D$2:$D$910,A39,Comparison!$H$2:$H$910,"Y",Comparison!$F$2:$F$910,B39)</x:f>
        <x:v>0</x:v>
      </x:c>
      <x:c r="E39" s="16" t="n">
        <x:f>C39*D39</x:f>
        <x:v>0</x:v>
      </x:c>
    </x:row>
    <x:row r="40">
      <x:c r="A40" s="16" t="str">
        <x:v>typed_edges</x:v>
      </x:c>
      <x:c r="B40" s="16" t="str">
        <x:v>UNCLEAR</x:v>
      </x:c>
      <x:c r="C40" s="16" t="n">
        <x:f>COUNTIFS(Comparison!$D$2:$D$910,A40,Comparison!$H$2:$H$910,"Y",Comparison!$E$2:$E$910,B40)</x:f>
        <x:v>0</x:v>
      </x:c>
      <x:c r="D40" s="16" t="n">
        <x:f>COUNTIFS(Comparison!$D$2:$D$910,A40,Comparison!$H$2:$H$910,"Y",Comparison!$F$2:$F$910,B40)</x:f>
        <x:v>0</x:v>
      </x:c>
      <x:c r="E40" s="16" t="n">
        <x:f>C40*D40</x:f>
        <x:v>0</x:v>
      </x:c>
    </x:row>
    <x:row r="41">
      <x:c r="A41" s="16" t="str">
        <x:v>typed_edges</x:v>
      </x:c>
      <x:c r="B41" s="16" t="str">
        <x:v>NA</x:v>
      </x:c>
      <x:c r="C41" s="16" t="n">
        <x:f>COUNTIFS(Comparison!$D$2:$D$910,A41,Comparison!$H$2:$H$910,"Y",Comparison!$E$2:$E$910,B41)</x:f>
        <x:v>0</x:v>
      </x:c>
      <x:c r="D41" s="16" t="n">
        <x:f>COUNTIFS(Comparison!$D$2:$D$910,A41,Comparison!$H$2:$H$910,"Y",Comparison!$F$2:$F$910,B41)</x:f>
        <x:v>0</x:v>
      </x:c>
      <x:c r="E41" s="16" t="n">
        <x:f>C41*D41</x:f>
        <x:v>0</x:v>
      </x:c>
    </x:row>
    <x:row r="42">
      <x:c r="A42" s="16" t="str">
        <x:v>dynamic</x:v>
      </x:c>
      <x:c r="B42" s="16" t="str">
        <x:v>Y</x:v>
      </x:c>
      <x:c r="C42" s="16" t="n">
        <x:f>COUNTIFS(Comparison!$D$2:$D$910,A42,Comparison!$H$2:$H$910,"Y",Comparison!$E$2:$E$910,B42)</x:f>
        <x:v>0</x:v>
      </x:c>
      <x:c r="D42" s="16" t="n">
        <x:f>COUNTIFS(Comparison!$D$2:$D$910,A42,Comparison!$H$2:$H$910,"Y",Comparison!$F$2:$F$910,B42)</x:f>
        <x:v>0</x:v>
      </x:c>
      <x:c r="E42" s="16" t="n">
        <x:f>C42*D42</x:f>
        <x:v>0</x:v>
      </x:c>
    </x:row>
    <x:row r="43">
      <x:c r="A43" s="16" t="str">
        <x:v>dynamic</x:v>
      </x:c>
      <x:c r="B43" s="16" t="str">
        <x:v>N</x:v>
      </x:c>
      <x:c r="C43" s="16" t="n">
        <x:f>COUNTIFS(Comparison!$D$2:$D$910,A43,Comparison!$H$2:$H$910,"Y",Comparison!$E$2:$E$910,B43)</x:f>
        <x:v>6</x:v>
      </x:c>
      <x:c r="D43" s="16" t="n">
        <x:f>COUNTIFS(Comparison!$D$2:$D$910,A43,Comparison!$H$2:$H$910,"Y",Comparison!$F$2:$F$910,B43)</x:f>
        <x:v>0</x:v>
      </x:c>
      <x:c r="E43" s="16" t="n">
        <x:f>C43*D43</x:f>
        <x:v>0</x:v>
      </x:c>
    </x:row>
    <x:row r="44">
      <x:c r="A44" s="16" t="str">
        <x:v>dynamic</x:v>
      </x:c>
      <x:c r="B44" s="16" t="str">
        <x:v>UNCLEAR</x:v>
      </x:c>
      <x:c r="C44" s="16" t="n">
        <x:f>COUNTIFS(Comparison!$D$2:$D$910,A44,Comparison!$H$2:$H$910,"Y",Comparison!$E$2:$E$910,B44)</x:f>
        <x:v>0</x:v>
      </x:c>
      <x:c r="D44" s="16" t="n">
        <x:f>COUNTIFS(Comparison!$D$2:$D$910,A44,Comparison!$H$2:$H$910,"Y",Comparison!$F$2:$F$910,B44)</x:f>
        <x:v>0</x:v>
      </x:c>
      <x:c r="E44" s="16" t="n">
        <x:f>C44*D44</x:f>
        <x:v>0</x:v>
      </x:c>
    </x:row>
    <x:row r="45">
      <x:c r="A45" s="16" t="str">
        <x:v>dynamic</x:v>
      </x:c>
      <x:c r="B45" s="16" t="str">
        <x:v>NA</x:v>
      </x:c>
      <x:c r="C45" s="16" t="n">
        <x:f>COUNTIFS(Comparison!$D$2:$D$910,A45,Comparison!$H$2:$H$910,"Y",Comparison!$E$2:$E$910,B45)</x:f>
        <x:v>0</x:v>
      </x:c>
      <x:c r="D45" s="16" t="n">
        <x:f>COUNTIFS(Comparison!$D$2:$D$910,A45,Comparison!$H$2:$H$910,"Y",Comparison!$F$2:$F$910,B45)</x:f>
        <x:v>0</x:v>
      </x:c>
      <x:c r="E45" s="16" t="n">
        <x:f>C45*D45</x:f>
        <x:v>0</x:v>
      </x:c>
    </x:row>
    <x:row r="46">
      <x:c r="A46" s="16" t="str">
        <x:v>gnn_encoder</x:v>
      </x:c>
      <x:c r="B46" s="16" t="str">
        <x:v>NONE</x:v>
      </x:c>
      <x:c r="C46" s="16" t="n">
        <x:f>COUNTIFS(Comparison!$D$2:$D$910,A46,Comparison!$H$2:$H$910,"Y",Comparison!$E$2:$E$910,B46)</x:f>
        <x:v>0</x:v>
      </x:c>
      <x:c r="D46" s="16" t="n">
        <x:f>COUNTIFS(Comparison!$D$2:$D$910,A46,Comparison!$H$2:$H$910,"Y",Comparison!$F$2:$F$910,B46)</x:f>
        <x:v>0</x:v>
      </x:c>
      <x:c r="E46" s="16" t="n">
        <x:f>C46*D46</x:f>
        <x:v>0</x:v>
      </x:c>
    </x:row>
    <x:row r="47">
      <x:c r="A47" s="16" t="str">
        <x:v>gnn_encoder</x:v>
      </x:c>
      <x:c r="B47" s="16" t="str">
        <x:v>GCN</x:v>
      </x:c>
      <x:c r="C47" s="16" t="n">
        <x:f>COUNTIFS(Comparison!$D$2:$D$910,A47,Comparison!$H$2:$H$910,"Y",Comparison!$E$2:$E$910,B47)</x:f>
        <x:v>0</x:v>
      </x:c>
      <x:c r="D47" s="16" t="n">
        <x:f>COUNTIFS(Comparison!$D$2:$D$910,A47,Comparison!$H$2:$H$910,"Y",Comparison!$F$2:$F$910,B47)</x:f>
        <x:v>0</x:v>
      </x:c>
      <x:c r="E47" s="16" t="n">
        <x:f>C47*D47</x:f>
        <x:v>0</x:v>
      </x:c>
    </x:row>
    <x:row r="48">
      <x:c r="A48" s="16" t="str">
        <x:v>gnn_encoder</x:v>
      </x:c>
      <x:c r="B48" s="16" t="str">
        <x:v>GAT</x:v>
      </x:c>
      <x:c r="C48" s="16" t="n">
        <x:f>COUNTIFS(Comparison!$D$2:$D$910,A48,Comparison!$H$2:$H$910,"Y",Comparison!$E$2:$E$910,B48)</x:f>
        <x:v>0</x:v>
      </x:c>
      <x:c r="D48" s="16" t="n">
        <x:f>COUNTIFS(Comparison!$D$2:$D$910,A48,Comparison!$H$2:$H$910,"Y",Comparison!$F$2:$F$910,B48)</x:f>
        <x:v>0</x:v>
      </x:c>
      <x:c r="E48" s="16" t="n">
        <x:f>C48*D48</x:f>
        <x:v>0</x:v>
      </x:c>
    </x:row>
    <x:row r="49">
      <x:c r="A49" s="16" t="str">
        <x:v>gnn_encoder</x:v>
      </x:c>
      <x:c r="B49" s="16" t="str">
        <x:v>GRAPH_SAGE</x:v>
      </x:c>
      <x:c r="C49" s="16" t="n">
        <x:f>COUNTIFS(Comparison!$D$2:$D$910,A49,Comparison!$H$2:$H$910,"Y",Comparison!$E$2:$E$910,B49)</x:f>
        <x:v>0</x:v>
      </x:c>
      <x:c r="D49" s="16" t="n">
        <x:f>COUNTIFS(Comparison!$D$2:$D$910,A49,Comparison!$H$2:$H$910,"Y",Comparison!$F$2:$F$910,B49)</x:f>
        <x:v>0</x:v>
      </x:c>
      <x:c r="E49" s="16" t="n">
        <x:f>C49*D49</x:f>
        <x:v>0</x:v>
      </x:c>
    </x:row>
    <x:row r="50">
      <x:c r="A50" s="16" t="str">
        <x:v>gnn_encoder</x:v>
      </x:c>
      <x:c r="B50" s="16" t="str">
        <x:v>RGCN_RELATIONAL</x:v>
      </x:c>
      <x:c r="C50" s="16" t="n">
        <x:f>COUNTIFS(Comparison!$D$2:$D$910,A50,Comparison!$H$2:$H$910,"Y",Comparison!$E$2:$E$910,B50)</x:f>
        <x:v>0</x:v>
      </x:c>
      <x:c r="D50" s="16" t="n">
        <x:f>COUNTIFS(Comparison!$D$2:$D$910,A50,Comparison!$H$2:$H$910,"Y",Comparison!$F$2:$F$910,B50)</x:f>
        <x:v>0</x:v>
      </x:c>
      <x:c r="E50" s="16" t="n">
        <x:f>C50*D50</x:f>
        <x:v>0</x:v>
      </x:c>
    </x:row>
    <x:row r="51">
      <x:c r="A51" s="16" t="str">
        <x:v>gnn_encoder</x:v>
      </x:c>
      <x:c r="B51" s="16" t="str">
        <x:v>HETEROGENEOUS_GNN</x:v>
      </x:c>
      <x:c r="C51" s="16" t="n">
        <x:f>COUNTIFS(Comparison!$D$2:$D$910,A51,Comparison!$H$2:$H$910,"Y",Comparison!$E$2:$E$910,B51)</x:f>
        <x:v>0</x:v>
      </x:c>
      <x:c r="D51" s="16" t="n">
        <x:f>COUNTIFS(Comparison!$D$2:$D$910,A51,Comparison!$H$2:$H$910,"Y",Comparison!$F$2:$F$910,B51)</x:f>
        <x:v>0</x:v>
      </x:c>
      <x:c r="E51" s="16" t="n">
        <x:f>C51*D51</x:f>
        <x:v>0</x:v>
      </x:c>
    </x:row>
    <x:row r="52">
      <x:c r="A52" s="16" t="str">
        <x:v>gnn_encoder</x:v>
      </x:c>
      <x:c r="B52" s="16" t="str">
        <x:v>HGT</x:v>
      </x:c>
      <x:c r="C52" s="16" t="n">
        <x:f>COUNTIFS(Comparison!$D$2:$D$910,A52,Comparison!$H$2:$H$910,"Y",Comparison!$E$2:$E$910,B52)</x:f>
        <x:v>0</x:v>
      </x:c>
      <x:c r="D52" s="16" t="n">
        <x:f>COUNTIFS(Comparison!$D$2:$D$910,A52,Comparison!$H$2:$H$910,"Y",Comparison!$F$2:$F$910,B52)</x:f>
        <x:v>0</x:v>
      </x:c>
      <x:c r="E52" s="16" t="n">
        <x:f>C52*D52</x:f>
        <x:v>0</x:v>
      </x:c>
    </x:row>
    <x:row r="53">
      <x:c r="A53" s="16" t="str">
        <x:v>gnn_encoder</x:v>
      </x:c>
      <x:c r="B53" s="16" t="str">
        <x:v>HGNN_HYPERGRAPH</x:v>
      </x:c>
      <x:c r="C53" s="16" t="n">
        <x:f>COUNTIFS(Comparison!$D$2:$D$910,A53,Comparison!$H$2:$H$910,"Y",Comparison!$E$2:$E$910,B53)</x:f>
        <x:v>0</x:v>
      </x:c>
      <x:c r="D53" s="16" t="n">
        <x:f>COUNTIFS(Comparison!$D$2:$D$910,A53,Comparison!$H$2:$H$910,"Y",Comparison!$F$2:$F$910,B53)</x:f>
        <x:v>0</x:v>
      </x:c>
      <x:c r="E53" s="16" t="n">
        <x:f>C53*D53</x:f>
        <x:v>0</x:v>
      </x:c>
    </x:row>
    <x:row r="54">
      <x:c r="A54" s="16" t="str">
        <x:v>gnn_encoder</x:v>
      </x:c>
      <x:c r="B54" s="16" t="str">
        <x:v>TEMPORAL_DYNAMIC_GNN</x:v>
      </x:c>
      <x:c r="C54" s="16" t="n">
        <x:f>COUNTIFS(Comparison!$D$2:$D$910,A54,Comparison!$H$2:$H$910,"Y",Comparison!$E$2:$E$910,B54)</x:f>
        <x:v>0</x:v>
      </x:c>
      <x:c r="D54" s="16" t="n">
        <x:f>COUNTIFS(Comparison!$D$2:$D$910,A54,Comparison!$H$2:$H$910,"Y",Comparison!$F$2:$F$910,B54)</x:f>
        <x:v>0</x:v>
      </x:c>
      <x:c r="E54" s="16" t="n">
        <x:f>C54*D54</x:f>
        <x:v>0</x:v>
      </x:c>
    </x:row>
    <x:row r="55">
      <x:c r="A55" s="16" t="str">
        <x:v>gnn_encoder</x:v>
      </x:c>
      <x:c r="B55" s="16" t="str">
        <x:v>GRAPH_MEMORY</x:v>
      </x:c>
      <x:c r="C55" s="16" t="n">
        <x:f>COUNTIFS(Comparison!$D$2:$D$910,A55,Comparison!$H$2:$H$910,"Y",Comparison!$E$2:$E$910,B55)</x:f>
        <x:v>0</x:v>
      </x:c>
      <x:c r="D55" s="16" t="n">
        <x:f>COUNTIFS(Comparison!$D$2:$D$910,A55,Comparison!$H$2:$H$910,"Y",Comparison!$F$2:$F$910,B55)</x:f>
        <x:v>0</x:v>
      </x:c>
      <x:c r="E55" s="16" t="n">
        <x:f>C55*D55</x:f>
        <x:v>0</x:v>
      </x:c>
    </x:row>
    <x:row r="56">
      <x:c r="A56" s="16" t="str">
        <x:v>gnn_encoder</x:v>
      </x:c>
      <x:c r="B56" s="16" t="str">
        <x:v>GRAPH_ATTENTION_HYBRID</x:v>
      </x:c>
      <x:c r="C56" s="16" t="n">
        <x:f>COUNTIFS(Comparison!$D$2:$D$910,A56,Comparison!$H$2:$H$910,"Y",Comparison!$E$2:$E$910,B56)</x:f>
        <x:v>1</x:v>
      </x:c>
      <x:c r="D56" s="16" t="n">
        <x:f>COUNTIFS(Comparison!$D$2:$D$910,A56,Comparison!$H$2:$H$910,"Y",Comparison!$F$2:$F$910,B56)</x:f>
        <x:v>0</x:v>
      </x:c>
      <x:c r="E56" s="16" t="n">
        <x:f>C56*D56</x:f>
        <x:v>0</x:v>
      </x:c>
    </x:row>
    <x:row r="57">
      <x:c r="A57" s="16" t="str">
        <x:v>gnn_encoder</x:v>
      </x:c>
      <x:c r="B57" s="16" t="str">
        <x:v>OTHER</x:v>
      </x:c>
      <x:c r="C57" s="16" t="n">
        <x:f>COUNTIFS(Comparison!$D$2:$D$910,A57,Comparison!$H$2:$H$910,"Y",Comparison!$E$2:$E$910,B57)</x:f>
        <x:v>5</x:v>
      </x:c>
      <x:c r="D57" s="16" t="n">
        <x:f>COUNTIFS(Comparison!$D$2:$D$910,A57,Comparison!$H$2:$H$910,"Y",Comparison!$F$2:$F$910,B57)</x:f>
        <x:v>0</x:v>
      </x:c>
      <x:c r="E57" s="16" t="n">
        <x:f>C57*D57</x:f>
        <x:v>0</x:v>
      </x:c>
    </x:row>
    <x:row r="58">
      <x:c r="A58" s="16" t="str">
        <x:v>gnn_encoder</x:v>
      </x:c>
      <x:c r="B58" s="16" t="str">
        <x:v>UNCLEAR</x:v>
      </x:c>
      <x:c r="C58" s="16" t="n">
        <x:f>COUNTIFS(Comparison!$D$2:$D$910,A58,Comparison!$H$2:$H$910,"Y",Comparison!$E$2:$E$910,B58)</x:f>
        <x:v>0</x:v>
      </x:c>
      <x:c r="D58" s="16" t="n">
        <x:f>COUNTIFS(Comparison!$D$2:$D$910,A58,Comparison!$H$2:$H$910,"Y",Comparison!$F$2:$F$910,B58)</x:f>
        <x:v>0</x:v>
      </x:c>
      <x:c r="E58" s="16" t="n">
        <x:f>C58*D58</x:f>
        <x:v>0</x:v>
      </x:c>
    </x:row>
    <x:row r="59">
      <x:c r="A59" s="16" t="str">
        <x:v>temporal_backbone</x:v>
      </x:c>
      <x:c r="B59" s="16" t="str">
        <x:v>BKT_HMM</x:v>
      </x:c>
      <x:c r="C59" s="16" t="n">
        <x:f>COUNTIFS(Comparison!$D$2:$D$910,A59,Comparison!$H$2:$H$910,"Y",Comparison!$E$2:$E$910,B59)</x:f>
        <x:v>0</x:v>
      </x:c>
      <x:c r="D59" s="16" t="n">
        <x:f>COUNTIFS(Comparison!$D$2:$D$910,A59,Comparison!$H$2:$H$910,"Y",Comparison!$F$2:$F$910,B59)</x:f>
        <x:v>0</x:v>
      </x:c>
      <x:c r="E59" s="16" t="n">
        <x:f>C59*D59</x:f>
        <x:v>0</x:v>
      </x:c>
    </x:row>
    <x:row r="60">
      <x:c r="A60" s="16" t="str">
        <x:v>temporal_backbone</x:v>
      </x:c>
      <x:c r="B60" s="16" t="str">
        <x:v>RNN_LSTM_GRU</x:v>
      </x:c>
      <x:c r="C60" s="16" t="n">
        <x:f>COUNTIFS(Comparison!$D$2:$D$910,A60,Comparison!$H$2:$H$910,"Y",Comparison!$E$2:$E$910,B60)</x:f>
        <x:v>6</x:v>
      </x:c>
      <x:c r="D60" s="16" t="n">
        <x:f>COUNTIFS(Comparison!$D$2:$D$910,A60,Comparison!$H$2:$H$910,"Y",Comparison!$F$2:$F$910,B60)</x:f>
        <x:v>0</x:v>
      </x:c>
      <x:c r="E60" s="16" t="n">
        <x:f>C60*D60</x:f>
        <x:v>0</x:v>
      </x:c>
    </x:row>
    <x:row r="61">
      <x:c r="A61" s="16" t="str">
        <x:v>temporal_backbone</x:v>
      </x:c>
      <x:c r="B61" s="16" t="str">
        <x:v>MEMORY_NETWORK</x:v>
      </x:c>
      <x:c r="C61" s="16" t="n">
        <x:f>COUNTIFS(Comparison!$D$2:$D$910,A61,Comparison!$H$2:$H$910,"Y",Comparison!$E$2:$E$910,B61)</x:f>
        <x:v>0</x:v>
      </x:c>
      <x:c r="D61" s="16" t="n">
        <x:f>COUNTIFS(Comparison!$D$2:$D$910,A61,Comparison!$H$2:$H$910,"Y",Comparison!$F$2:$F$910,B61)</x:f>
        <x:v>0</x:v>
      </x:c>
      <x:c r="E61" s="16" t="n">
        <x:f>C61*D61</x:f>
        <x:v>0</x:v>
      </x:c>
    </x:row>
    <x:row r="62">
      <x:c r="A62" s="16" t="str">
        <x:v>temporal_backbone</x:v>
      </x:c>
      <x:c r="B62" s="16" t="str">
        <x:v>SELF_ATTENTION_TRANSFORMER</x:v>
      </x:c>
      <x:c r="C62" s="16" t="n">
        <x:f>COUNTIFS(Comparison!$D$2:$D$910,A62,Comparison!$H$2:$H$910,"Y",Comparison!$E$2:$E$910,B62)</x:f>
        <x:v>0</x:v>
      </x:c>
      <x:c r="D62" s="16" t="n">
        <x:f>COUNTIFS(Comparison!$D$2:$D$910,A62,Comparison!$H$2:$H$910,"Y",Comparison!$F$2:$F$910,B62)</x:f>
        <x:v>0</x:v>
      </x:c>
      <x:c r="E62" s="16" t="n">
        <x:f>C62*D62</x:f>
        <x:v>0</x:v>
      </x:c>
    </x:row>
    <x:row r="63">
      <x:c r="A63" s="16" t="str">
        <x:v>temporal_backbone</x:v>
      </x:c>
      <x:c r="B63" s="16" t="str">
        <x:v>TEMPORAL_CONVOLUTION</x:v>
      </x:c>
      <x:c r="C63" s="16" t="n">
        <x:f>COUNTIFS(Comparison!$D$2:$D$910,A63,Comparison!$H$2:$H$910,"Y",Comparison!$E$2:$E$910,B63)</x:f>
        <x:v>0</x:v>
      </x:c>
      <x:c r="D63" s="16" t="n">
        <x:f>COUNTIFS(Comparison!$D$2:$D$910,A63,Comparison!$H$2:$H$910,"Y",Comparison!$F$2:$F$910,B63)</x:f>
        <x:v>0</x:v>
      </x:c>
      <x:c r="E63" s="16" t="n">
        <x:f>C63*D63</x:f>
        <x:v>0</x:v>
      </x:c>
    </x:row>
    <x:row r="64">
      <x:c r="A64" s="16" t="str">
        <x:v>temporal_backbone</x:v>
      </x:c>
      <x:c r="B64" s="16" t="str">
        <x:v>TEMPORAL_GRAPH_NATIVE</x:v>
      </x:c>
      <x:c r="C64" s="16" t="n">
        <x:f>COUNTIFS(Comparison!$D$2:$D$910,A64,Comparison!$H$2:$H$910,"Y",Comparison!$E$2:$E$910,B64)</x:f>
        <x:v>0</x:v>
      </x:c>
      <x:c r="D64" s="16" t="n">
        <x:f>COUNTIFS(Comparison!$D$2:$D$910,A64,Comparison!$H$2:$H$910,"Y",Comparison!$F$2:$F$910,B64)</x:f>
        <x:v>0</x:v>
      </x:c>
      <x:c r="E64" s="16" t="n">
        <x:f>C64*D64</x:f>
        <x:v>0</x:v>
      </x:c>
    </x:row>
    <x:row r="65">
      <x:c r="A65" s="16" t="str">
        <x:v>temporal_backbone</x:v>
      </x:c>
      <x:c r="B65" s="16" t="str">
        <x:v>STATE_SPACE</x:v>
      </x:c>
      <x:c r="C65" s="16" t="n">
        <x:f>COUNTIFS(Comparison!$D$2:$D$910,A65,Comparison!$H$2:$H$910,"Y",Comparison!$E$2:$E$910,B65)</x:f>
        <x:v>0</x:v>
      </x:c>
      <x:c r="D65" s="16" t="n">
        <x:f>COUNTIFS(Comparison!$D$2:$D$910,A65,Comparison!$H$2:$H$910,"Y",Comparison!$F$2:$F$910,B65)</x:f>
        <x:v>0</x:v>
      </x:c>
      <x:c r="E65" s="16" t="n">
        <x:f>C65*D65</x:f>
        <x:v>0</x:v>
      </x:c>
    </x:row>
    <x:row r="66">
      <x:c r="A66" s="16" t="str">
        <x:v>temporal_backbone</x:v>
      </x:c>
      <x:c r="B66" s="16" t="str">
        <x:v>OTHER</x:v>
      </x:c>
      <x:c r="C66" s="16" t="n">
        <x:f>COUNTIFS(Comparison!$D$2:$D$910,A66,Comparison!$H$2:$H$910,"Y",Comparison!$E$2:$E$910,B66)</x:f>
        <x:v>0</x:v>
      </x:c>
      <x:c r="D66" s="16" t="n">
        <x:f>COUNTIFS(Comparison!$D$2:$D$910,A66,Comparison!$H$2:$H$910,"Y",Comparison!$F$2:$F$910,B66)</x:f>
        <x:v>0</x:v>
      </x:c>
      <x:c r="E66" s="16" t="n">
        <x:f>C66*D66</x:f>
        <x:v>0</x:v>
      </x:c>
    </x:row>
    <x:row r="67">
      <x:c r="A67" s="16" t="str">
        <x:v>temporal_backbone</x:v>
      </x:c>
      <x:c r="B67" s="16" t="str">
        <x:v>UNCLEAR</x:v>
      </x:c>
      <x:c r="C67" s="16" t="n">
        <x:f>COUNTIFS(Comparison!$D$2:$D$910,A67,Comparison!$H$2:$H$910,"Y",Comparison!$E$2:$E$910,B67)</x:f>
        <x:v>0</x:v>
      </x:c>
      <x:c r="D67" s="16" t="n">
        <x:f>COUNTIFS(Comparison!$D$2:$D$910,A67,Comparison!$H$2:$H$910,"Y",Comparison!$F$2:$F$910,B67)</x:f>
        <x:v>0</x:v>
      </x:c>
      <x:c r="E67" s="16" t="n">
        <x:f>C67*D67</x:f>
        <x:v>0</x:v>
      </x:c>
    </x:row>
    <x:row r="68">
      <x:c r="A68" s="16" t="str">
        <x:v>fusion_type</x:v>
      </x:c>
      <x:c r="B68" s="16" t="str">
        <x:v>NONE</x:v>
      </x:c>
      <x:c r="C68" s="16" t="n">
        <x:f>COUNTIFS(Comparison!$D$2:$D$910,A68,Comparison!$H$2:$H$910,"Y",Comparison!$E$2:$E$910,B68)</x:f>
        <x:v>0</x:v>
      </x:c>
      <x:c r="D68" s="16" t="n">
        <x:f>COUNTIFS(Comparison!$D$2:$D$910,A68,Comparison!$H$2:$H$910,"Y",Comparison!$F$2:$F$910,B68)</x:f>
        <x:v>0</x:v>
      </x:c>
      <x:c r="E68" s="16" t="n">
        <x:f>C68*D68</x:f>
        <x:v>0</x:v>
      </x:c>
    </x:row>
    <x:row r="69">
      <x:c r="A69" s="16" t="str">
        <x:v>fusion_type</x:v>
      </x:c>
      <x:c r="B69" s="16" t="str">
        <x:v>CONCAT</x:v>
      </x:c>
      <x:c r="C69" s="16" t="n">
        <x:f>COUNTIFS(Comparison!$D$2:$D$910,A69,Comparison!$H$2:$H$910,"Y",Comparison!$E$2:$E$910,B69)</x:f>
        <x:v>0</x:v>
      </x:c>
      <x:c r="D69" s="16" t="n">
        <x:f>COUNTIFS(Comparison!$D$2:$D$910,A69,Comparison!$H$2:$H$910,"Y",Comparison!$F$2:$F$910,B69)</x:f>
        <x:v>0</x:v>
      </x:c>
      <x:c r="E69" s="16" t="n">
        <x:f>C69*D69</x:f>
        <x:v>0</x:v>
      </x:c>
    </x:row>
    <x:row r="70">
      <x:c r="A70" s="16" t="str">
        <x:v>fusion_type</x:v>
      </x:c>
      <x:c r="B70" s="16" t="str">
        <x:v>ADD</x:v>
      </x:c>
      <x:c r="C70" s="16" t="n">
        <x:f>COUNTIFS(Comparison!$D$2:$D$910,A70,Comparison!$H$2:$H$910,"Y",Comparison!$E$2:$E$910,B70)</x:f>
        <x:v>0</x:v>
      </x:c>
      <x:c r="D70" s="16" t="n">
        <x:f>COUNTIFS(Comparison!$D$2:$D$910,A70,Comparison!$H$2:$H$910,"Y",Comparison!$F$2:$F$910,B70)</x:f>
        <x:v>0</x:v>
      </x:c>
      <x:c r="E70" s="16" t="n">
        <x:f>C70*D70</x:f>
        <x:v>0</x:v>
      </x:c>
    </x:row>
    <x:row r="71">
      <x:c r="A71" s="16" t="str">
        <x:v>fusion_type</x:v>
      </x:c>
      <x:c r="B71" s="16" t="str">
        <x:v>GATE</x:v>
      </x:c>
      <x:c r="C71" s="16" t="n">
        <x:f>COUNTIFS(Comparison!$D$2:$D$910,A71,Comparison!$H$2:$H$910,"Y",Comparison!$E$2:$E$910,B71)</x:f>
        <x:v>0</x:v>
      </x:c>
      <x:c r="D71" s="16" t="n">
        <x:f>COUNTIFS(Comparison!$D$2:$D$910,A71,Comparison!$H$2:$H$910,"Y",Comparison!$F$2:$F$910,B71)</x:f>
        <x:v>0</x:v>
      </x:c>
      <x:c r="E71" s="16" t="n">
        <x:f>C71*D71</x:f>
        <x:v>0</x:v>
      </x:c>
    </x:row>
    <x:row r="72">
      <x:c r="A72" s="16" t="str">
        <x:v>fusion_type</x:v>
      </x:c>
      <x:c r="B72" s="16" t="str">
        <x:v>ATTENTION</x:v>
      </x:c>
      <x:c r="C72" s="16" t="n">
        <x:f>COUNTIFS(Comparison!$D$2:$D$910,A72,Comparison!$H$2:$H$910,"Y",Comparison!$E$2:$E$910,B72)</x:f>
        <x:v>0</x:v>
      </x:c>
      <x:c r="D72" s="16" t="n">
        <x:f>COUNTIFS(Comparison!$D$2:$D$910,A72,Comparison!$H$2:$H$910,"Y",Comparison!$F$2:$F$910,B72)</x:f>
        <x:v>0</x:v>
      </x:c>
      <x:c r="E72" s="16" t="n">
        <x:f>C72*D72</x:f>
        <x:v>0</x:v>
      </x:c>
    </x:row>
    <x:row r="73">
      <x:c r="A73" s="16" t="str">
        <x:v>fusion_type</x:v>
      </x:c>
      <x:c r="B73" s="16" t="str">
        <x:v>CROSS_ATTENTION</x:v>
      </x:c>
      <x:c r="C73" s="16" t="n">
        <x:f>COUNTIFS(Comparison!$D$2:$D$910,A73,Comparison!$H$2:$H$910,"Y",Comparison!$E$2:$E$910,B73)</x:f>
        <x:v>0</x:v>
      </x:c>
      <x:c r="D73" s="16" t="n">
        <x:f>COUNTIFS(Comparison!$D$2:$D$910,A73,Comparison!$H$2:$H$910,"Y",Comparison!$F$2:$F$910,B73)</x:f>
        <x:v>0</x:v>
      </x:c>
      <x:c r="E73" s="16" t="n">
        <x:f>C73*D73</x:f>
        <x:v>0</x:v>
      </x:c>
    </x:row>
    <x:row r="74">
      <x:c r="A74" s="16" t="str">
        <x:v>fusion_type</x:v>
      </x:c>
      <x:c r="B74" s="16" t="str">
        <x:v>MESSAGE_PASSING_IN_PREDICTION_LOOP</x:v>
      </x:c>
      <x:c r="C74" s="16" t="n">
        <x:f>COUNTIFS(Comparison!$D$2:$D$910,A74,Comparison!$H$2:$H$910,"Y",Comparison!$E$2:$E$910,B74)</x:f>
        <x:v>6</x:v>
      </x:c>
      <x:c r="D74" s="16" t="n">
        <x:f>COUNTIFS(Comparison!$D$2:$D$910,A74,Comparison!$H$2:$H$910,"Y",Comparison!$F$2:$F$910,B74)</x:f>
        <x:v>0</x:v>
      </x:c>
      <x:c r="E74" s="16" t="n">
        <x:f>C74*D74</x:f>
        <x:v>0</x:v>
      </x:c>
    </x:row>
    <x:row r="75">
      <x:c r="A75" s="16" t="str">
        <x:v>fusion_type</x:v>
      </x:c>
      <x:c r="B75" s="16" t="str">
        <x:v>GRAPH_INITIALIZATION</x:v>
      </x:c>
      <x:c r="C75" s="16" t="n">
        <x:f>COUNTIFS(Comparison!$D$2:$D$910,A75,Comparison!$H$2:$H$910,"Y",Comparison!$E$2:$E$910,B75)</x:f>
        <x:v>0</x:v>
      </x:c>
      <x:c r="D75" s="16" t="n">
        <x:f>COUNTIFS(Comparison!$D$2:$D$910,A75,Comparison!$H$2:$H$910,"Y",Comparison!$F$2:$F$910,B75)</x:f>
        <x:v>0</x:v>
      </x:c>
      <x:c r="E75" s="16" t="n">
        <x:f>C75*D75</x:f>
        <x:v>0</x:v>
      </x:c>
    </x:row>
    <x:row r="76">
      <x:c r="A76" s="16" t="str">
        <x:v>fusion_type</x:v>
      </x:c>
      <x:c r="B76" s="16" t="str">
        <x:v>REGULARIZATION_ONLY</x:v>
      </x:c>
      <x:c r="C76" s="16" t="n">
        <x:f>COUNTIFS(Comparison!$D$2:$D$910,A76,Comparison!$H$2:$H$910,"Y",Comparison!$E$2:$E$910,B76)</x:f>
        <x:v>0</x:v>
      </x:c>
      <x:c r="D76" s="16" t="n">
        <x:f>COUNTIFS(Comparison!$D$2:$D$910,A76,Comparison!$H$2:$H$910,"Y",Comparison!$F$2:$F$910,B76)</x:f>
        <x:v>0</x:v>
      </x:c>
      <x:c r="E76" s="16" t="n">
        <x:f>C76*D76</x:f>
        <x:v>0</x:v>
      </x:c>
    </x:row>
    <x:row r="77">
      <x:c r="A77" s="16" t="str">
        <x:v>fusion_type</x:v>
      </x:c>
      <x:c r="B77" s="16" t="str">
        <x:v>JOINT_LATENT_STATE</x:v>
      </x:c>
      <x:c r="C77" s="16" t="n">
        <x:f>COUNTIFS(Comparison!$D$2:$D$910,A77,Comparison!$H$2:$H$910,"Y",Comparison!$E$2:$E$910,B77)</x:f>
        <x:v>0</x:v>
      </x:c>
      <x:c r="D77" s="16" t="n">
        <x:f>COUNTIFS(Comparison!$D$2:$D$910,A77,Comparison!$H$2:$H$910,"Y",Comparison!$F$2:$F$910,B77)</x:f>
        <x:v>0</x:v>
      </x:c>
      <x:c r="E77" s="16" t="n">
        <x:f>C77*D77</x:f>
        <x:v>0</x:v>
      </x:c>
    </x:row>
    <x:row r="78">
      <x:c r="A78" s="16" t="str">
        <x:v>fusion_type</x:v>
      </x:c>
      <x:c r="B78" s="16" t="str">
        <x:v>LATE_FUSION</x:v>
      </x:c>
      <x:c r="C78" s="16" t="n">
        <x:f>COUNTIFS(Comparison!$D$2:$D$910,A78,Comparison!$H$2:$H$910,"Y",Comparison!$E$2:$E$910,B78)</x:f>
        <x:v>0</x:v>
      </x:c>
      <x:c r="D78" s="16" t="n">
        <x:f>COUNTIFS(Comparison!$D$2:$D$910,A78,Comparison!$H$2:$H$910,"Y",Comparison!$F$2:$F$910,B78)</x:f>
        <x:v>0</x:v>
      </x:c>
      <x:c r="E78" s="16" t="n">
        <x:f>C78*D78</x:f>
        <x:v>0</x:v>
      </x:c>
    </x:row>
    <x:row r="79">
      <x:c r="A79" s="16" t="str">
        <x:v>fusion_type</x:v>
      </x:c>
      <x:c r="B79" s="16" t="str">
        <x:v>TEACHER_STUDENT</x:v>
      </x:c>
      <x:c r="C79" s="16" t="n">
        <x:f>COUNTIFS(Comparison!$D$2:$D$910,A79,Comparison!$H$2:$H$910,"Y",Comparison!$E$2:$E$910,B79)</x:f>
        <x:v>0</x:v>
      </x:c>
      <x:c r="D79" s="16" t="n">
        <x:f>COUNTIFS(Comparison!$D$2:$D$910,A79,Comparison!$H$2:$H$910,"Y",Comparison!$F$2:$F$910,B79)</x:f>
        <x:v>0</x:v>
      </x:c>
      <x:c r="E79" s="16" t="n">
        <x:f>C79*D79</x:f>
        <x:v>0</x:v>
      </x:c>
    </x:row>
    <x:row r="80">
      <x:c r="A80" s="16" t="str">
        <x:v>fusion_type</x:v>
      </x:c>
      <x:c r="B80" s="16" t="str">
        <x:v>OTHER</x:v>
      </x:c>
      <x:c r="C80" s="16" t="n">
        <x:f>COUNTIFS(Comparison!$D$2:$D$910,A80,Comparison!$H$2:$H$910,"Y",Comparison!$E$2:$E$910,B80)</x:f>
        <x:v>0</x:v>
      </x:c>
      <x:c r="D80" s="16" t="n">
        <x:f>COUNTIFS(Comparison!$D$2:$D$910,A80,Comparison!$H$2:$H$910,"Y",Comparison!$F$2:$F$910,B80)</x:f>
        <x:v>0</x:v>
      </x:c>
      <x:c r="E80" s="16" t="n">
        <x:f>C80*D80</x:f>
        <x:v>0</x:v>
      </x:c>
    </x:row>
    <x:row r="81">
      <x:c r="A81" s="16" t="str">
        <x:v>fusion_type</x:v>
      </x:c>
      <x:c r="B81" s="16" t="str">
        <x:v>UNCLEAR</x:v>
      </x:c>
      <x:c r="C81" s="16" t="n">
        <x:f>COUNTIFS(Comparison!$D$2:$D$910,A81,Comparison!$H$2:$H$910,"Y",Comparison!$E$2:$E$910,B81)</x:f>
        <x:v>0</x:v>
      </x:c>
      <x:c r="D81" s="16" t="n">
        <x:f>COUNTIFS(Comparison!$D$2:$D$910,A81,Comparison!$H$2:$H$910,"Y",Comparison!$F$2:$F$910,B81)</x:f>
        <x:v>0</x:v>
      </x:c>
      <x:c r="E81" s="16" t="n">
        <x:f>C81*D81</x:f>
        <x:v>0</x:v>
      </x:c>
    </x:row>
    <x:row r="82">
      <x:c r="A82" s="16" t="str">
        <x:v>ssl_family</x:v>
      </x:c>
      <x:c r="B82" s="16" t="str">
        <x:v>NONE</x:v>
      </x:c>
      <x:c r="C82" s="16" t="n">
        <x:f>COUNTIFS(Comparison!$D$2:$D$910,A82,Comparison!$H$2:$H$910,"Y",Comparison!$E$2:$E$910,B82)</x:f>
        <x:v>6</x:v>
      </x:c>
      <x:c r="D82" s="16" t="n">
        <x:f>COUNTIFS(Comparison!$D$2:$D$910,A82,Comparison!$H$2:$H$910,"Y",Comparison!$F$2:$F$910,B82)</x:f>
        <x:v>0</x:v>
      </x:c>
      <x:c r="E82" s="16" t="n">
        <x:f>C82*D82</x:f>
        <x:v>0</x:v>
      </x:c>
    </x:row>
    <x:row r="83">
      <x:c r="A83" s="16" t="str">
        <x:v>ssl_family</x:v>
      </x:c>
      <x:c r="B83" s="16" t="str">
        <x:v>SEQUENCE_CONTRASTIVE</x:v>
      </x:c>
      <x:c r="C83" s="16" t="n">
        <x:f>COUNTIFS(Comparison!$D$2:$D$910,A83,Comparison!$H$2:$H$910,"Y",Comparison!$E$2:$E$910,B83)</x:f>
        <x:v>0</x:v>
      </x:c>
      <x:c r="D83" s="16" t="n">
        <x:f>COUNTIFS(Comparison!$D$2:$D$910,A83,Comparison!$H$2:$H$910,"Y",Comparison!$F$2:$F$910,B83)</x:f>
        <x:v>0</x:v>
      </x:c>
      <x:c r="E83" s="16" t="n">
        <x:f>C83*D83</x:f>
        <x:v>0</x:v>
      </x:c>
    </x:row>
    <x:row r="84">
      <x:c r="A84" s="16" t="str">
        <x:v>ssl_family</x:v>
      </x:c>
      <x:c r="B84" s="16" t="str">
        <x:v>GRAPH_CONTRASTIVE</x:v>
      </x:c>
      <x:c r="C84" s="16" t="n">
        <x:f>COUNTIFS(Comparison!$D$2:$D$910,A84,Comparison!$H$2:$H$910,"Y",Comparison!$E$2:$E$910,B84)</x:f>
        <x:v>0</x:v>
      </x:c>
      <x:c r="D84" s="16" t="n">
        <x:f>COUNTIFS(Comparison!$D$2:$D$910,A84,Comparison!$H$2:$H$910,"Y",Comparison!$F$2:$F$910,B84)</x:f>
        <x:v>0</x:v>
      </x:c>
      <x:c r="E84" s="16" t="n">
        <x:f>C84*D84</x:f>
        <x:v>0</x:v>
      </x:c>
    </x:row>
    <x:row r="85">
      <x:c r="A85" s="16" t="str">
        <x:v>ssl_family</x:v>
      </x:c>
      <x:c r="B85" s="16" t="str">
        <x:v>MULTIVIEW_CONTRASTIVE</x:v>
      </x:c>
      <x:c r="C85" s="16" t="n">
        <x:f>COUNTIFS(Comparison!$D$2:$D$910,A85,Comparison!$H$2:$H$910,"Y",Comparison!$E$2:$E$910,B85)</x:f>
        <x:v>0</x:v>
      </x:c>
      <x:c r="D85" s="16" t="n">
        <x:f>COUNTIFS(Comparison!$D$2:$D$910,A85,Comparison!$H$2:$H$910,"Y",Comparison!$F$2:$F$910,B85)</x:f>
        <x:v>0</x:v>
      </x:c>
      <x:c r="E85" s="16" t="n">
        <x:f>C85*D85</x:f>
        <x:v>0</x:v>
      </x:c>
    </x:row>
    <x:row r="86">
      <x:c r="A86" s="16" t="str">
        <x:v>ssl_family</x:v>
      </x:c>
      <x:c r="B86" s="16" t="str">
        <x:v>MASKED_INTERACTION</x:v>
      </x:c>
      <x:c r="C86" s="16" t="n">
        <x:f>COUNTIFS(Comparison!$D$2:$D$910,A86,Comparison!$H$2:$H$910,"Y",Comparison!$E$2:$E$910,B86)</x:f>
        <x:v>0</x:v>
      </x:c>
      <x:c r="D86" s="16" t="n">
        <x:f>COUNTIFS(Comparison!$D$2:$D$910,A86,Comparison!$H$2:$H$910,"Y",Comparison!$F$2:$F$910,B86)</x:f>
        <x:v>0</x:v>
      </x:c>
      <x:c r="E86" s="16" t="n">
        <x:f>C86*D86</x:f>
        <x:v>0</x:v>
      </x:c>
    </x:row>
    <x:row r="87">
      <x:c r="A87" s="16" t="str">
        <x:v>ssl_family</x:v>
      </x:c>
      <x:c r="B87" s="16" t="str">
        <x:v>MASKED_CONCEPT</x:v>
      </x:c>
      <x:c r="C87" s="16" t="n">
        <x:f>COUNTIFS(Comparison!$D$2:$D$910,A87,Comparison!$H$2:$H$910,"Y",Comparison!$E$2:$E$910,B87)</x:f>
        <x:v>0</x:v>
      </x:c>
      <x:c r="D87" s="16" t="n">
        <x:f>COUNTIFS(Comparison!$D$2:$D$910,A87,Comparison!$H$2:$H$910,"Y",Comparison!$F$2:$F$910,B87)</x:f>
        <x:v>0</x:v>
      </x:c>
      <x:c r="E87" s="16" t="n">
        <x:f>C87*D87</x:f>
        <x:v>0</x:v>
      </x:c>
    </x:row>
    <x:row r="88">
      <x:c r="A88" s="16" t="str">
        <x:v>ssl_family</x:v>
      </x:c>
      <x:c r="B88" s="16" t="str">
        <x:v>MASKED_GRAPH_MODELING</x:v>
      </x:c>
      <x:c r="C88" s="16" t="n">
        <x:f>COUNTIFS(Comparison!$D$2:$D$910,A88,Comparison!$H$2:$H$910,"Y",Comparison!$E$2:$E$910,B88)</x:f>
        <x:v>0</x:v>
      </x:c>
      <x:c r="D88" s="16" t="n">
        <x:f>COUNTIFS(Comparison!$D$2:$D$910,A88,Comparison!$H$2:$H$910,"Y",Comparison!$F$2:$F$910,B88)</x:f>
        <x:v>0</x:v>
      </x:c>
      <x:c r="E88" s="16" t="n">
        <x:f>C88*D88</x:f>
        <x:v>0</x:v>
      </x:c>
    </x:row>
    <x:row r="89">
      <x:c r="A89" s="16" t="str">
        <x:v>ssl_family</x:v>
      </x:c>
      <x:c r="B89" s="16" t="str">
        <x:v>GRAPH_RECONSTRUCTION</x:v>
      </x:c>
      <x:c r="C89" s="16" t="n">
        <x:f>COUNTIFS(Comparison!$D$2:$D$910,A89,Comparison!$H$2:$H$910,"Y",Comparison!$E$2:$E$910,B89)</x:f>
        <x:v>0</x:v>
      </x:c>
      <x:c r="D89" s="16" t="n">
        <x:f>COUNTIFS(Comparison!$D$2:$D$910,A89,Comparison!$H$2:$H$910,"Y",Comparison!$F$2:$F$910,B89)</x:f>
        <x:v>0</x:v>
      </x:c>
      <x:c r="E89" s="16" t="n">
        <x:f>C89*D89</x:f>
        <x:v>0</x:v>
      </x:c>
    </x:row>
    <x:row r="90">
      <x:c r="A90" s="16" t="str">
        <x:v>ssl_family</x:v>
      </x:c>
      <x:c r="B90" s="16" t="str">
        <x:v>RELATION_EDGE_PREDICTION</x:v>
      </x:c>
      <x:c r="C90" s="16" t="n">
        <x:f>COUNTIFS(Comparison!$D$2:$D$910,A90,Comparison!$H$2:$H$910,"Y",Comparison!$E$2:$E$910,B90)</x:f>
        <x:v>0</x:v>
      </x:c>
      <x:c r="D90" s="16" t="n">
        <x:f>COUNTIFS(Comparison!$D$2:$D$910,A90,Comparison!$H$2:$H$910,"Y",Comparison!$F$2:$F$910,B90)</x:f>
        <x:v>0</x:v>
      </x:c>
      <x:c r="E90" s="16" t="n">
        <x:f>C90*D90</x:f>
        <x:v>0</x:v>
      </x:c>
    </x:row>
    <x:row r="91">
      <x:c r="A91" s="16" t="str">
        <x:v>ssl_family</x:v>
      </x:c>
      <x:c r="B91" s="16" t="str">
        <x:v>GENERATIVE_PRETEXT</x:v>
      </x:c>
      <x:c r="C91" s="16" t="n">
        <x:f>COUNTIFS(Comparison!$D$2:$D$910,A91,Comparison!$H$2:$H$910,"Y",Comparison!$E$2:$E$910,B91)</x:f>
        <x:v>0</x:v>
      </x:c>
      <x:c r="D91" s="16" t="n">
        <x:f>COUNTIFS(Comparison!$D$2:$D$910,A91,Comparison!$H$2:$H$910,"Y",Comparison!$F$2:$F$910,B91)</x:f>
        <x:v>0</x:v>
      </x:c>
      <x:c r="E91" s="16" t="n">
        <x:f>C91*D91</x:f>
        <x:v>0</x:v>
      </x:c>
    </x:row>
    <x:row r="92">
      <x:c r="A92" s="16" t="str">
        <x:v>ssl_family</x:v>
      </x:c>
      <x:c r="B92" s="16" t="str">
        <x:v>TEACHER_STUDENT_SELF_DISTILLATION</x:v>
      </x:c>
      <x:c r="C92" s="16" t="n">
        <x:f>COUNTIFS(Comparison!$D$2:$D$910,A92,Comparison!$H$2:$H$910,"Y",Comparison!$E$2:$E$910,B92)</x:f>
        <x:v>0</x:v>
      </x:c>
      <x:c r="D92" s="16" t="n">
        <x:f>COUNTIFS(Comparison!$D$2:$D$910,A92,Comparison!$H$2:$H$910,"Y",Comparison!$F$2:$F$910,B92)</x:f>
        <x:v>0</x:v>
      </x:c>
      <x:c r="E92" s="16" t="n">
        <x:f>C92*D92</x:f>
        <x:v>0</x:v>
      </x:c>
    </x:row>
    <x:row r="93">
      <x:c r="A93" s="16" t="str">
        <x:v>ssl_family</x:v>
      </x:c>
      <x:c r="B93" s="16" t="str">
        <x:v>MULTITASK_HYBRID</x:v>
      </x:c>
      <x:c r="C93" s="16" t="n">
        <x:f>COUNTIFS(Comparison!$D$2:$D$910,A93,Comparison!$H$2:$H$910,"Y",Comparison!$E$2:$E$910,B93)</x:f>
        <x:v>0</x:v>
      </x:c>
      <x:c r="D93" s="16" t="n">
        <x:f>COUNTIFS(Comparison!$D$2:$D$910,A93,Comparison!$H$2:$H$910,"Y",Comparison!$F$2:$F$910,B93)</x:f>
        <x:v>0</x:v>
      </x:c>
      <x:c r="E93" s="16" t="n">
        <x:f>C93*D93</x:f>
        <x:v>0</x:v>
      </x:c>
    </x:row>
    <x:row r="94">
      <x:c r="A94" s="16" t="str">
        <x:v>ssl_family</x:v>
      </x:c>
      <x:c r="B94" s="16" t="str">
        <x:v>OTHER</x:v>
      </x:c>
      <x:c r="C94" s="16" t="n">
        <x:f>COUNTIFS(Comparison!$D$2:$D$910,A94,Comparison!$H$2:$H$910,"Y",Comparison!$E$2:$E$910,B94)</x:f>
        <x:v>0</x:v>
      </x:c>
      <x:c r="D94" s="16" t="n">
        <x:f>COUNTIFS(Comparison!$D$2:$D$910,A94,Comparison!$H$2:$H$910,"Y",Comparison!$F$2:$F$910,B94)</x:f>
        <x:v>0</x:v>
      </x:c>
      <x:c r="E94" s="16" t="n">
        <x:f>C94*D94</x:f>
        <x:v>0</x:v>
      </x:c>
    </x:row>
    <x:row r="95">
      <x:c r="A95" s="16" t="str">
        <x:v>ssl_family</x:v>
      </x:c>
      <x:c r="B95" s="16" t="str">
        <x:v>UNCLEAR</x:v>
      </x:c>
      <x:c r="C95" s="16" t="n">
        <x:f>COUNTIFS(Comparison!$D$2:$D$910,A95,Comparison!$H$2:$H$910,"Y",Comparison!$E$2:$E$910,B95)</x:f>
        <x:v>0</x:v>
      </x:c>
      <x:c r="D95" s="16" t="n">
        <x:f>COUNTIFS(Comparison!$D$2:$D$910,A95,Comparison!$H$2:$H$910,"Y",Comparison!$F$2:$F$910,B95)</x:f>
        <x:v>0</x:v>
      </x:c>
      <x:c r="E95" s="16" t="n">
        <x:f>C95*D95</x:f>
        <x:v>0</x:v>
      </x:c>
    </x:row>
    <x:row r="96">
      <x:c r="A96" s="16" t="str">
        <x:v>educational_structure_preservation</x:v>
      </x:c>
      <x:c r="B96" s="16" t="str">
        <x:v>YES_EXPLICIT</x:v>
      </x:c>
      <x:c r="C96" s="16" t="n">
        <x:f>COUNTIFS(Comparison!$D$2:$D$910,A96,Comparison!$H$2:$H$910,"Y",Comparison!$E$2:$E$910,B96)</x:f>
        <x:v>0</x:v>
      </x:c>
      <x:c r="D96" s="16" t="n">
        <x:f>COUNTIFS(Comparison!$D$2:$D$910,A96,Comparison!$H$2:$H$910,"Y",Comparison!$F$2:$F$910,B96)</x:f>
        <x:v>0</x:v>
      </x:c>
      <x:c r="E96" s="16" t="n">
        <x:f>C96*D96</x:f>
        <x:v>0</x:v>
      </x:c>
    </x:row>
    <x:row r="97">
      <x:c r="A97" s="16" t="str">
        <x:v>educational_structure_preservation</x:v>
      </x:c>
      <x:c r="B97" s="16" t="str">
        <x:v>PARTIAL</x:v>
      </x:c>
      <x:c r="C97" s="16" t="n">
        <x:f>COUNTIFS(Comparison!$D$2:$D$910,A97,Comparison!$H$2:$H$910,"Y",Comparison!$E$2:$E$910,B97)</x:f>
        <x:v>0</x:v>
      </x:c>
      <x:c r="D97" s="16" t="n">
        <x:f>COUNTIFS(Comparison!$D$2:$D$910,A97,Comparison!$H$2:$H$910,"Y",Comparison!$F$2:$F$910,B97)</x:f>
        <x:v>0</x:v>
      </x:c>
      <x:c r="E97" s="16" t="n">
        <x:f>C97*D97</x:f>
        <x:v>0</x:v>
      </x:c>
    </x:row>
    <x:row r="98">
      <x:c r="A98" s="16" t="str">
        <x:v>educational_structure_preservation</x:v>
      </x:c>
      <x:c r="B98" s="16" t="str">
        <x:v>NO_EXPLICIT_CONSTRAINT</x:v>
      </x:c>
      <x:c r="C98" s="16" t="n">
        <x:f>COUNTIFS(Comparison!$D$2:$D$910,A98,Comparison!$H$2:$H$910,"Y",Comparison!$E$2:$E$910,B98)</x:f>
        <x:v>0</x:v>
      </x:c>
      <x:c r="D98" s="16" t="n">
        <x:f>COUNTIFS(Comparison!$D$2:$D$910,A98,Comparison!$H$2:$H$910,"Y",Comparison!$F$2:$F$910,B98)</x:f>
        <x:v>0</x:v>
      </x:c>
      <x:c r="E98" s="16" t="n">
        <x:f>C98*D98</x:f>
        <x:v>0</x:v>
      </x:c>
    </x:row>
    <x:row r="99">
      <x:c r="A99" s="16" t="str">
        <x:v>educational_structure_preservation</x:v>
      </x:c>
      <x:c r="B99" s="16" t="str">
        <x:v>NO_AUGMENTATION</x:v>
      </x:c>
      <x:c r="C99" s="16" t="n">
        <x:f>COUNTIFS(Comparison!$D$2:$D$910,A99,Comparison!$H$2:$H$910,"Y",Comparison!$E$2:$E$910,B99)</x:f>
        <x:v>6</x:v>
      </x:c>
      <x:c r="D99" s="16" t="n">
        <x:f>COUNTIFS(Comparison!$D$2:$D$910,A99,Comparison!$H$2:$H$910,"Y",Comparison!$F$2:$F$910,B99)</x:f>
        <x:v>0</x:v>
      </x:c>
      <x:c r="E99" s="16" t="n">
        <x:f>C99*D99</x:f>
        <x:v>0</x:v>
      </x:c>
    </x:row>
    <x:row r="100">
      <x:c r="A100" s="16" t="str">
        <x:v>educational_structure_preservation</x:v>
      </x:c>
      <x:c r="B100" s="16" t="str">
        <x:v>NA</x:v>
      </x:c>
      <x:c r="C100" s="16" t="n">
        <x:f>COUNTIFS(Comparison!$D$2:$D$910,A100,Comparison!$H$2:$H$910,"Y",Comparison!$E$2:$E$910,B100)</x:f>
        <x:v>0</x:v>
      </x:c>
      <x:c r="D100" s="16" t="n">
        <x:f>COUNTIFS(Comparison!$D$2:$D$910,A100,Comparison!$H$2:$H$910,"Y",Comparison!$F$2:$F$910,B100)</x:f>
        <x:v>0</x:v>
      </x:c>
      <x:c r="E100" s="16" t="n">
        <x:f>C100*D100</x:f>
        <x:v>0</x:v>
      </x:c>
    </x:row>
    <x:row r="101">
      <x:c r="A101" s="16" t="str">
        <x:v>educational_structure_preservation</x:v>
      </x:c>
      <x:c r="B101" s="16" t="str">
        <x:v>UNCLEAR</x:v>
      </x:c>
      <x:c r="C101" s="16" t="n">
        <x:f>COUNTIFS(Comparison!$D$2:$D$910,A101,Comparison!$H$2:$H$910,"Y",Comparison!$E$2:$E$910,B101)</x:f>
        <x:v>0</x:v>
      </x:c>
      <x:c r="D101" s="16" t="n">
        <x:f>COUNTIFS(Comparison!$D$2:$D$910,A101,Comparison!$H$2:$H$910,"Y",Comparison!$F$2:$F$910,B101)</x:f>
        <x:v>0</x:v>
      </x:c>
      <x:c r="E101" s="16" t="n">
        <x:f>C101*D101</x:f>
        <x:v>0</x:v>
      </x:c>
    </x:row>
    <x:row r="102">
      <x:c r="A102" s="16" t="str">
        <x:v>split_type</x:v>
      </x:c>
      <x:c r="B102" s="16" t="str">
        <x:v>RANDOM_INTERACTION</x:v>
      </x:c>
      <x:c r="C102" s="16" t="n">
        <x:f>COUNTIFS(Comparison!$D$2:$D$910,A102,Comparison!$H$2:$H$910,"Y",Comparison!$E$2:$E$910,B102)</x:f>
        <x:v>0</x:v>
      </x:c>
      <x:c r="D102" s="16" t="n">
        <x:f>COUNTIFS(Comparison!$D$2:$D$910,A102,Comparison!$H$2:$H$910,"Y",Comparison!$F$2:$F$910,B102)</x:f>
        <x:v>0</x:v>
      </x:c>
      <x:c r="E102" s="16" t="n">
        <x:f>C102*D102</x:f>
        <x:v>0</x:v>
      </x:c>
    </x:row>
    <x:row r="103">
      <x:c r="A103" s="16" t="str">
        <x:v>split_type</x:v>
      </x:c>
      <x:c r="B103" s="16" t="str">
        <x:v>LEARNER_BASED</x:v>
      </x:c>
      <x:c r="C103" s="16" t="n">
        <x:f>COUNTIFS(Comparison!$D$2:$D$910,A103,Comparison!$H$2:$H$910,"Y",Comparison!$E$2:$E$910,B103)</x:f>
        <x:v>12</x:v>
      </x:c>
      <x:c r="D103" s="16" t="n">
        <x:f>COUNTIFS(Comparison!$D$2:$D$910,A103,Comparison!$H$2:$H$910,"Y",Comparison!$F$2:$F$910,B103)</x:f>
        <x:v>0</x:v>
      </x:c>
      <x:c r="E103" s="16" t="n">
        <x:f>C103*D103</x:f>
        <x:v>0</x:v>
      </x:c>
    </x:row>
    <x:row r="104">
      <x:c r="A104" s="16" t="str">
        <x:v>split_type</x:v>
      </x:c>
      <x:c r="B104" s="16" t="str">
        <x:v>TEMPORAL_GLOBAL</x:v>
      </x:c>
      <x:c r="C104" s="16" t="n">
        <x:f>COUNTIFS(Comparison!$D$2:$D$910,A104,Comparison!$H$2:$H$910,"Y",Comparison!$E$2:$E$910,B104)</x:f>
        <x:v>0</x:v>
      </x:c>
      <x:c r="D104" s="16" t="n">
        <x:f>COUNTIFS(Comparison!$D$2:$D$910,A104,Comparison!$H$2:$H$910,"Y",Comparison!$F$2:$F$910,B104)</x:f>
        <x:v>0</x:v>
      </x:c>
      <x:c r="E104" s="16" t="n">
        <x:f>C104*D104</x:f>
        <x:v>0</x:v>
      </x:c>
    </x:row>
    <x:row r="105">
      <x:c r="A105" s="16" t="str">
        <x:v>split_type</x:v>
      </x:c>
      <x:c r="B105" s="16" t="str">
        <x:v>TEMPORAL_PER_LEARNER</x:v>
      </x:c>
      <x:c r="C105" s="16" t="n">
        <x:f>COUNTIFS(Comparison!$D$2:$D$910,A105,Comparison!$H$2:$H$910,"Y",Comparison!$E$2:$E$910,B105)</x:f>
        <x:v>0</x:v>
      </x:c>
      <x:c r="D105" s="16" t="n">
        <x:f>COUNTIFS(Comparison!$D$2:$D$910,A105,Comparison!$H$2:$H$910,"Y",Comparison!$F$2:$F$910,B105)</x:f>
        <x:v>0</x:v>
      </x:c>
      <x:c r="E105" s="16" t="n">
        <x:f>C105*D105</x:f>
        <x:v>0</x:v>
      </x:c>
    </x:row>
    <x:row r="106">
      <x:c r="A106" s="16" t="str">
        <x:v>split_type</x:v>
      </x:c>
      <x:c r="B106" s="16" t="str">
        <x:v>ITEM_COLD_START</x:v>
      </x:c>
      <x:c r="C106" s="16" t="n">
        <x:f>COUNTIFS(Comparison!$D$2:$D$910,A106,Comparison!$H$2:$H$910,"Y",Comparison!$E$2:$E$910,B106)</x:f>
        <x:v>0</x:v>
      </x:c>
      <x:c r="D106" s="16" t="n">
        <x:f>COUNTIFS(Comparison!$D$2:$D$910,A106,Comparison!$H$2:$H$910,"Y",Comparison!$F$2:$F$910,B106)</x:f>
        <x:v>0</x:v>
      </x:c>
      <x:c r="E106" s="16" t="n">
        <x:f>C106*D106</x:f>
        <x:v>0</x:v>
      </x:c>
    </x:row>
    <x:row r="107">
      <x:c r="A107" s="16" t="str">
        <x:v>split_type</x:v>
      </x:c>
      <x:c r="B107" s="16" t="str">
        <x:v>KC_COLD_START</x:v>
      </x:c>
      <x:c r="C107" s="16" t="n">
        <x:f>COUNTIFS(Comparison!$D$2:$D$910,A107,Comparison!$H$2:$H$910,"Y",Comparison!$E$2:$E$910,B107)</x:f>
        <x:v>0</x:v>
      </x:c>
      <x:c r="D107" s="16" t="n">
        <x:f>COUNTIFS(Comparison!$D$2:$D$910,A107,Comparison!$H$2:$H$910,"Y",Comparison!$F$2:$F$910,B107)</x:f>
        <x:v>0</x:v>
      </x:c>
      <x:c r="E107" s="16" t="n">
        <x:f>C107*D107</x:f>
        <x:v>0</x:v>
      </x:c>
    </x:row>
    <x:row r="108">
      <x:c r="A108" s="16" t="str">
        <x:v>split_type</x:v>
      </x:c>
      <x:c r="B108" s="16" t="str">
        <x:v>CROSS_DOMAIN</x:v>
      </x:c>
      <x:c r="C108" s="16" t="n">
        <x:f>COUNTIFS(Comparison!$D$2:$D$910,A108,Comparison!$H$2:$H$910,"Y",Comparison!$E$2:$E$910,B108)</x:f>
        <x:v>0</x:v>
      </x:c>
      <x:c r="D108" s="16" t="n">
        <x:f>COUNTIFS(Comparison!$D$2:$D$910,A108,Comparison!$H$2:$H$910,"Y",Comparison!$F$2:$F$910,B108)</x:f>
        <x:v>0</x:v>
      </x:c>
      <x:c r="E108" s="16" t="n">
        <x:f>C108*D108</x:f>
        <x:v>0</x:v>
      </x:c>
    </x:row>
    <x:row r="109">
      <x:c r="A109" s="16" t="str">
        <x:v>split_type</x:v>
      </x:c>
      <x:c r="B109" s="16" t="str">
        <x:v>K_FOLD</x:v>
      </x:c>
      <x:c r="C109" s="16" t="n">
        <x:f>COUNTIFS(Comparison!$D$2:$D$910,A109,Comparison!$H$2:$H$910,"Y",Comparison!$E$2:$E$910,B109)</x:f>
        <x:v>0</x:v>
      </x:c>
      <x:c r="D109" s="16" t="n">
        <x:f>COUNTIFS(Comparison!$D$2:$D$910,A109,Comparison!$H$2:$H$910,"Y",Comparison!$F$2:$F$910,B109)</x:f>
        <x:v>0</x:v>
      </x:c>
      <x:c r="E109" s="16" t="n">
        <x:f>C109*D109</x:f>
        <x:v>0</x:v>
      </x:c>
    </x:row>
    <x:row r="110">
      <x:c r="A110" s="16" t="str">
        <x:v>split_type</x:v>
      </x:c>
      <x:c r="B110" s="16" t="str">
        <x:v>OTHER</x:v>
      </x:c>
      <x:c r="C110" s="16" t="n">
        <x:f>COUNTIFS(Comparison!$D$2:$D$910,A110,Comparison!$H$2:$H$910,"Y",Comparison!$E$2:$E$910,B110)</x:f>
        <x:v>0</x:v>
      </x:c>
      <x:c r="D110" s="16" t="n">
        <x:f>COUNTIFS(Comparison!$D$2:$D$910,A110,Comparison!$H$2:$H$910,"Y",Comparison!$F$2:$F$910,B110)</x:f>
        <x:v>0</x:v>
      </x:c>
      <x:c r="E110" s="16" t="n">
        <x:f>C110*D110</x:f>
        <x:v>0</x:v>
      </x:c>
    </x:row>
    <x:row r="111">
      <x:c r="A111" s="16" t="str">
        <x:v>split_type</x:v>
      </x:c>
      <x:c r="B111" s="16" t="str">
        <x:v>UNCLEAR</x:v>
      </x:c>
      <x:c r="C111" s="16" t="n">
        <x:f>COUNTIFS(Comparison!$D$2:$D$910,A111,Comparison!$H$2:$H$910,"Y",Comparison!$E$2:$E$910,B111)</x:f>
        <x:v>0</x:v>
      </x:c>
      <x:c r="D111" s="16" t="n">
        <x:f>COUNTIFS(Comparison!$D$2:$D$910,A111,Comparison!$H$2:$H$910,"Y",Comparison!$F$2:$F$910,B111)</x:f>
        <x:v>0</x:v>
      </x:c>
      <x:c r="E111" s="16" t="n">
        <x:f>C111*D111</x:f>
        <x:v>0</x:v>
      </x:c>
    </x:row>
    <x:row r="112">
      <x:c r="A112" s="16" t="str">
        <x:v>graph_train_only</x:v>
      </x:c>
      <x:c r="B112" s="16" t="str">
        <x:v>Y</x:v>
      </x:c>
      <x:c r="C112" s="16" t="n">
        <x:f>COUNTIFS(Comparison!$D$2:$D$910,A112,Comparison!$H$2:$H$910,"Y",Comparison!$E$2:$E$910,B112)</x:f>
        <x:v>6</x:v>
      </x:c>
      <x:c r="D112" s="16" t="n">
        <x:f>COUNTIFS(Comparison!$D$2:$D$910,A112,Comparison!$H$2:$H$910,"Y",Comparison!$F$2:$F$910,B112)</x:f>
        <x:v>0</x:v>
      </x:c>
      <x:c r="E112" s="16" t="n">
        <x:f>C112*D112</x:f>
        <x:v>0</x:v>
      </x:c>
    </x:row>
    <x:row r="113">
      <x:c r="A113" s="16" t="str">
        <x:v>graph_train_only</x:v>
      </x:c>
      <x:c r="B113" s="16" t="str">
        <x:v>N</x:v>
      </x:c>
      <x:c r="C113" s="16" t="n">
        <x:f>COUNTIFS(Comparison!$D$2:$D$910,A113,Comparison!$H$2:$H$910,"Y",Comparison!$E$2:$E$910,B113)</x:f>
        <x:v>0</x:v>
      </x:c>
      <x:c r="D113" s="16" t="n">
        <x:f>COUNTIFS(Comparison!$D$2:$D$910,A113,Comparison!$H$2:$H$910,"Y",Comparison!$F$2:$F$910,B113)</x:f>
        <x:v>0</x:v>
      </x:c>
      <x:c r="E113" s="16" t="n">
        <x:f>C113*D113</x:f>
        <x:v>0</x:v>
      </x:c>
    </x:row>
    <x:row r="114">
      <x:c r="A114" s="16" t="str">
        <x:v>graph_train_only</x:v>
      </x:c>
      <x:c r="B114" s="16" t="str">
        <x:v>NR</x:v>
      </x:c>
      <x:c r="C114" s="16" t="n">
        <x:f>COUNTIFS(Comparison!$D$2:$D$910,A114,Comparison!$H$2:$H$910,"Y",Comparison!$E$2:$E$910,B114)</x:f>
        <x:v>0</x:v>
      </x:c>
      <x:c r="D114" s="16" t="n">
        <x:f>COUNTIFS(Comparison!$D$2:$D$910,A114,Comparison!$H$2:$H$910,"Y",Comparison!$F$2:$F$910,B114)</x:f>
        <x:v>0</x:v>
      </x:c>
      <x:c r="E114" s="16" t="n">
        <x:f>C114*D114</x:f>
        <x:v>0</x:v>
      </x:c>
    </x:row>
    <x:row r="115">
      <x:c r="A115" s="16" t="str">
        <x:v>graph_train_only</x:v>
      </x:c>
      <x:c r="B115" s="16" t="str">
        <x:v>UNCLEAR</x:v>
      </x:c>
      <x:c r="C115" s="16" t="n">
        <x:f>COUNTIFS(Comparison!$D$2:$D$910,A115,Comparison!$H$2:$H$910,"Y",Comparison!$E$2:$E$910,B115)</x:f>
        <x:v>4</x:v>
      </x:c>
      <x:c r="D115" s="16" t="n">
        <x:f>COUNTIFS(Comparison!$D$2:$D$910,A115,Comparison!$H$2:$H$910,"Y",Comparison!$F$2:$F$910,B115)</x:f>
        <x:v>0</x:v>
      </x:c>
      <x:c r="E115" s="16" t="n">
        <x:f>C115*D115</x:f>
        <x:v>0</x:v>
      </x:c>
    </x:row>
    <x:row r="116">
      <x:c r="A116" s="16" t="str">
        <x:v>graph_train_only</x:v>
      </x:c>
      <x:c r="B116" s="16" t="str">
        <x:v>NA</x:v>
      </x:c>
      <x:c r="C116" s="16" t="n">
        <x:f>COUNTIFS(Comparison!$D$2:$D$910,A116,Comparison!$H$2:$H$910,"Y",Comparison!$E$2:$E$910,B116)</x:f>
        <x:v>2</x:v>
      </x:c>
      <x:c r="D116" s="16" t="n">
        <x:f>COUNTIFS(Comparison!$D$2:$D$910,A116,Comparison!$H$2:$H$910,"Y",Comparison!$F$2:$F$910,B116)</x:f>
        <x:v>0</x:v>
      </x:c>
      <x:c r="E116" s="16" t="n">
        <x:f>C116*D116</x:f>
        <x:v>0</x:v>
      </x:c>
    </x:row>
    <x:row r="117">
      <x:c r="A117" s="16" t="str">
        <x:v>sparsity_construct</x:v>
      </x:c>
      <x:c r="B117" s="16" t="str">
        <x:v>NO_EXPLICIT_FOCUS</x:v>
      </x:c>
      <x:c r="C117" s="16" t="n">
        <x:f>COUNTIFS(Comparison!$D$2:$D$910,A117,Comparison!$H$2:$H$910,"Y",Comparison!$E$2:$E$910,B117)</x:f>
        <x:v>12</x:v>
      </x:c>
      <x:c r="D117" s="16" t="n">
        <x:f>COUNTIFS(Comparison!$D$2:$D$910,A117,Comparison!$H$2:$H$910,"Y",Comparison!$F$2:$F$910,B117)</x:f>
        <x:v>0</x:v>
      </x:c>
      <x:c r="E117" s="16" t="n">
        <x:f>C117*D117</x:f>
        <x:v>0</x:v>
      </x:c>
    </x:row>
    <x:row r="118">
      <x:c r="A118" s="16" t="str">
        <x:v>sparsity_construct</x:v>
      </x:c>
      <x:c r="B118" s="16" t="str">
        <x:v>LOW_FREQUENCY_KC</x:v>
      </x:c>
      <x:c r="C118" s="16" t="n">
        <x:f>COUNTIFS(Comparison!$D$2:$D$910,A118,Comparison!$H$2:$H$910,"Y",Comparison!$E$2:$E$910,B118)</x:f>
        <x:v>0</x:v>
      </x:c>
      <x:c r="D118" s="16" t="n">
        <x:f>COUNTIFS(Comparison!$D$2:$D$910,A118,Comparison!$H$2:$H$910,"Y",Comparison!$F$2:$F$910,B118)</x:f>
        <x:v>0</x:v>
      </x:c>
      <x:c r="E118" s="16" t="n">
        <x:f>C118*D118</x:f>
        <x:v>0</x:v>
      </x:c>
    </x:row>
    <x:row r="119">
      <x:c r="A119" s="16" t="str">
        <x:v>sparsity_construct</x:v>
      </x:c>
      <x:c r="B119" s="16" t="str">
        <x:v>LONG_TAIL_KC</x:v>
      </x:c>
      <x:c r="C119" s="16" t="n">
        <x:f>COUNTIFS(Comparison!$D$2:$D$910,A119,Comparison!$H$2:$H$910,"Y",Comparison!$E$2:$E$910,B119)</x:f>
        <x:v>0</x:v>
      </x:c>
      <x:c r="D119" s="16" t="n">
        <x:f>COUNTIFS(Comparison!$D$2:$D$910,A119,Comparison!$H$2:$H$910,"Y",Comparison!$F$2:$F$910,B119)</x:f>
        <x:v>0</x:v>
      </x:c>
      <x:c r="E119" s="16" t="n">
        <x:f>C119*D119</x:f>
        <x:v>0</x:v>
      </x:c>
    </x:row>
    <x:row r="120">
      <x:c r="A120" s="16" t="str">
        <x:v>sparsity_construct</x:v>
      </x:c>
      <x:c r="B120" s="16" t="str">
        <x:v>STRICT_KC_COLD_START</x:v>
      </x:c>
      <x:c r="C120" s="16" t="n">
        <x:f>COUNTIFS(Comparison!$D$2:$D$910,A120,Comparison!$H$2:$H$910,"Y",Comparison!$E$2:$E$910,B120)</x:f>
        <x:v>0</x:v>
      </x:c>
      <x:c r="D120" s="16" t="n">
        <x:f>COUNTIFS(Comparison!$D$2:$D$910,A120,Comparison!$H$2:$H$910,"Y",Comparison!$F$2:$F$910,B120)</x:f>
        <x:v>0</x:v>
      </x:c>
      <x:c r="E120" s="16" t="n">
        <x:f>C120*D120</x:f>
        <x:v>0</x:v>
      </x:c>
    </x:row>
    <x:row r="121">
      <x:c r="A121" s="16" t="str">
        <x:v>sparsity_construct</x:v>
      </x:c>
      <x:c r="B121" s="16" t="str">
        <x:v>LOW_DEGREE_GRAPH_NODE</x:v>
      </x:c>
      <x:c r="C121" s="16" t="n">
        <x:f>COUNTIFS(Comparison!$D$2:$D$910,A121,Comparison!$H$2:$H$910,"Y",Comparison!$E$2:$E$910,B121)</x:f>
        <x:v>0</x:v>
      </x:c>
      <x:c r="D121" s="16" t="n">
        <x:f>COUNTIFS(Comparison!$D$2:$D$910,A121,Comparison!$H$2:$H$910,"Y",Comparison!$F$2:$F$910,B121)</x:f>
        <x:v>0</x:v>
      </x:c>
      <x:c r="E121" s="16" t="n">
        <x:f>C121*D121</x:f>
        <x:v>0</x:v>
      </x:c>
    </x:row>
    <x:row r="122">
      <x:c r="A122" s="16" t="str">
        <x:v>sparsity_construct</x:v>
      </x:c>
      <x:c r="B122" s="16" t="str">
        <x:v>ITEM_COLD_START</x:v>
      </x:c>
      <x:c r="C122" s="16" t="n">
        <x:f>COUNTIFS(Comparison!$D$2:$D$910,A122,Comparison!$H$2:$H$910,"Y",Comparison!$E$2:$E$910,B122)</x:f>
        <x:v>0</x:v>
      </x:c>
      <x:c r="D122" s="16" t="n">
        <x:f>COUNTIFS(Comparison!$D$2:$D$910,A122,Comparison!$H$2:$H$910,"Y",Comparison!$F$2:$F$910,B122)</x:f>
        <x:v>0</x:v>
      </x:c>
      <x:c r="E122" s="16" t="n">
        <x:f>C122*D122</x:f>
        <x:v>0</x:v>
      </x:c>
    </x:row>
    <x:row r="123">
      <x:c r="A123" s="16" t="str">
        <x:v>sparsity_construct</x:v>
      </x:c>
      <x:c r="B123" s="16" t="str">
        <x:v>LEARNER_COLD_START</x:v>
      </x:c>
      <x:c r="C123" s="16" t="n">
        <x:f>COUNTIFS(Comparison!$D$2:$D$910,A123,Comparison!$H$2:$H$910,"Y",Comparison!$E$2:$E$910,B123)</x:f>
        <x:v>0</x:v>
      </x:c>
      <x:c r="D123" s="16" t="n">
        <x:f>COUNTIFS(Comparison!$D$2:$D$910,A123,Comparison!$H$2:$H$910,"Y",Comparison!$F$2:$F$910,B123)</x:f>
        <x:v>0</x:v>
      </x:c>
      <x:c r="E123" s="16" t="n">
        <x:f>C123*D123</x:f>
        <x:v>0</x:v>
      </x:c>
    </x:row>
    <x:row r="124">
      <x:c r="A124" s="16" t="str">
        <x:v>sparsity_construct</x:v>
      </x:c>
      <x:c r="B124" s="16" t="str">
        <x:v>SHORT_HISTORY</x:v>
      </x:c>
      <x:c r="C124" s="16" t="n">
        <x:f>COUNTIFS(Comparison!$D$2:$D$910,A124,Comparison!$H$2:$H$910,"Y",Comparison!$E$2:$E$910,B124)</x:f>
        <x:v>0</x:v>
      </x:c>
      <x:c r="D124" s="16" t="n">
        <x:f>COUNTIFS(Comparison!$D$2:$D$910,A124,Comparison!$H$2:$H$910,"Y",Comparison!$F$2:$F$910,B124)</x:f>
        <x:v>0</x:v>
      </x:c>
      <x:c r="E124" s="16" t="n">
        <x:f>C124*D124</x:f>
        <x:v>0</x:v>
      </x:c>
    </x:row>
    <x:row r="125">
      <x:c r="A125" s="16" t="str">
        <x:v>sparsity_construct</x:v>
      </x:c>
      <x:c r="B125" s="16" t="str">
        <x:v>GENERIC_DATA_SPARSITY</x:v>
      </x:c>
      <x:c r="C125" s="16" t="n">
        <x:f>COUNTIFS(Comparison!$D$2:$D$910,A125,Comparison!$H$2:$H$910,"Y",Comparison!$E$2:$E$910,B125)</x:f>
        <x:v>0</x:v>
      </x:c>
      <x:c r="D125" s="16" t="n">
        <x:f>COUNTIFS(Comparison!$D$2:$D$910,A125,Comparison!$H$2:$H$910,"Y",Comparison!$F$2:$F$910,B125)</x:f>
        <x:v>0</x:v>
      </x:c>
      <x:c r="E125" s="16" t="n">
        <x:f>C125*D125</x:f>
        <x:v>0</x:v>
      </x:c>
    </x:row>
    <x:row r="126">
      <x:c r="A126" s="16" t="str">
        <x:v>sparsity_construct</x:v>
      </x:c>
      <x:c r="B126" s="16" t="str">
        <x:v>SPARSE_ATTENTION_ARCHITECTURE</x:v>
      </x:c>
      <x:c r="C126" s="16" t="n">
        <x:f>COUNTIFS(Comparison!$D$2:$D$910,A126,Comparison!$H$2:$H$910,"Y",Comparison!$E$2:$E$910,B126)</x:f>
        <x:v>0</x:v>
      </x:c>
      <x:c r="D126" s="16" t="n">
        <x:f>COUNTIFS(Comparison!$D$2:$D$910,A126,Comparison!$H$2:$H$910,"Y",Comparison!$F$2:$F$910,B126)</x:f>
        <x:v>0</x:v>
      </x:c>
      <x:c r="E126" s="16" t="n">
        <x:f>C126*D126</x:f>
        <x:v>0</x:v>
      </x:c>
    </x:row>
    <x:row r="127">
      <x:c r="A127" s="16" t="str">
        <x:v>sparsity_construct</x:v>
      </x:c>
      <x:c r="B127" s="16" t="str">
        <x:v>MULTIPLE</x:v>
      </x:c>
      <x:c r="C127" s="16" t="n">
        <x:f>COUNTIFS(Comparison!$D$2:$D$910,A127,Comparison!$H$2:$H$910,"Y",Comparison!$E$2:$E$910,B127)</x:f>
        <x:v>0</x:v>
      </x:c>
      <x:c r="D127" s="16" t="n">
        <x:f>COUNTIFS(Comparison!$D$2:$D$910,A127,Comparison!$H$2:$H$910,"Y",Comparison!$F$2:$F$910,B127)</x:f>
        <x:v>0</x:v>
      </x:c>
      <x:c r="E127" s="16" t="n">
        <x:f>C127*D127</x:f>
        <x:v>0</x:v>
      </x:c>
    </x:row>
    <x:row r="128">
      <x:c r="A128" s="16" t="str">
        <x:v>sparsity_construct</x:v>
      </x:c>
      <x:c r="B128" s="16" t="str">
        <x:v>UNCLEAR</x:v>
      </x:c>
      <x:c r="C128" s="16" t="n">
        <x:f>COUNTIFS(Comparison!$D$2:$D$910,A128,Comparison!$H$2:$H$910,"Y",Comparison!$E$2:$E$910,B128)</x:f>
        <x:v>0</x:v>
      </x:c>
      <x:c r="D128" s="16" t="n">
        <x:f>COUNTIFS(Comparison!$D$2:$D$910,A128,Comparison!$H$2:$H$910,"Y",Comparison!$F$2:$F$910,B128)</x:f>
        <x:v>0</x:v>
      </x:c>
      <x:c r="E128" s="16" t="n">
        <x:f>C128*D128</x:f>
        <x:v>0</x:v>
      </x:c>
    </x:row>
    <x:row r="129">
      <x:c r="A129" s="16" t="str">
        <x:v>metric_scope</x:v>
      </x:c>
      <x:c r="B129" s="16" t="str">
        <x:v>OVERALL</x:v>
      </x:c>
      <x:c r="C129" s="16" t="n">
        <x:f>COUNTIFS(Comparison!$D$2:$D$910,A129,Comparison!$H$2:$H$910,"Y",Comparison!$E$2:$E$910,B129)</x:f>
        <x:v>12</x:v>
      </x:c>
      <x:c r="D129" s="16" t="n">
        <x:f>COUNTIFS(Comparison!$D$2:$D$910,A129,Comparison!$H$2:$H$910,"Y",Comparison!$F$2:$F$910,B129)</x:f>
        <x:v>0</x:v>
      </x:c>
      <x:c r="E129" s="16" t="n">
        <x:f>C129*D129</x:f>
        <x:v>0</x:v>
      </x:c>
    </x:row>
    <x:row r="130">
      <x:c r="A130" s="16" t="str">
        <x:v>metric_scope</x:v>
      </x:c>
      <x:c r="B130" s="16" t="str">
        <x:v>SPARSE_STRATUM</x:v>
      </x:c>
      <x:c r="C130" s="16" t="n">
        <x:f>COUNTIFS(Comparison!$D$2:$D$910,A130,Comparison!$H$2:$H$910,"Y",Comparison!$E$2:$E$910,B130)</x:f>
        <x:v>0</x:v>
      </x:c>
      <x:c r="D130" s="16" t="n">
        <x:f>COUNTIFS(Comparison!$D$2:$D$910,A130,Comparison!$H$2:$H$910,"Y",Comparison!$F$2:$F$910,B130)</x:f>
        <x:v>0</x:v>
      </x:c>
      <x:c r="E130" s="16" t="n">
        <x:f>C130*D130</x:f>
        <x:v>0</x:v>
      </x:c>
    </x:row>
    <x:row r="131">
      <x:c r="A131" s="16" t="str">
        <x:v>metric_scope</x:v>
      </x:c>
      <x:c r="B131" s="16" t="str">
        <x:v>COLD_START</x:v>
      </x:c>
      <x:c r="C131" s="16" t="n">
        <x:f>COUNTIFS(Comparison!$D$2:$D$910,A131,Comparison!$H$2:$H$910,"Y",Comparison!$E$2:$E$910,B131)</x:f>
        <x:v>0</x:v>
      </x:c>
      <x:c r="D131" s="16" t="n">
        <x:f>COUNTIFS(Comparison!$D$2:$D$910,A131,Comparison!$H$2:$H$910,"Y",Comparison!$F$2:$F$910,B131)</x:f>
        <x:v>0</x:v>
      </x:c>
      <x:c r="E131" s="16" t="n">
        <x:f>C131*D131</x:f>
        <x:v>0</x:v>
      </x:c>
    </x:row>
    <x:row r="132">
      <x:c r="A132" s="16" t="str">
        <x:v>metric_scope</x:v>
      </x:c>
      <x:c r="B132" s="16" t="str">
        <x:v>OTHER</x:v>
      </x:c>
      <x:c r="C132" s="16" t="n">
        <x:f>COUNTIFS(Comparison!$D$2:$D$910,A132,Comparison!$H$2:$H$910,"Y",Comparison!$E$2:$E$910,B132)</x:f>
        <x:v>0</x:v>
      </x:c>
      <x:c r="D132" s="16" t="n">
        <x:f>COUNTIFS(Comparison!$D$2:$D$910,A132,Comparison!$H$2:$H$910,"Y",Comparison!$F$2:$F$910,B132)</x:f>
        <x:v>0</x:v>
      </x:c>
      <x:c r="E132" s="16" t="n">
        <x:f>C132*D132</x:f>
        <x:v>0</x:v>
      </x:c>
    </x:row>
    <x:row r="133">
      <x:c r="A133" s="16" t="str">
        <x:v>metric_scope</x:v>
      </x:c>
      <x:c r="B133" s="16" t="str">
        <x:v>UNCLEAR</x:v>
      </x:c>
      <x:c r="C133" s="16" t="n">
        <x:f>COUNTIFS(Comparison!$D$2:$D$910,A133,Comparison!$H$2:$H$910,"Y",Comparison!$E$2:$E$910,B133)</x:f>
        <x:v>0</x:v>
      </x:c>
      <x:c r="D133" s="16" t="n">
        <x:f>COUNTIFS(Comparison!$D$2:$D$910,A133,Comparison!$H$2:$H$910,"Y",Comparison!$F$2:$F$910,B133)</x:f>
        <x:v>0</x:v>
      </x:c>
      <x:c r="E133" s="16" t="n">
        <x:f>C133*D133</x:f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85" t="str">
        <x:v>KT004 Inter-Rater Reliability Workbook</x:v>
      </x:c>
      <x:c r="B1" s="85" t="str"/>
    </x:row>
    <x:row r="2">
      <x:c r="A2" t="str">
        <x:v>Purpose</x:v>
      </x:c>
      <x:c r="B2" t="str">
        <x:v>Coder A and Coder B code the same aligned field list independently, then Comparison and Agreement_Summary update automatically.</x:v>
      </x:c>
    </x:row>
    <x:row r="3">
      <x:c r="A3" t="str">
        <x:v>Coder A</x:v>
      </x:c>
      <x:c r="B3" t="str">
        <x:v>Pre-populated from the worked KT004 coding example. Do not edit while Coder B is coding independently.</x:v>
      </x:c>
    </x:row>
    <x:row r="4">
      <x:c r="A4" t="str">
        <x:v>Coder B</x:v>
      </x:c>
      <x:c r="B4" t="str">
        <x:v>Fill only Coder Value, Evidence Locator, Confidence, and Notes. Red cells indicate disagreement with Coder A after a value is entered.</x:v>
      </x:c>
    </x:row>
    <x:row r="5">
      <x:c r="A5" t="str">
        <x:v>Comparison</x:v>
      </x:c>
      <x:c r="B5" t="str">
        <x:v>AGREE = green; DISAGREE = red; PENDING = yellow. Percent agreement uses only rows where both coders have values.</x:v>
      </x:c>
    </x:row>
    <x:row r="6">
      <x:c r="A6" t="str">
        <x:v>Cohen's kappa</x:v>
      </x:c>
      <x:c r="B6" t="str">
        <x:v>Formal κ should be calculated per coding dimension across multiple independently coded units/papers. This workbook provides within-KT004 κ only for repeated model/experiment dimensions; treat it as pilot diagnostics, not final IRR.</x:v>
      </x:c>
    </x:row>
    <x:row r="7">
      <x:c r="A7" t="str">
        <x:v>Final protocol</x:v>
      </x:c>
      <x:c r="B7" t="str">
        <x:v>The final survey must compute κ across the double-coded pilot/final sample, not claim KT004-only κ as the study's reliability statistic.</x:v>
      </x:c>
    </x:row>
    <x:row r="8">
      <x:c r="A8" t="str">
        <x:v>Exact match rule</x:v>
      </x:c>
      <x:c r="B8" t="str">
        <x:v>Agreement uses exact coded values. Use canonical codebook labels and consistent ordering for multi-valued fields.</x:v>
      </x:c>
    </x:row>
    <x:row r="9">
      <x:c r="A9" t="str">
        <x:v>Important</x:v>
      </x:c>
      <x:c r="B9" t="str">
        <x:v>If a disagreement reflects an unclear category rather than coder error, log it in the existing Disagreement_Log and consider a codebook revision.</x:v>
      </x:c>
    </x:row>
  </x:sheetData>
  <x:pageMargins left="0.7" right="0.7" top="0.75" bottom="0.75" header="0.3" footer="0.3"/>
</x:worksheet>
</file>